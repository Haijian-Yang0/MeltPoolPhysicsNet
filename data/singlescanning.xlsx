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E:\01 Research\08-Single Laser Track Scanning\"/>
    </mc:Choice>
  </mc:AlternateContent>
  <xr:revisionPtr revIDLastSave="0" documentId="13_ncr:1_{773234AD-F500-4849-8A67-14901559210F}" xr6:coauthVersionLast="47" xr6:coauthVersionMax="47" xr10:uidLastSave="{00000000-0000-0000-0000-000000000000}"/>
  <bookViews>
    <workbookView xWindow="3420" yWindow="460" windowWidth="31960" windowHeight="21140" xr2:uid="{53577344-DD7F-4D2D-B31C-AA128E1E9BC3}"/>
  </bookViews>
  <sheets>
    <sheet name="Sheet1" sheetId="1" r:id="rId1"/>
    <sheet name="Sheet3" sheetId="3" r:id="rId2"/>
    <sheet name="normalized enthalpy" sheetId="4" r:id="rId3"/>
    <sheet name="Sheet2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5" l="1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29" i="5"/>
  <c r="K230" i="5"/>
  <c r="K231" i="5"/>
  <c r="K232" i="5"/>
  <c r="K233" i="5"/>
  <c r="K234" i="5"/>
  <c r="K235" i="5"/>
  <c r="K236" i="5"/>
  <c r="K237" i="5"/>
  <c r="K238" i="5"/>
  <c r="K239" i="5"/>
  <c r="K240" i="5"/>
  <c r="K241" i="5"/>
  <c r="K242" i="5"/>
  <c r="K243" i="5"/>
  <c r="K244" i="5"/>
  <c r="K245" i="5"/>
  <c r="K246" i="5"/>
  <c r="K247" i="5"/>
  <c r="K248" i="5"/>
  <c r="K249" i="5"/>
  <c r="K250" i="5"/>
  <c r="K251" i="5"/>
  <c r="K252" i="5"/>
  <c r="K253" i="5"/>
  <c r="K254" i="5"/>
  <c r="K255" i="5"/>
  <c r="K256" i="5"/>
  <c r="K257" i="5"/>
  <c r="K258" i="5"/>
  <c r="K259" i="5"/>
  <c r="K260" i="5"/>
  <c r="K261" i="5"/>
  <c r="K262" i="5"/>
  <c r="K263" i="5"/>
  <c r="K264" i="5"/>
  <c r="K265" i="5"/>
  <c r="K266" i="5"/>
  <c r="K267" i="5"/>
  <c r="K268" i="5"/>
  <c r="K269" i="5"/>
  <c r="K270" i="5"/>
  <c r="K271" i="5"/>
  <c r="K272" i="5"/>
  <c r="K273" i="5"/>
  <c r="K274" i="5"/>
  <c r="K275" i="5"/>
  <c r="K276" i="5"/>
  <c r="K277" i="5"/>
  <c r="K278" i="5"/>
  <c r="K279" i="5"/>
  <c r="K280" i="5"/>
  <c r="K281" i="5"/>
  <c r="K282" i="5"/>
  <c r="K283" i="5"/>
  <c r="K284" i="5"/>
  <c r="K285" i="5"/>
  <c r="K286" i="5"/>
  <c r="K287" i="5"/>
  <c r="K288" i="5"/>
  <c r="K289" i="5"/>
  <c r="K290" i="5"/>
  <c r="K291" i="5"/>
  <c r="K292" i="5"/>
  <c r="K293" i="5"/>
  <c r="K294" i="5"/>
  <c r="K295" i="5"/>
  <c r="K296" i="5"/>
  <c r="K297" i="5"/>
  <c r="K298" i="5"/>
  <c r="K299" i="5"/>
  <c r="K300" i="5"/>
  <c r="K301" i="5"/>
  <c r="K302" i="5"/>
  <c r="K303" i="5"/>
  <c r="K304" i="5"/>
  <c r="K305" i="5"/>
  <c r="K306" i="5"/>
  <c r="K307" i="5"/>
  <c r="K308" i="5"/>
  <c r="K309" i="5"/>
  <c r="K310" i="5"/>
  <c r="K311" i="5"/>
  <c r="K312" i="5"/>
  <c r="K313" i="5"/>
  <c r="K314" i="5"/>
  <c r="K315" i="5"/>
  <c r="K316" i="5"/>
  <c r="K317" i="5"/>
  <c r="K318" i="5"/>
  <c r="K319" i="5"/>
  <c r="K320" i="5"/>
  <c r="K321" i="5"/>
  <c r="K322" i="5"/>
  <c r="K323" i="5"/>
  <c r="K324" i="5"/>
  <c r="K325" i="5"/>
  <c r="K326" i="5"/>
  <c r="K327" i="5"/>
  <c r="K328" i="5"/>
  <c r="K329" i="5"/>
  <c r="K330" i="5"/>
  <c r="K331" i="5"/>
  <c r="K332" i="5"/>
  <c r="K333" i="5"/>
  <c r="K334" i="5"/>
  <c r="K335" i="5"/>
  <c r="K336" i="5"/>
  <c r="K337" i="5"/>
  <c r="K338" i="5"/>
  <c r="K339" i="5"/>
  <c r="K340" i="5"/>
  <c r="K341" i="5"/>
  <c r="K342" i="5"/>
  <c r="K343" i="5"/>
  <c r="K344" i="5"/>
  <c r="K345" i="5"/>
  <c r="K346" i="5"/>
  <c r="K347" i="5"/>
  <c r="K348" i="5"/>
  <c r="K349" i="5"/>
  <c r="K350" i="5"/>
  <c r="K351" i="5"/>
  <c r="K352" i="5"/>
  <c r="K353" i="5"/>
  <c r="K354" i="5"/>
  <c r="K355" i="5"/>
  <c r="K356" i="5"/>
  <c r="K357" i="5"/>
  <c r="K358" i="5"/>
  <c r="K359" i="5"/>
  <c r="K360" i="5"/>
  <c r="K361" i="5"/>
  <c r="K362" i="5"/>
  <c r="K363" i="5"/>
  <c r="K364" i="5"/>
  <c r="K365" i="5"/>
  <c r="K366" i="5"/>
  <c r="K367" i="5"/>
  <c r="K368" i="5"/>
  <c r="K369" i="5"/>
  <c r="K370" i="5"/>
  <c r="K371" i="5"/>
  <c r="K372" i="5"/>
  <c r="K373" i="5"/>
  <c r="K374" i="5"/>
  <c r="K375" i="5"/>
  <c r="K376" i="5"/>
  <c r="K377" i="5"/>
  <c r="K378" i="5"/>
  <c r="K379" i="5"/>
  <c r="K380" i="5"/>
  <c r="K381" i="5"/>
  <c r="K382" i="5"/>
  <c r="K383" i="5"/>
  <c r="K384" i="5"/>
  <c r="K385" i="5"/>
  <c r="K386" i="5"/>
  <c r="K387" i="5"/>
  <c r="K388" i="5"/>
  <c r="K389" i="5"/>
  <c r="K390" i="5"/>
  <c r="K391" i="5"/>
  <c r="K392" i="5"/>
  <c r="K393" i="5"/>
  <c r="K394" i="5"/>
  <c r="K395" i="5"/>
  <c r="K396" i="5"/>
  <c r="K397" i="5"/>
  <c r="K398" i="5"/>
  <c r="K399" i="5"/>
  <c r="K400" i="5"/>
  <c r="K401" i="5"/>
  <c r="K402" i="5"/>
  <c r="K403" i="5"/>
  <c r="K404" i="5"/>
  <c r="K405" i="5"/>
  <c r="K406" i="5"/>
  <c r="K407" i="5"/>
  <c r="K408" i="5"/>
  <c r="K409" i="5"/>
  <c r="K410" i="5"/>
  <c r="K411" i="5"/>
  <c r="K412" i="5"/>
  <c r="K413" i="5"/>
  <c r="K414" i="5"/>
  <c r="K415" i="5"/>
  <c r="K416" i="5"/>
  <c r="K417" i="5"/>
  <c r="K418" i="5"/>
  <c r="K419" i="5"/>
  <c r="K420" i="5"/>
  <c r="K421" i="5"/>
  <c r="K422" i="5"/>
  <c r="K423" i="5"/>
  <c r="K424" i="5"/>
  <c r="K425" i="5"/>
  <c r="K426" i="5"/>
  <c r="K427" i="5"/>
  <c r="K428" i="5"/>
  <c r="K429" i="5"/>
  <c r="K430" i="5"/>
  <c r="K431" i="5"/>
  <c r="K432" i="5"/>
  <c r="K433" i="5"/>
  <c r="K434" i="5"/>
  <c r="K435" i="5"/>
  <c r="K436" i="5"/>
  <c r="K437" i="5"/>
  <c r="K438" i="5"/>
  <c r="K439" i="5"/>
  <c r="K440" i="5"/>
  <c r="K441" i="5"/>
  <c r="K442" i="5"/>
  <c r="K443" i="5"/>
  <c r="K444" i="5"/>
  <c r="K445" i="5"/>
  <c r="K446" i="5"/>
  <c r="K447" i="5"/>
  <c r="K448" i="5"/>
  <c r="K449" i="5"/>
  <c r="K450" i="5"/>
  <c r="K451" i="5"/>
  <c r="K452" i="5"/>
  <c r="K453" i="5"/>
  <c r="K454" i="5"/>
  <c r="K455" i="5"/>
  <c r="K456" i="5"/>
  <c r="K457" i="5"/>
  <c r="K458" i="5"/>
  <c r="K459" i="5"/>
  <c r="K460" i="5"/>
  <c r="K461" i="5"/>
  <c r="K462" i="5"/>
  <c r="K463" i="5"/>
  <c r="K464" i="5"/>
  <c r="K465" i="5"/>
  <c r="K466" i="5"/>
  <c r="K467" i="5"/>
  <c r="K468" i="5"/>
  <c r="K469" i="5"/>
  <c r="K470" i="5"/>
  <c r="K471" i="5"/>
  <c r="K472" i="5"/>
  <c r="K473" i="5"/>
  <c r="K474" i="5"/>
  <c r="K475" i="5"/>
  <c r="K476" i="5"/>
  <c r="K477" i="5"/>
  <c r="K478" i="5"/>
  <c r="K479" i="5"/>
  <c r="K480" i="5"/>
  <c r="K481" i="5"/>
  <c r="K482" i="5"/>
  <c r="K483" i="5"/>
  <c r="K484" i="5"/>
  <c r="K485" i="5"/>
  <c r="K486" i="5"/>
  <c r="K487" i="5"/>
  <c r="K488" i="5"/>
  <c r="K489" i="5"/>
  <c r="K490" i="5"/>
  <c r="K491" i="5"/>
  <c r="K492" i="5"/>
  <c r="K493" i="5"/>
  <c r="K494" i="5"/>
  <c r="K495" i="5"/>
  <c r="K496" i="5"/>
  <c r="K497" i="5"/>
  <c r="K498" i="5"/>
  <c r="K499" i="5"/>
  <c r="K500" i="5"/>
  <c r="K501" i="5"/>
  <c r="K502" i="5"/>
  <c r="K503" i="5"/>
  <c r="K504" i="5"/>
  <c r="K505" i="5"/>
  <c r="K506" i="5"/>
  <c r="K507" i="5"/>
  <c r="K508" i="5"/>
  <c r="K509" i="5"/>
  <c r="K510" i="5"/>
  <c r="K511" i="5"/>
  <c r="K512" i="5"/>
  <c r="K513" i="5"/>
  <c r="K514" i="5"/>
  <c r="K515" i="5"/>
  <c r="K516" i="5"/>
  <c r="K517" i="5"/>
  <c r="K518" i="5"/>
  <c r="K519" i="5"/>
  <c r="K520" i="5"/>
  <c r="K521" i="5"/>
  <c r="K522" i="5"/>
  <c r="K523" i="5"/>
  <c r="K524" i="5"/>
  <c r="K525" i="5"/>
  <c r="K526" i="5"/>
  <c r="K527" i="5"/>
  <c r="K528" i="5"/>
  <c r="K529" i="5"/>
  <c r="K530" i="5"/>
  <c r="K531" i="5"/>
  <c r="K532" i="5"/>
  <c r="K533" i="5"/>
  <c r="K534" i="5"/>
  <c r="K535" i="5"/>
  <c r="K536" i="5"/>
  <c r="K537" i="5"/>
  <c r="K538" i="5"/>
  <c r="K539" i="5"/>
  <c r="K540" i="5"/>
  <c r="K541" i="5"/>
  <c r="K542" i="5"/>
  <c r="K543" i="5"/>
  <c r="K544" i="5"/>
  <c r="K545" i="5"/>
  <c r="K546" i="5"/>
  <c r="K547" i="5"/>
  <c r="K548" i="5"/>
  <c r="K549" i="5"/>
  <c r="K550" i="5"/>
  <c r="K551" i="5"/>
  <c r="K552" i="5"/>
  <c r="K553" i="5"/>
  <c r="K554" i="5"/>
  <c r="K555" i="5"/>
  <c r="K556" i="5"/>
  <c r="K557" i="5"/>
  <c r="K558" i="5"/>
  <c r="K559" i="5"/>
  <c r="K560" i="5"/>
  <c r="K561" i="5"/>
  <c r="K562" i="5"/>
  <c r="K563" i="5"/>
  <c r="K564" i="5"/>
  <c r="K565" i="5"/>
  <c r="K566" i="5"/>
  <c r="K567" i="5"/>
  <c r="K568" i="5"/>
  <c r="K569" i="5"/>
  <c r="K570" i="5"/>
  <c r="K571" i="5"/>
  <c r="K572" i="5"/>
  <c r="K573" i="5"/>
  <c r="K574" i="5"/>
  <c r="K575" i="5"/>
  <c r="K576" i="5"/>
  <c r="K577" i="5"/>
  <c r="K578" i="5"/>
  <c r="K579" i="5"/>
  <c r="K580" i="5"/>
  <c r="K581" i="5"/>
  <c r="K582" i="5"/>
  <c r="K583" i="5"/>
  <c r="K584" i="5"/>
  <c r="K585" i="5"/>
  <c r="K586" i="5"/>
  <c r="K587" i="5"/>
  <c r="K588" i="5"/>
  <c r="K589" i="5"/>
  <c r="K590" i="5"/>
  <c r="K591" i="5"/>
  <c r="K592" i="5"/>
  <c r="K593" i="5"/>
  <c r="K594" i="5"/>
  <c r="K595" i="5"/>
  <c r="K596" i="5"/>
  <c r="K597" i="5"/>
  <c r="K598" i="5"/>
  <c r="K599" i="5"/>
  <c r="K600" i="5"/>
  <c r="K601" i="5"/>
  <c r="K602" i="5"/>
  <c r="K603" i="5"/>
  <c r="K604" i="5"/>
  <c r="K605" i="5"/>
  <c r="K606" i="5"/>
  <c r="K607" i="5"/>
  <c r="K608" i="5"/>
  <c r="K609" i="5"/>
  <c r="K610" i="5"/>
  <c r="K611" i="5"/>
  <c r="K612" i="5"/>
  <c r="K613" i="5"/>
  <c r="K614" i="5"/>
  <c r="K615" i="5"/>
  <c r="K616" i="5"/>
  <c r="K617" i="5"/>
  <c r="K618" i="5"/>
  <c r="K619" i="5"/>
  <c r="K620" i="5"/>
  <c r="K621" i="5"/>
  <c r="K622" i="5"/>
  <c r="K623" i="5"/>
  <c r="K624" i="5"/>
  <c r="K625" i="5"/>
  <c r="K626" i="5"/>
  <c r="K627" i="5"/>
  <c r="K628" i="5"/>
  <c r="K629" i="5"/>
  <c r="K630" i="5"/>
  <c r="K631" i="5"/>
  <c r="K632" i="5"/>
  <c r="K633" i="5"/>
  <c r="K634" i="5"/>
  <c r="K635" i="5"/>
  <c r="K636" i="5"/>
  <c r="K637" i="5"/>
  <c r="K638" i="5"/>
  <c r="K639" i="5"/>
  <c r="K640" i="5"/>
  <c r="K641" i="5"/>
  <c r="K642" i="5"/>
  <c r="K643" i="5"/>
  <c r="K644" i="5"/>
  <c r="K645" i="5"/>
  <c r="K646" i="5"/>
  <c r="K647" i="5"/>
  <c r="K648" i="5"/>
  <c r="K649" i="5"/>
  <c r="K650" i="5"/>
  <c r="K651" i="5"/>
  <c r="K652" i="5"/>
  <c r="K653" i="5"/>
  <c r="K654" i="5"/>
  <c r="K655" i="5"/>
  <c r="K656" i="5"/>
  <c r="K657" i="5"/>
  <c r="K658" i="5"/>
  <c r="K659" i="5"/>
  <c r="K660" i="5"/>
  <c r="K661" i="5"/>
  <c r="K662" i="5"/>
  <c r="K663" i="5"/>
  <c r="K664" i="5"/>
  <c r="K665" i="5"/>
  <c r="K666" i="5"/>
  <c r="K667" i="5"/>
  <c r="K668" i="5"/>
  <c r="K669" i="5"/>
  <c r="K670" i="5"/>
  <c r="K671" i="5"/>
  <c r="K672" i="5"/>
  <c r="K673" i="5"/>
  <c r="K674" i="5"/>
  <c r="K675" i="5"/>
  <c r="K676" i="5"/>
  <c r="K677" i="5"/>
  <c r="K678" i="5"/>
  <c r="K679" i="5"/>
  <c r="K680" i="5"/>
  <c r="K681" i="5"/>
  <c r="K682" i="5"/>
  <c r="K683" i="5"/>
  <c r="K684" i="5"/>
  <c r="K685" i="5"/>
  <c r="K686" i="5"/>
  <c r="K687" i="5"/>
  <c r="K688" i="5"/>
  <c r="K689" i="5"/>
  <c r="K690" i="5"/>
  <c r="K691" i="5"/>
  <c r="K692" i="5"/>
  <c r="K693" i="5"/>
  <c r="K1" i="5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T322" i="4"/>
  <c r="T323" i="4"/>
  <c r="T324" i="4"/>
  <c r="T325" i="4"/>
  <c r="T326" i="4"/>
  <c r="T327" i="4"/>
  <c r="T328" i="4"/>
  <c r="T329" i="4"/>
  <c r="T330" i="4"/>
  <c r="T331" i="4"/>
  <c r="T332" i="4"/>
  <c r="T333" i="4"/>
  <c r="T334" i="4"/>
  <c r="T335" i="4"/>
  <c r="T336" i="4"/>
  <c r="T337" i="4"/>
  <c r="T338" i="4"/>
  <c r="T339" i="4"/>
  <c r="T340" i="4"/>
  <c r="T341" i="4"/>
  <c r="T342" i="4"/>
  <c r="T343" i="4"/>
  <c r="T344" i="4"/>
  <c r="T345" i="4"/>
  <c r="T346" i="4"/>
  <c r="T347" i="4"/>
  <c r="T348" i="4"/>
  <c r="T349" i="4"/>
  <c r="T350" i="4"/>
  <c r="T351" i="4"/>
  <c r="T352" i="4"/>
  <c r="T353" i="4"/>
  <c r="T354" i="4"/>
  <c r="T355" i="4"/>
  <c r="T356" i="4"/>
  <c r="T357" i="4"/>
  <c r="T358" i="4"/>
  <c r="T359" i="4"/>
  <c r="T360" i="4"/>
  <c r="T361" i="4"/>
  <c r="T362" i="4"/>
  <c r="T363" i="4"/>
  <c r="T364" i="4"/>
  <c r="T365" i="4"/>
  <c r="T366" i="4"/>
  <c r="T367" i="4"/>
  <c r="T368" i="4"/>
  <c r="T369" i="4"/>
  <c r="T370" i="4"/>
  <c r="T371" i="4"/>
  <c r="T372" i="4"/>
  <c r="T373" i="4"/>
  <c r="T374" i="4"/>
  <c r="T375" i="4"/>
  <c r="T376" i="4"/>
  <c r="T377" i="4"/>
  <c r="T378" i="4"/>
  <c r="T379" i="4"/>
  <c r="T380" i="4"/>
  <c r="T381" i="4"/>
  <c r="T382" i="4"/>
  <c r="T383" i="4"/>
  <c r="T384" i="4"/>
  <c r="T385" i="4"/>
  <c r="T386" i="4"/>
  <c r="T387" i="4"/>
  <c r="T388" i="4"/>
  <c r="T389" i="4"/>
  <c r="T390" i="4"/>
  <c r="T391" i="4"/>
  <c r="T392" i="4"/>
  <c r="T393" i="4"/>
  <c r="T394" i="4"/>
  <c r="T395" i="4"/>
  <c r="T396" i="4"/>
  <c r="T397" i="4"/>
  <c r="T398" i="4"/>
  <c r="T399" i="4"/>
  <c r="T400" i="4"/>
  <c r="T401" i="4"/>
  <c r="T402" i="4"/>
  <c r="T403" i="4"/>
  <c r="T404" i="4"/>
  <c r="T405" i="4"/>
  <c r="T406" i="4"/>
  <c r="T407" i="4"/>
  <c r="T408" i="4"/>
  <c r="T409" i="4"/>
  <c r="T410" i="4"/>
  <c r="T411" i="4"/>
  <c r="T412" i="4"/>
  <c r="T413" i="4"/>
  <c r="T414" i="4"/>
  <c r="T415" i="4"/>
  <c r="T416" i="4"/>
  <c r="T417" i="4"/>
  <c r="T418" i="4"/>
  <c r="T419" i="4"/>
  <c r="T420" i="4"/>
  <c r="T421" i="4"/>
  <c r="T422" i="4"/>
  <c r="T423" i="4"/>
  <c r="T424" i="4"/>
  <c r="T425" i="4"/>
  <c r="T426" i="4"/>
  <c r="T427" i="4"/>
  <c r="T428" i="4"/>
  <c r="T429" i="4"/>
  <c r="T430" i="4"/>
  <c r="T431" i="4"/>
  <c r="T432" i="4"/>
  <c r="T433" i="4"/>
  <c r="T434" i="4"/>
  <c r="T435" i="4"/>
  <c r="T436" i="4"/>
  <c r="T437" i="4"/>
  <c r="T438" i="4"/>
  <c r="T439" i="4"/>
  <c r="T440" i="4"/>
  <c r="T441" i="4"/>
  <c r="T442" i="4"/>
  <c r="T443" i="4"/>
  <c r="T444" i="4"/>
  <c r="T445" i="4"/>
  <c r="T446" i="4"/>
  <c r="T447" i="4"/>
  <c r="T448" i="4"/>
  <c r="T449" i="4"/>
  <c r="T450" i="4"/>
  <c r="T451" i="4"/>
  <c r="T452" i="4"/>
  <c r="T453" i="4"/>
  <c r="T454" i="4"/>
  <c r="T455" i="4"/>
  <c r="T456" i="4"/>
  <c r="T457" i="4"/>
  <c r="T458" i="4"/>
  <c r="T459" i="4"/>
  <c r="T460" i="4"/>
  <c r="T461" i="4"/>
  <c r="T462" i="4"/>
  <c r="T463" i="4"/>
  <c r="T464" i="4"/>
  <c r="T465" i="4"/>
  <c r="T466" i="4"/>
  <c r="T467" i="4"/>
  <c r="T468" i="4"/>
  <c r="T469" i="4"/>
  <c r="T470" i="4"/>
  <c r="T471" i="4"/>
  <c r="T472" i="4"/>
  <c r="T473" i="4"/>
  <c r="T474" i="4"/>
  <c r="T475" i="4"/>
  <c r="T476" i="4"/>
  <c r="T477" i="4"/>
  <c r="T478" i="4"/>
  <c r="T479" i="4"/>
  <c r="T480" i="4"/>
  <c r="T481" i="4"/>
  <c r="T482" i="4"/>
  <c r="T483" i="4"/>
  <c r="T484" i="4"/>
  <c r="T485" i="4"/>
  <c r="T486" i="4"/>
  <c r="T487" i="4"/>
  <c r="T488" i="4"/>
  <c r="T489" i="4"/>
  <c r="T490" i="4"/>
  <c r="T491" i="4"/>
  <c r="T492" i="4"/>
  <c r="T493" i="4"/>
  <c r="T494" i="4"/>
  <c r="T495" i="4"/>
  <c r="T496" i="4"/>
  <c r="T497" i="4"/>
  <c r="T498" i="4"/>
  <c r="T499" i="4"/>
  <c r="T500" i="4"/>
  <c r="T501" i="4"/>
  <c r="T502" i="4"/>
  <c r="T503" i="4"/>
  <c r="T504" i="4"/>
  <c r="T505" i="4"/>
  <c r="T506" i="4"/>
  <c r="T507" i="4"/>
  <c r="T508" i="4"/>
  <c r="T509" i="4"/>
  <c r="T510" i="4"/>
  <c r="T511" i="4"/>
  <c r="T512" i="4"/>
  <c r="T513" i="4"/>
  <c r="T514" i="4"/>
  <c r="T515" i="4"/>
  <c r="T516" i="4"/>
  <c r="T517" i="4"/>
  <c r="T518" i="4"/>
  <c r="T519" i="4"/>
  <c r="T520" i="4"/>
  <c r="T521" i="4"/>
  <c r="T522" i="4"/>
  <c r="T523" i="4"/>
  <c r="T524" i="4"/>
  <c r="T525" i="4"/>
  <c r="T526" i="4"/>
  <c r="T527" i="4"/>
  <c r="T528" i="4"/>
  <c r="T529" i="4"/>
  <c r="T530" i="4"/>
  <c r="T531" i="4"/>
  <c r="T532" i="4"/>
  <c r="T533" i="4"/>
  <c r="T534" i="4"/>
  <c r="T535" i="4"/>
  <c r="T536" i="4"/>
  <c r="T537" i="4"/>
  <c r="T538" i="4"/>
  <c r="T539" i="4"/>
  <c r="T540" i="4"/>
  <c r="T541" i="4"/>
  <c r="T542" i="4"/>
  <c r="T543" i="4"/>
  <c r="T544" i="4"/>
  <c r="T545" i="4"/>
  <c r="T546" i="4"/>
  <c r="T547" i="4"/>
  <c r="T548" i="4"/>
  <c r="T549" i="4"/>
  <c r="T550" i="4"/>
  <c r="T551" i="4"/>
  <c r="T552" i="4"/>
  <c r="T553" i="4"/>
  <c r="T554" i="4"/>
  <c r="T555" i="4"/>
  <c r="T556" i="4"/>
  <c r="T557" i="4"/>
  <c r="T558" i="4"/>
  <c r="T559" i="4"/>
  <c r="T560" i="4"/>
  <c r="T561" i="4"/>
  <c r="T562" i="4"/>
  <c r="T563" i="4"/>
  <c r="T564" i="4"/>
  <c r="T565" i="4"/>
  <c r="T566" i="4"/>
  <c r="T567" i="4"/>
  <c r="T568" i="4"/>
  <c r="T569" i="4"/>
  <c r="T570" i="4"/>
  <c r="T571" i="4"/>
  <c r="T572" i="4"/>
  <c r="T573" i="4"/>
  <c r="T574" i="4"/>
  <c r="T575" i="4"/>
  <c r="T576" i="4"/>
  <c r="T577" i="4"/>
  <c r="T578" i="4"/>
  <c r="T579" i="4"/>
  <c r="T580" i="4"/>
  <c r="T581" i="4"/>
  <c r="T582" i="4"/>
  <c r="T583" i="4"/>
  <c r="T584" i="4"/>
  <c r="T585" i="4"/>
  <c r="T586" i="4"/>
  <c r="T587" i="4"/>
  <c r="T588" i="4"/>
  <c r="T589" i="4"/>
  <c r="T590" i="4"/>
  <c r="T591" i="4"/>
  <c r="T592" i="4"/>
  <c r="T593" i="4"/>
  <c r="T594" i="4"/>
  <c r="T595" i="4"/>
  <c r="T596" i="4"/>
  <c r="T597" i="4"/>
  <c r="T598" i="4"/>
  <c r="T599" i="4"/>
  <c r="T600" i="4"/>
  <c r="T601" i="4"/>
  <c r="T602" i="4"/>
  <c r="T603" i="4"/>
  <c r="T604" i="4"/>
  <c r="T605" i="4"/>
  <c r="T606" i="4"/>
  <c r="T607" i="4"/>
  <c r="T608" i="4"/>
  <c r="T609" i="4"/>
  <c r="T610" i="4"/>
  <c r="T611" i="4"/>
  <c r="T612" i="4"/>
  <c r="T613" i="4"/>
  <c r="T614" i="4"/>
  <c r="T615" i="4"/>
  <c r="T616" i="4"/>
  <c r="T617" i="4"/>
  <c r="T618" i="4"/>
  <c r="T619" i="4"/>
  <c r="T620" i="4"/>
  <c r="T621" i="4"/>
  <c r="T622" i="4"/>
  <c r="T623" i="4"/>
  <c r="T624" i="4"/>
  <c r="T625" i="4"/>
  <c r="T626" i="4"/>
  <c r="T627" i="4"/>
  <c r="T628" i="4"/>
  <c r="T629" i="4"/>
  <c r="T630" i="4"/>
  <c r="T631" i="4"/>
  <c r="T632" i="4"/>
  <c r="T633" i="4"/>
  <c r="T634" i="4"/>
  <c r="T635" i="4"/>
  <c r="T636" i="4"/>
  <c r="T637" i="4"/>
  <c r="T638" i="4"/>
  <c r="T639" i="4"/>
  <c r="T640" i="4"/>
  <c r="T641" i="4"/>
  <c r="T642" i="4"/>
  <c r="T643" i="4"/>
  <c r="T644" i="4"/>
  <c r="T645" i="4"/>
  <c r="T646" i="4"/>
  <c r="T647" i="4"/>
  <c r="T648" i="4"/>
  <c r="T649" i="4"/>
  <c r="T650" i="4"/>
  <c r="T651" i="4"/>
  <c r="T652" i="4"/>
  <c r="T653" i="4"/>
  <c r="T654" i="4"/>
  <c r="T655" i="4"/>
  <c r="T656" i="4"/>
  <c r="T657" i="4"/>
  <c r="T658" i="4"/>
  <c r="T659" i="4"/>
  <c r="T660" i="4"/>
  <c r="T661" i="4"/>
  <c r="T662" i="4"/>
  <c r="T663" i="4"/>
  <c r="T664" i="4"/>
  <c r="T665" i="4"/>
  <c r="T666" i="4"/>
  <c r="T667" i="4"/>
  <c r="T668" i="4"/>
  <c r="T669" i="4"/>
  <c r="T670" i="4"/>
  <c r="T671" i="4"/>
  <c r="T672" i="4"/>
  <c r="T673" i="4"/>
  <c r="T674" i="4"/>
  <c r="T675" i="4"/>
  <c r="T676" i="4"/>
  <c r="T677" i="4"/>
  <c r="T678" i="4"/>
  <c r="T679" i="4"/>
  <c r="T680" i="4"/>
  <c r="T681" i="4"/>
  <c r="T682" i="4"/>
  <c r="T683" i="4"/>
  <c r="T684" i="4"/>
  <c r="T685" i="4"/>
  <c r="T686" i="4"/>
  <c r="T687" i="4"/>
  <c r="T688" i="4"/>
  <c r="T689" i="4"/>
  <c r="T690" i="4"/>
  <c r="T691" i="4"/>
  <c r="T692" i="4"/>
  <c r="T693" i="4"/>
  <c r="T694" i="4"/>
  <c r="T695" i="4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4" i="1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N654" i="4"/>
  <c r="N658" i="4"/>
  <c r="Z190" i="4" l="1"/>
  <c r="Z191" i="4"/>
  <c r="Z194" i="4"/>
  <c r="Z195" i="4"/>
  <c r="Z201" i="4"/>
  <c r="Z202" i="4"/>
  <c r="Z203" i="4"/>
  <c r="Z206" i="4"/>
  <c r="Z207" i="4"/>
  <c r="Z211" i="4"/>
  <c r="Z217" i="4"/>
  <c r="Z218" i="4"/>
  <c r="Z219" i="4"/>
  <c r="Z199" i="4"/>
  <c r="Z210" i="4"/>
  <c r="Z215" i="4"/>
  <c r="Z414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X219" i="4" s="1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X414" i="4" s="1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X655" i="4" s="1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U189" i="4" a="1"/>
  <c r="U189" i="4" s="1"/>
  <c r="U191" i="4" a="1"/>
  <c r="U191" i="4" s="1"/>
  <c r="U201" i="4" a="1"/>
  <c r="U201" i="4" s="1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S322" i="4"/>
  <c r="S323" i="4"/>
  <c r="S324" i="4"/>
  <c r="S325" i="4"/>
  <c r="S326" i="4"/>
  <c r="S327" i="4"/>
  <c r="S328" i="4"/>
  <c r="S329" i="4"/>
  <c r="S330" i="4"/>
  <c r="S331" i="4"/>
  <c r="S332" i="4"/>
  <c r="S333" i="4"/>
  <c r="S334" i="4"/>
  <c r="S335" i="4"/>
  <c r="S336" i="4"/>
  <c r="S337" i="4"/>
  <c r="S338" i="4"/>
  <c r="S339" i="4"/>
  <c r="S340" i="4"/>
  <c r="S341" i="4"/>
  <c r="S342" i="4"/>
  <c r="S343" i="4"/>
  <c r="S344" i="4"/>
  <c r="S345" i="4"/>
  <c r="S346" i="4"/>
  <c r="S347" i="4"/>
  <c r="S348" i="4"/>
  <c r="S349" i="4"/>
  <c r="S350" i="4"/>
  <c r="S351" i="4"/>
  <c r="S352" i="4"/>
  <c r="S353" i="4"/>
  <c r="S354" i="4"/>
  <c r="S355" i="4"/>
  <c r="S356" i="4"/>
  <c r="S357" i="4"/>
  <c r="S358" i="4"/>
  <c r="S359" i="4"/>
  <c r="S360" i="4"/>
  <c r="S361" i="4"/>
  <c r="S362" i="4"/>
  <c r="S363" i="4"/>
  <c r="S364" i="4"/>
  <c r="S365" i="4"/>
  <c r="S366" i="4"/>
  <c r="S367" i="4"/>
  <c r="S368" i="4"/>
  <c r="S369" i="4"/>
  <c r="S370" i="4"/>
  <c r="S371" i="4"/>
  <c r="S372" i="4"/>
  <c r="S373" i="4"/>
  <c r="S374" i="4"/>
  <c r="S375" i="4"/>
  <c r="S376" i="4"/>
  <c r="S377" i="4"/>
  <c r="S378" i="4"/>
  <c r="S379" i="4"/>
  <c r="S380" i="4"/>
  <c r="S381" i="4"/>
  <c r="S382" i="4"/>
  <c r="S383" i="4"/>
  <c r="S384" i="4"/>
  <c r="S385" i="4"/>
  <c r="S386" i="4"/>
  <c r="S387" i="4"/>
  <c r="S388" i="4"/>
  <c r="S389" i="4"/>
  <c r="S390" i="4"/>
  <c r="S391" i="4"/>
  <c r="S392" i="4"/>
  <c r="S393" i="4"/>
  <c r="S394" i="4"/>
  <c r="S395" i="4"/>
  <c r="S396" i="4"/>
  <c r="S397" i="4"/>
  <c r="S398" i="4"/>
  <c r="S399" i="4"/>
  <c r="S400" i="4"/>
  <c r="S401" i="4"/>
  <c r="S402" i="4"/>
  <c r="S403" i="4"/>
  <c r="S404" i="4"/>
  <c r="S405" i="4"/>
  <c r="S406" i="4"/>
  <c r="S407" i="4"/>
  <c r="S408" i="4"/>
  <c r="S409" i="4"/>
  <c r="S410" i="4"/>
  <c r="S411" i="4"/>
  <c r="S412" i="4"/>
  <c r="S413" i="4"/>
  <c r="S414" i="4"/>
  <c r="S415" i="4"/>
  <c r="S416" i="4"/>
  <c r="S417" i="4"/>
  <c r="S418" i="4"/>
  <c r="S419" i="4"/>
  <c r="S420" i="4"/>
  <c r="S421" i="4"/>
  <c r="S422" i="4"/>
  <c r="S423" i="4"/>
  <c r="S424" i="4"/>
  <c r="S425" i="4"/>
  <c r="S426" i="4"/>
  <c r="S427" i="4"/>
  <c r="S428" i="4"/>
  <c r="S429" i="4"/>
  <c r="S430" i="4"/>
  <c r="S431" i="4"/>
  <c r="S432" i="4"/>
  <c r="S433" i="4"/>
  <c r="S434" i="4"/>
  <c r="S435" i="4"/>
  <c r="S436" i="4"/>
  <c r="S437" i="4"/>
  <c r="S438" i="4"/>
  <c r="S439" i="4"/>
  <c r="S440" i="4"/>
  <c r="S441" i="4"/>
  <c r="S442" i="4"/>
  <c r="S443" i="4"/>
  <c r="S444" i="4"/>
  <c r="S445" i="4"/>
  <c r="S446" i="4"/>
  <c r="S447" i="4"/>
  <c r="S448" i="4"/>
  <c r="S449" i="4"/>
  <c r="S450" i="4"/>
  <c r="S451" i="4"/>
  <c r="S452" i="4"/>
  <c r="S453" i="4"/>
  <c r="S454" i="4"/>
  <c r="S455" i="4"/>
  <c r="S456" i="4"/>
  <c r="S457" i="4"/>
  <c r="S458" i="4"/>
  <c r="S459" i="4"/>
  <c r="S460" i="4"/>
  <c r="S461" i="4"/>
  <c r="S462" i="4"/>
  <c r="S463" i="4"/>
  <c r="S464" i="4"/>
  <c r="S465" i="4"/>
  <c r="S466" i="4"/>
  <c r="S467" i="4"/>
  <c r="S468" i="4"/>
  <c r="S469" i="4"/>
  <c r="S470" i="4"/>
  <c r="S471" i="4"/>
  <c r="S472" i="4"/>
  <c r="S473" i="4"/>
  <c r="S474" i="4"/>
  <c r="S475" i="4"/>
  <c r="S476" i="4"/>
  <c r="S477" i="4"/>
  <c r="S478" i="4"/>
  <c r="S479" i="4"/>
  <c r="S480" i="4"/>
  <c r="S481" i="4"/>
  <c r="S482" i="4"/>
  <c r="S483" i="4"/>
  <c r="S484" i="4"/>
  <c r="S485" i="4"/>
  <c r="S486" i="4"/>
  <c r="S487" i="4"/>
  <c r="S488" i="4"/>
  <c r="S489" i="4"/>
  <c r="S490" i="4"/>
  <c r="S491" i="4"/>
  <c r="S492" i="4"/>
  <c r="S493" i="4"/>
  <c r="S494" i="4"/>
  <c r="S495" i="4"/>
  <c r="S496" i="4"/>
  <c r="S497" i="4"/>
  <c r="S498" i="4"/>
  <c r="S499" i="4"/>
  <c r="S500" i="4"/>
  <c r="S501" i="4"/>
  <c r="S502" i="4"/>
  <c r="S503" i="4"/>
  <c r="S504" i="4"/>
  <c r="S505" i="4"/>
  <c r="S506" i="4"/>
  <c r="S507" i="4"/>
  <c r="S508" i="4"/>
  <c r="S509" i="4"/>
  <c r="S510" i="4"/>
  <c r="S511" i="4"/>
  <c r="S512" i="4"/>
  <c r="S513" i="4"/>
  <c r="S514" i="4"/>
  <c r="S515" i="4"/>
  <c r="S516" i="4"/>
  <c r="S517" i="4"/>
  <c r="S518" i="4"/>
  <c r="S519" i="4"/>
  <c r="S520" i="4"/>
  <c r="S521" i="4"/>
  <c r="S522" i="4"/>
  <c r="S523" i="4"/>
  <c r="S524" i="4"/>
  <c r="S525" i="4"/>
  <c r="S526" i="4"/>
  <c r="S527" i="4"/>
  <c r="S528" i="4"/>
  <c r="S529" i="4"/>
  <c r="S530" i="4"/>
  <c r="S531" i="4"/>
  <c r="S532" i="4"/>
  <c r="S533" i="4"/>
  <c r="S534" i="4"/>
  <c r="S535" i="4"/>
  <c r="S536" i="4"/>
  <c r="S537" i="4"/>
  <c r="S538" i="4"/>
  <c r="S539" i="4"/>
  <c r="S540" i="4"/>
  <c r="S541" i="4"/>
  <c r="S542" i="4"/>
  <c r="S543" i="4"/>
  <c r="S544" i="4"/>
  <c r="S545" i="4"/>
  <c r="S546" i="4"/>
  <c r="S547" i="4"/>
  <c r="S548" i="4"/>
  <c r="S549" i="4"/>
  <c r="S550" i="4"/>
  <c r="S551" i="4"/>
  <c r="S552" i="4"/>
  <c r="S553" i="4"/>
  <c r="S554" i="4"/>
  <c r="S555" i="4"/>
  <c r="S556" i="4"/>
  <c r="S557" i="4"/>
  <c r="S558" i="4"/>
  <c r="S559" i="4"/>
  <c r="S560" i="4"/>
  <c r="S561" i="4"/>
  <c r="S562" i="4"/>
  <c r="S563" i="4"/>
  <c r="S564" i="4"/>
  <c r="S565" i="4"/>
  <c r="S566" i="4"/>
  <c r="S567" i="4"/>
  <c r="S568" i="4"/>
  <c r="S569" i="4"/>
  <c r="S570" i="4"/>
  <c r="S571" i="4"/>
  <c r="S572" i="4"/>
  <c r="S573" i="4"/>
  <c r="S574" i="4"/>
  <c r="S575" i="4"/>
  <c r="S576" i="4"/>
  <c r="S577" i="4"/>
  <c r="S578" i="4"/>
  <c r="S579" i="4"/>
  <c r="S580" i="4"/>
  <c r="S581" i="4"/>
  <c r="S582" i="4"/>
  <c r="S583" i="4"/>
  <c r="S584" i="4"/>
  <c r="S585" i="4"/>
  <c r="S586" i="4"/>
  <c r="S587" i="4"/>
  <c r="S588" i="4"/>
  <c r="S589" i="4"/>
  <c r="S590" i="4"/>
  <c r="S591" i="4"/>
  <c r="S592" i="4"/>
  <c r="S593" i="4"/>
  <c r="S594" i="4"/>
  <c r="S595" i="4"/>
  <c r="S596" i="4"/>
  <c r="S597" i="4"/>
  <c r="S598" i="4"/>
  <c r="S599" i="4"/>
  <c r="S600" i="4"/>
  <c r="S601" i="4"/>
  <c r="S602" i="4"/>
  <c r="S603" i="4"/>
  <c r="S604" i="4"/>
  <c r="S605" i="4"/>
  <c r="S606" i="4"/>
  <c r="S607" i="4"/>
  <c r="S608" i="4"/>
  <c r="S609" i="4"/>
  <c r="S610" i="4"/>
  <c r="S611" i="4"/>
  <c r="S612" i="4"/>
  <c r="S613" i="4"/>
  <c r="S614" i="4"/>
  <c r="S615" i="4"/>
  <c r="S616" i="4"/>
  <c r="S617" i="4"/>
  <c r="S618" i="4"/>
  <c r="S619" i="4"/>
  <c r="S620" i="4"/>
  <c r="S621" i="4"/>
  <c r="S622" i="4"/>
  <c r="S623" i="4"/>
  <c r="S624" i="4"/>
  <c r="S625" i="4"/>
  <c r="S626" i="4"/>
  <c r="S627" i="4"/>
  <c r="S628" i="4"/>
  <c r="S629" i="4"/>
  <c r="S630" i="4"/>
  <c r="S631" i="4"/>
  <c r="S632" i="4"/>
  <c r="S633" i="4"/>
  <c r="S634" i="4"/>
  <c r="S635" i="4"/>
  <c r="S636" i="4"/>
  <c r="S637" i="4"/>
  <c r="S638" i="4"/>
  <c r="S639" i="4"/>
  <c r="S640" i="4"/>
  <c r="S641" i="4"/>
  <c r="S642" i="4"/>
  <c r="S643" i="4"/>
  <c r="S644" i="4"/>
  <c r="S645" i="4"/>
  <c r="S646" i="4"/>
  <c r="S647" i="4"/>
  <c r="S648" i="4"/>
  <c r="S649" i="4"/>
  <c r="S650" i="4"/>
  <c r="S651" i="4"/>
  <c r="S652" i="4"/>
  <c r="S653" i="4"/>
  <c r="S654" i="4"/>
  <c r="S655" i="4"/>
  <c r="S656" i="4"/>
  <c r="S657" i="4"/>
  <c r="S658" i="4"/>
  <c r="S659" i="4"/>
  <c r="S660" i="4"/>
  <c r="S661" i="4"/>
  <c r="S662" i="4"/>
  <c r="S663" i="4"/>
  <c r="S664" i="4"/>
  <c r="S665" i="4"/>
  <c r="S666" i="4"/>
  <c r="S667" i="4"/>
  <c r="S668" i="4"/>
  <c r="S669" i="4"/>
  <c r="S670" i="4"/>
  <c r="S671" i="4"/>
  <c r="S672" i="4"/>
  <c r="S673" i="4"/>
  <c r="S674" i="4"/>
  <c r="S675" i="4"/>
  <c r="S676" i="4"/>
  <c r="S677" i="4"/>
  <c r="S678" i="4"/>
  <c r="S679" i="4"/>
  <c r="S680" i="4"/>
  <c r="S681" i="4"/>
  <c r="S682" i="4"/>
  <c r="S683" i="4"/>
  <c r="S684" i="4"/>
  <c r="S685" i="4"/>
  <c r="S686" i="4"/>
  <c r="S687" i="4"/>
  <c r="S688" i="4"/>
  <c r="S689" i="4"/>
  <c r="S690" i="4"/>
  <c r="S691" i="4"/>
  <c r="S692" i="4"/>
  <c r="S693" i="4"/>
  <c r="S694" i="4"/>
  <c r="S695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X191" i="4" s="1"/>
  <c r="Q192" i="4"/>
  <c r="Q193" i="4"/>
  <c r="Q194" i="4"/>
  <c r="Q195" i="4"/>
  <c r="U195" i="4" s="1" a="1"/>
  <c r="U195" i="4" s="1"/>
  <c r="Q196" i="4"/>
  <c r="Q197" i="4"/>
  <c r="Q198" i="4"/>
  <c r="Q199" i="4"/>
  <c r="X199" i="4" s="1"/>
  <c r="Q200" i="4"/>
  <c r="Q201" i="4"/>
  <c r="Q202" i="4"/>
  <c r="Q203" i="4"/>
  <c r="X203" i="4" s="1"/>
  <c r="Q204" i="4"/>
  <c r="Q205" i="4"/>
  <c r="Q206" i="4"/>
  <c r="Q207" i="4"/>
  <c r="X207" i="4" s="1"/>
  <c r="Q208" i="4"/>
  <c r="Q209" i="4"/>
  <c r="Q210" i="4"/>
  <c r="Q211" i="4"/>
  <c r="X211" i="4" s="1"/>
  <c r="Q212" i="4"/>
  <c r="Q213" i="4"/>
  <c r="Q214" i="4"/>
  <c r="Q215" i="4"/>
  <c r="X215" i="4" s="1"/>
  <c r="Q216" i="4"/>
  <c r="Q217" i="4"/>
  <c r="Q218" i="4"/>
  <c r="X218" i="4" s="1"/>
  <c r="Q219" i="4"/>
  <c r="U219" i="4" s="1" a="1"/>
  <c r="U219" i="4" s="1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X659" i="4" s="1"/>
  <c r="Q660" i="4"/>
  <c r="Q661" i="4"/>
  <c r="Q662" i="4"/>
  <c r="Q663" i="4"/>
  <c r="X663" i="4" s="1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U203" i="4" s="1" a="1"/>
  <c r="U203" i="4" s="1"/>
  <c r="P204" i="4"/>
  <c r="P205" i="4"/>
  <c r="U205" i="4" s="1" a="1"/>
  <c r="U205" i="4" s="1"/>
  <c r="P206" i="4"/>
  <c r="P207" i="4"/>
  <c r="P208" i="4"/>
  <c r="P209" i="4"/>
  <c r="P210" i="4"/>
  <c r="P211" i="4"/>
  <c r="P212" i="4"/>
  <c r="P213" i="4"/>
  <c r="U213" i="4" s="1" a="1"/>
  <c r="U213" i="4" s="1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O414" i="4"/>
  <c r="O649" i="4"/>
  <c r="X649" i="4"/>
  <c r="O650" i="4"/>
  <c r="O651" i="4"/>
  <c r="O652" i="4"/>
  <c r="O653" i="4"/>
  <c r="X653" i="4"/>
  <c r="O654" i="4"/>
  <c r="O655" i="4"/>
  <c r="O656" i="4"/>
  <c r="O657" i="4"/>
  <c r="X657" i="4"/>
  <c r="O658" i="4"/>
  <c r="O659" i="4"/>
  <c r="O660" i="4"/>
  <c r="O661" i="4"/>
  <c r="X661" i="4"/>
  <c r="O662" i="4"/>
  <c r="O663" i="4"/>
  <c r="O664" i="4"/>
  <c r="O189" i="4"/>
  <c r="X189" i="4"/>
  <c r="Z189" i="4"/>
  <c r="O190" i="4"/>
  <c r="O191" i="4"/>
  <c r="O192" i="4"/>
  <c r="Z192" i="4"/>
  <c r="O193" i="4"/>
  <c r="U193" i="4" a="1"/>
  <c r="U193" i="4" s="1"/>
  <c r="X193" i="4"/>
  <c r="Z193" i="4"/>
  <c r="O194" i="4"/>
  <c r="O195" i="4"/>
  <c r="O196" i="4"/>
  <c r="Z196" i="4"/>
  <c r="O197" i="4"/>
  <c r="U197" i="4" a="1"/>
  <c r="U197" i="4" s="1"/>
  <c r="X197" i="4"/>
  <c r="Z197" i="4"/>
  <c r="O198" i="4"/>
  <c r="X198" i="4"/>
  <c r="Z198" i="4"/>
  <c r="O199" i="4"/>
  <c r="O200" i="4"/>
  <c r="Z200" i="4"/>
  <c r="O201" i="4"/>
  <c r="X201" i="4"/>
  <c r="O202" i="4"/>
  <c r="X202" i="4"/>
  <c r="O203" i="4"/>
  <c r="O204" i="4"/>
  <c r="Z204" i="4"/>
  <c r="O205" i="4"/>
  <c r="X205" i="4"/>
  <c r="Z205" i="4"/>
  <c r="O206" i="4"/>
  <c r="X206" i="4"/>
  <c r="O207" i="4"/>
  <c r="O208" i="4"/>
  <c r="Z208" i="4"/>
  <c r="O209" i="4"/>
  <c r="X209" i="4"/>
  <c r="Z209" i="4"/>
  <c r="O210" i="4"/>
  <c r="X210" i="4"/>
  <c r="O211" i="4"/>
  <c r="O212" i="4"/>
  <c r="Z212" i="4"/>
  <c r="O213" i="4"/>
  <c r="X213" i="4"/>
  <c r="Z213" i="4"/>
  <c r="O214" i="4"/>
  <c r="X214" i="4"/>
  <c r="Z214" i="4"/>
  <c r="O215" i="4"/>
  <c r="O216" i="4"/>
  <c r="Z216" i="4"/>
  <c r="O217" i="4"/>
  <c r="X217" i="4"/>
  <c r="O218" i="4"/>
  <c r="O219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X195" i="4" l="1"/>
  <c r="U659" i="4" a="1"/>
  <c r="U659" i="4" s="1"/>
  <c r="X651" i="4"/>
  <c r="U217" i="4" a="1"/>
  <c r="U217" i="4" s="1"/>
  <c r="AA217" i="4"/>
  <c r="U209" i="4" a="1"/>
  <c r="U209" i="4" s="1"/>
  <c r="AA209" i="4"/>
  <c r="U212" i="4" a="1"/>
  <c r="U212" i="4" s="1"/>
  <c r="U204" i="4" a="1"/>
  <c r="U204" i="4" s="1"/>
  <c r="AB212" i="4"/>
  <c r="AA212" i="4"/>
  <c r="AB204" i="4"/>
  <c r="AA204" i="4"/>
  <c r="AA201" i="4"/>
  <c r="AA414" i="4"/>
  <c r="U414" i="4" a="1"/>
  <c r="U414" i="4" s="1"/>
  <c r="AB414" i="4"/>
  <c r="U215" i="4" a="1"/>
  <c r="U215" i="4" s="1"/>
  <c r="AA215" i="4"/>
  <c r="U211" i="4" a="1"/>
  <c r="U211" i="4" s="1"/>
  <c r="AA211" i="4"/>
  <c r="U207" i="4" a="1"/>
  <c r="U207" i="4" s="1"/>
  <c r="AA207" i="4"/>
  <c r="U199" i="4" a="1"/>
  <c r="U199" i="4" s="1"/>
  <c r="AA199" i="4"/>
  <c r="U216" i="4" a="1"/>
  <c r="U216" i="4" s="1"/>
  <c r="AA213" i="4"/>
  <c r="AB208" i="4"/>
  <c r="AA208" i="4"/>
  <c r="U200" i="4" a="1"/>
  <c r="U200" i="4" s="1"/>
  <c r="AA197" i="4"/>
  <c r="AA193" i="4"/>
  <c r="AA189" i="4"/>
  <c r="AA219" i="4"/>
  <c r="AB216" i="4"/>
  <c r="AA216" i="4"/>
  <c r="U208" i="4" a="1"/>
  <c r="U208" i="4" s="1"/>
  <c r="AA205" i="4"/>
  <c r="AA203" i="4"/>
  <c r="AB200" i="4"/>
  <c r="AA200" i="4"/>
  <c r="AA195" i="4"/>
  <c r="AA191" i="4"/>
  <c r="U660" i="4" a="1"/>
  <c r="U660" i="4" s="1"/>
  <c r="AB660" i="4"/>
  <c r="AB652" i="4"/>
  <c r="U652" i="4" a="1"/>
  <c r="U652" i="4" s="1"/>
  <c r="U662" i="4" a="1"/>
  <c r="U662" i="4" s="1"/>
  <c r="AB662" i="4"/>
  <c r="AA661" i="4"/>
  <c r="U661" i="4" a="1"/>
  <c r="U661" i="4" s="1"/>
  <c r="AB661" i="4"/>
  <c r="U658" i="4" a="1"/>
  <c r="U658" i="4" s="1"/>
  <c r="AB658" i="4"/>
  <c r="AA657" i="4"/>
  <c r="U657" i="4" a="1"/>
  <c r="U657" i="4" s="1"/>
  <c r="AB657" i="4"/>
  <c r="AB654" i="4"/>
  <c r="U654" i="4" a="1"/>
  <c r="U654" i="4" s="1"/>
  <c r="AA653" i="4"/>
  <c r="U653" i="4" a="1"/>
  <c r="U653" i="4" s="1"/>
  <c r="AB653" i="4"/>
  <c r="U650" i="4" a="1"/>
  <c r="U650" i="4" s="1"/>
  <c r="AB650" i="4"/>
  <c r="AA649" i="4"/>
  <c r="U649" i="4" a="1"/>
  <c r="U649" i="4" s="1"/>
  <c r="AB649" i="4"/>
  <c r="U664" i="4" a="1"/>
  <c r="U664" i="4" s="1"/>
  <c r="AB664" i="4"/>
  <c r="AA663" i="4"/>
  <c r="U663" i="4" a="1"/>
  <c r="U663" i="4" s="1"/>
  <c r="AB663" i="4"/>
  <c r="AA659" i="4"/>
  <c r="U656" i="4" a="1"/>
  <c r="U656" i="4" s="1"/>
  <c r="AB656" i="4"/>
  <c r="AA655" i="4"/>
  <c r="U655" i="4" a="1"/>
  <c r="U655" i="4" s="1"/>
  <c r="AB655" i="4"/>
  <c r="AA651" i="4"/>
  <c r="U651" i="4" a="1"/>
  <c r="U651" i="4" s="1"/>
  <c r="AB651" i="4"/>
  <c r="AA662" i="4"/>
  <c r="X662" i="4"/>
  <c r="AA658" i="4"/>
  <c r="X658" i="4"/>
  <c r="X654" i="4"/>
  <c r="AA654" i="4"/>
  <c r="AA650" i="4"/>
  <c r="X650" i="4"/>
  <c r="X664" i="4"/>
  <c r="AA664" i="4"/>
  <c r="AA660" i="4"/>
  <c r="X660" i="4"/>
  <c r="X656" i="4"/>
  <c r="AA656" i="4"/>
  <c r="X652" i="4"/>
  <c r="AA652" i="4"/>
  <c r="X192" i="4"/>
  <c r="AA192" i="4"/>
  <c r="AB190" i="4"/>
  <c r="U190" i="4" a="1"/>
  <c r="U190" i="4" s="1"/>
  <c r="U218" i="4" a="1"/>
  <c r="U218" i="4" s="1"/>
  <c r="U214" i="4" a="1"/>
  <c r="U214" i="4" s="1"/>
  <c r="U210" i="4" a="1"/>
  <c r="U210" i="4" s="1"/>
  <c r="U206" i="4" a="1"/>
  <c r="U206" i="4" s="1"/>
  <c r="U202" i="4" a="1"/>
  <c r="U202" i="4" s="1"/>
  <c r="U198" i="4" a="1"/>
  <c r="U198" i="4" s="1"/>
  <c r="X194" i="4"/>
  <c r="AA194" i="4"/>
  <c r="U192" i="4" a="1"/>
  <c r="U192" i="4" s="1"/>
  <c r="AB192" i="4"/>
  <c r="AB218" i="4"/>
  <c r="X216" i="4"/>
  <c r="AB214" i="4"/>
  <c r="X212" i="4"/>
  <c r="AB210" i="4"/>
  <c r="X208" i="4"/>
  <c r="AB206" i="4"/>
  <c r="X204" i="4"/>
  <c r="AB202" i="4"/>
  <c r="X200" i="4"/>
  <c r="AB198" i="4"/>
  <c r="X196" i="4"/>
  <c r="AA196" i="4"/>
  <c r="U194" i="4" a="1"/>
  <c r="U194" i="4" s="1"/>
  <c r="AB194" i="4"/>
  <c r="AA218" i="4"/>
  <c r="AA214" i="4"/>
  <c r="AA210" i="4"/>
  <c r="AA206" i="4"/>
  <c r="AA202" i="4"/>
  <c r="AA198" i="4"/>
  <c r="U196" i="4" a="1"/>
  <c r="U196" i="4" s="1"/>
  <c r="AB196" i="4"/>
  <c r="X190" i="4"/>
  <c r="AA190" i="4"/>
  <c r="AB219" i="4"/>
  <c r="AB217" i="4"/>
  <c r="AB215" i="4"/>
  <c r="AB213" i="4"/>
  <c r="AB211" i="4"/>
  <c r="AB209" i="4"/>
  <c r="AB207" i="4"/>
  <c r="AB205" i="4"/>
  <c r="AB203" i="4"/>
  <c r="AB201" i="4"/>
  <c r="AB199" i="4"/>
  <c r="AB197" i="4"/>
  <c r="AB195" i="4"/>
  <c r="AB193" i="4"/>
  <c r="AB191" i="4"/>
  <c r="AB189" i="4"/>
  <c r="X10" i="4"/>
  <c r="X18" i="4"/>
  <c r="X26" i="4"/>
  <c r="X31" i="4"/>
  <c r="X38" i="4"/>
  <c r="X54" i="4"/>
  <c r="X59" i="4"/>
  <c r="X66" i="4"/>
  <c r="X71" i="4"/>
  <c r="X78" i="4"/>
  <c r="X82" i="4"/>
  <c r="X94" i="4"/>
  <c r="X98" i="4"/>
  <c r="X103" i="4"/>
  <c r="X110" i="4"/>
  <c r="X114" i="4"/>
  <c r="X126" i="4"/>
  <c r="X130" i="4"/>
  <c r="X135" i="4"/>
  <c r="X142" i="4"/>
  <c r="X146" i="4"/>
  <c r="X158" i="4"/>
  <c r="X162" i="4"/>
  <c r="X167" i="4"/>
  <c r="X174" i="4"/>
  <c r="X178" i="4"/>
  <c r="X221" i="4"/>
  <c r="X225" i="4"/>
  <c r="X230" i="4"/>
  <c r="X237" i="4"/>
  <c r="X241" i="4"/>
  <c r="X253" i="4"/>
  <c r="X257" i="4"/>
  <c r="X262" i="4"/>
  <c r="X269" i="4"/>
  <c r="X273" i="4"/>
  <c r="X285" i="4"/>
  <c r="X289" i="4"/>
  <c r="X294" i="4"/>
  <c r="X301" i="4"/>
  <c r="X305" i="4"/>
  <c r="X317" i="4"/>
  <c r="X321" i="4"/>
  <c r="X326" i="4"/>
  <c r="X334" i="4"/>
  <c r="X342" i="4"/>
  <c r="X350" i="4"/>
  <c r="X358" i="4"/>
  <c r="X366" i="4"/>
  <c r="X374" i="4"/>
  <c r="X382" i="4"/>
  <c r="X390" i="4"/>
  <c r="X398" i="4"/>
  <c r="X406" i="4"/>
  <c r="X415" i="4"/>
  <c r="X423" i="4"/>
  <c r="X431" i="4"/>
  <c r="X439" i="4"/>
  <c r="X447" i="4"/>
  <c r="X455" i="4"/>
  <c r="X463" i="4"/>
  <c r="X471" i="4"/>
  <c r="X479" i="4"/>
  <c r="X487" i="4"/>
  <c r="X495" i="4"/>
  <c r="X503" i="4"/>
  <c r="X511" i="4"/>
  <c r="X519" i="4"/>
  <c r="X527" i="4"/>
  <c r="X535" i="4"/>
  <c r="X543" i="4"/>
  <c r="X551" i="4"/>
  <c r="X559" i="4"/>
  <c r="X567" i="4"/>
  <c r="X575" i="4"/>
  <c r="X583" i="4"/>
  <c r="X585" i="4"/>
  <c r="X587" i="4"/>
  <c r="X591" i="4"/>
  <c r="X593" i="4"/>
  <c r="X595" i="4"/>
  <c r="X599" i="4"/>
  <c r="X601" i="4"/>
  <c r="X603" i="4"/>
  <c r="X605" i="4"/>
  <c r="X607" i="4"/>
  <c r="X609" i="4"/>
  <c r="X611" i="4"/>
  <c r="X613" i="4"/>
  <c r="X615" i="4"/>
  <c r="X617" i="4"/>
  <c r="X619" i="4"/>
  <c r="X623" i="4"/>
  <c r="X625" i="4"/>
  <c r="X627" i="4"/>
  <c r="X629" i="4"/>
  <c r="X631" i="4"/>
  <c r="X633" i="4"/>
  <c r="X635" i="4"/>
  <c r="X637" i="4"/>
  <c r="X639" i="4"/>
  <c r="X645" i="4"/>
  <c r="X647" i="4"/>
  <c r="X665" i="4"/>
  <c r="X667" i="4"/>
  <c r="X669" i="4"/>
  <c r="X671" i="4"/>
  <c r="X673" i="4"/>
  <c r="X675" i="4"/>
  <c r="X677" i="4"/>
  <c r="X679" i="4"/>
  <c r="X681" i="4"/>
  <c r="X683" i="4"/>
  <c r="X685" i="4"/>
  <c r="X687" i="4"/>
  <c r="X689" i="4"/>
  <c r="X691" i="4"/>
  <c r="X693" i="4"/>
  <c r="X695" i="4"/>
  <c r="Q3" i="4"/>
  <c r="AB25" i="3"/>
  <c r="AB24" i="3"/>
  <c r="AB17" i="3"/>
  <c r="AB16" i="3"/>
  <c r="V4" i="3" a="1"/>
  <c r="V4" i="3" s="1"/>
  <c r="V5" i="3" a="1"/>
  <c r="V5" i="3" s="1"/>
  <c r="V6" i="3" a="1"/>
  <c r="V6" i="3" s="1"/>
  <c r="V7" i="3" a="1"/>
  <c r="V7" i="3" s="1"/>
  <c r="V8" i="3" a="1"/>
  <c r="V8" i="3" s="1"/>
  <c r="V9" i="3" a="1"/>
  <c r="V9" i="3" s="1"/>
  <c r="V10" i="3" a="1"/>
  <c r="V10" i="3" s="1"/>
  <c r="V11" i="3" a="1"/>
  <c r="V11" i="3" s="1"/>
  <c r="V12" i="3" a="1"/>
  <c r="V12" i="3" s="1"/>
  <c r="V13" i="3" a="1"/>
  <c r="V13" i="3" s="1"/>
  <c r="V14" i="3" a="1"/>
  <c r="V14" i="3" s="1"/>
  <c r="V15" i="3" a="1"/>
  <c r="V15" i="3" s="1"/>
  <c r="V16" i="3" a="1"/>
  <c r="V16" i="3" s="1"/>
  <c r="V17" i="3" a="1"/>
  <c r="V17" i="3" s="1"/>
  <c r="V18" i="3" a="1"/>
  <c r="V18" i="3" s="1"/>
  <c r="V19" i="3" a="1"/>
  <c r="V19" i="3" s="1"/>
  <c r="V20" i="3" a="1"/>
  <c r="V20" i="3" s="1"/>
  <c r="V21" i="3" a="1"/>
  <c r="V21" i="3" s="1"/>
  <c r="V22" i="3" a="1"/>
  <c r="V22" i="3" s="1"/>
  <c r="V23" i="3" a="1"/>
  <c r="V23" i="3" s="1"/>
  <c r="V24" i="3" a="1"/>
  <c r="V24" i="3" s="1"/>
  <c r="V25" i="3" a="1"/>
  <c r="V25" i="3" s="1"/>
  <c r="V26" i="3" a="1"/>
  <c r="V26" i="3" s="1"/>
  <c r="V27" i="3" a="1"/>
  <c r="V27" i="3" s="1"/>
  <c r="V28" i="3" a="1"/>
  <c r="V28" i="3" s="1"/>
  <c r="V29" i="3" a="1"/>
  <c r="V29" i="3" s="1"/>
  <c r="V30" i="3" a="1"/>
  <c r="V30" i="3" s="1"/>
  <c r="V31" i="3" a="1"/>
  <c r="V31" i="3" s="1"/>
  <c r="V32" i="3" a="1"/>
  <c r="V32" i="3" s="1"/>
  <c r="V33" i="3" a="1"/>
  <c r="V33" i="3" s="1"/>
  <c r="V34" i="3" a="1"/>
  <c r="V34" i="3" s="1"/>
  <c r="V35" i="3" a="1"/>
  <c r="V35" i="3" s="1"/>
  <c r="V36" i="3" a="1"/>
  <c r="V36" i="3" s="1"/>
  <c r="V37" i="3" a="1"/>
  <c r="V37" i="3" s="1"/>
  <c r="V38" i="3" a="1"/>
  <c r="V38" i="3" s="1"/>
  <c r="V39" i="3" a="1"/>
  <c r="V39" i="3" s="1"/>
  <c r="V40" i="3" a="1"/>
  <c r="V40" i="3" s="1"/>
  <c r="V41" i="3" a="1"/>
  <c r="V41" i="3" s="1"/>
  <c r="V42" i="3" a="1"/>
  <c r="V42" i="3" s="1"/>
  <c r="V43" i="3" a="1"/>
  <c r="V43" i="3" s="1"/>
  <c r="V44" i="3" a="1"/>
  <c r="V44" i="3" s="1"/>
  <c r="V45" i="3" a="1"/>
  <c r="V45" i="3" s="1"/>
  <c r="V46" i="3" a="1"/>
  <c r="V46" i="3" s="1"/>
  <c r="V47" i="3" a="1"/>
  <c r="V47" i="3" s="1"/>
  <c r="V48" i="3" a="1"/>
  <c r="V48" i="3" s="1"/>
  <c r="V49" i="3" a="1"/>
  <c r="V49" i="3" s="1"/>
  <c r="V50" i="3" a="1"/>
  <c r="V50" i="3" s="1"/>
  <c r="V51" i="3" a="1"/>
  <c r="V51" i="3" s="1"/>
  <c r="V52" i="3" a="1"/>
  <c r="V52" i="3" s="1"/>
  <c r="V53" i="3" a="1"/>
  <c r="V53" i="3" s="1"/>
  <c r="V54" i="3" a="1"/>
  <c r="V54" i="3" s="1"/>
  <c r="V55" i="3" a="1"/>
  <c r="V55" i="3" s="1"/>
  <c r="V56" i="3" a="1"/>
  <c r="V56" i="3" s="1"/>
  <c r="V57" i="3" a="1"/>
  <c r="V57" i="3" s="1"/>
  <c r="V58" i="3" a="1"/>
  <c r="V58" i="3" s="1"/>
  <c r="V59" i="3" a="1"/>
  <c r="V59" i="3" s="1"/>
  <c r="V60" i="3" a="1"/>
  <c r="V60" i="3" s="1"/>
  <c r="V61" i="3" a="1"/>
  <c r="V61" i="3" s="1"/>
  <c r="V62" i="3" a="1"/>
  <c r="V62" i="3" s="1"/>
  <c r="V63" i="3" a="1"/>
  <c r="V63" i="3" s="1"/>
  <c r="V64" i="3" a="1"/>
  <c r="V64" i="3" s="1"/>
  <c r="V65" i="3" a="1"/>
  <c r="V65" i="3" s="1"/>
  <c r="V66" i="3" a="1"/>
  <c r="V66" i="3" s="1"/>
  <c r="V67" i="3" a="1"/>
  <c r="V67" i="3" s="1"/>
  <c r="V68" i="3" a="1"/>
  <c r="V68" i="3" s="1"/>
  <c r="V69" i="3" a="1"/>
  <c r="V69" i="3" s="1"/>
  <c r="V70" i="3" a="1"/>
  <c r="V70" i="3" s="1"/>
  <c r="V71" i="3" a="1"/>
  <c r="V71" i="3" s="1"/>
  <c r="V72" i="3" a="1"/>
  <c r="V72" i="3" s="1"/>
  <c r="V73" i="3" a="1"/>
  <c r="V73" i="3" s="1"/>
  <c r="V74" i="3" a="1"/>
  <c r="V74" i="3" s="1"/>
  <c r="V75" i="3" a="1"/>
  <c r="V75" i="3" s="1"/>
  <c r="V76" i="3" a="1"/>
  <c r="V76" i="3" s="1"/>
  <c r="V77" i="3" a="1"/>
  <c r="V77" i="3" s="1"/>
  <c r="V78" i="3" a="1"/>
  <c r="V78" i="3" s="1"/>
  <c r="V79" i="3" a="1"/>
  <c r="V79" i="3" s="1"/>
  <c r="V80" i="3" a="1"/>
  <c r="V80" i="3" s="1"/>
  <c r="V81" i="3" a="1"/>
  <c r="V81" i="3" s="1"/>
  <c r="V82" i="3" a="1"/>
  <c r="V82" i="3" s="1"/>
  <c r="V83" i="3" a="1"/>
  <c r="V83" i="3" s="1"/>
  <c r="V84" i="3" a="1"/>
  <c r="V84" i="3" s="1"/>
  <c r="V85" i="3" a="1"/>
  <c r="V85" i="3" s="1"/>
  <c r="V86" i="3" a="1"/>
  <c r="V86" i="3" s="1"/>
  <c r="V87" i="3" a="1"/>
  <c r="V87" i="3" s="1"/>
  <c r="V88" i="3" a="1"/>
  <c r="V88" i="3" s="1"/>
  <c r="V89" i="3" a="1"/>
  <c r="V89" i="3" s="1"/>
  <c r="V90" i="3" a="1"/>
  <c r="V90" i="3" s="1"/>
  <c r="V91" i="3" a="1"/>
  <c r="V91" i="3" s="1"/>
  <c r="V92" i="3" a="1"/>
  <c r="V92" i="3" s="1"/>
  <c r="V93" i="3" a="1"/>
  <c r="V93" i="3" s="1"/>
  <c r="V94" i="3" a="1"/>
  <c r="V94" i="3" s="1"/>
  <c r="V95" i="3" a="1"/>
  <c r="V95" i="3" s="1"/>
  <c r="V96" i="3" a="1"/>
  <c r="V96" i="3" s="1"/>
  <c r="V97" i="3" a="1"/>
  <c r="V97" i="3" s="1"/>
  <c r="V98" i="3" a="1"/>
  <c r="V98" i="3" s="1"/>
  <c r="V99" i="3" a="1"/>
  <c r="V99" i="3" s="1"/>
  <c r="V100" i="3" a="1"/>
  <c r="V100" i="3" s="1"/>
  <c r="V101" i="3" a="1"/>
  <c r="V101" i="3" s="1"/>
  <c r="V102" i="3" a="1"/>
  <c r="V102" i="3" s="1"/>
  <c r="V103" i="3" a="1"/>
  <c r="V103" i="3" s="1"/>
  <c r="V104" i="3" a="1"/>
  <c r="V104" i="3" s="1"/>
  <c r="V105" i="3" a="1"/>
  <c r="V105" i="3" s="1"/>
  <c r="V106" i="3" a="1"/>
  <c r="V106" i="3" s="1"/>
  <c r="V107" i="3" a="1"/>
  <c r="V107" i="3" s="1"/>
  <c r="V108" i="3" a="1"/>
  <c r="V108" i="3" s="1"/>
  <c r="V109" i="3" a="1"/>
  <c r="V109" i="3" s="1"/>
  <c r="V110" i="3" a="1"/>
  <c r="V110" i="3" s="1"/>
  <c r="V111" i="3" a="1"/>
  <c r="V111" i="3" s="1"/>
  <c r="V112" i="3" a="1"/>
  <c r="V112" i="3" s="1"/>
  <c r="V113" i="3" a="1"/>
  <c r="V113" i="3" s="1"/>
  <c r="V114" i="3" a="1"/>
  <c r="V114" i="3" s="1"/>
  <c r="V115" i="3" a="1"/>
  <c r="V115" i="3" s="1"/>
  <c r="V116" i="3" a="1"/>
  <c r="V116" i="3" s="1"/>
  <c r="V117" i="3" a="1"/>
  <c r="V117" i="3" s="1"/>
  <c r="V118" i="3" a="1"/>
  <c r="V118" i="3" s="1"/>
  <c r="V119" i="3" a="1"/>
  <c r="V119" i="3" s="1"/>
  <c r="V120" i="3" a="1"/>
  <c r="V120" i="3" s="1"/>
  <c r="V121" i="3" a="1"/>
  <c r="V121" i="3" s="1"/>
  <c r="V122" i="3" a="1"/>
  <c r="V122" i="3" s="1"/>
  <c r="V123" i="3" a="1"/>
  <c r="V123" i="3" s="1"/>
  <c r="V124" i="3" a="1"/>
  <c r="V124" i="3" s="1"/>
  <c r="V125" i="3" a="1"/>
  <c r="V125" i="3" s="1"/>
  <c r="V126" i="3" a="1"/>
  <c r="V126" i="3" s="1"/>
  <c r="V127" i="3" a="1"/>
  <c r="V127" i="3" s="1"/>
  <c r="V128" i="3" a="1"/>
  <c r="V128" i="3" s="1"/>
  <c r="V129" i="3" a="1"/>
  <c r="V129" i="3" s="1"/>
  <c r="V130" i="3" a="1"/>
  <c r="V130" i="3" s="1"/>
  <c r="V131" i="3" a="1"/>
  <c r="V131" i="3" s="1"/>
  <c r="V132" i="3" a="1"/>
  <c r="V132" i="3" s="1"/>
  <c r="V133" i="3" a="1"/>
  <c r="V133" i="3"/>
  <c r="V134" i="3" a="1"/>
  <c r="V134" i="3" s="1"/>
  <c r="V135" i="3" a="1"/>
  <c r="V135" i="3" s="1"/>
  <c r="V136" i="3" a="1"/>
  <c r="V136" i="3" s="1"/>
  <c r="V137" i="3" a="1"/>
  <c r="V137" i="3"/>
  <c r="V138" i="3" a="1"/>
  <c r="V138" i="3" s="1"/>
  <c r="V139" i="3" a="1"/>
  <c r="V139" i="3" s="1"/>
  <c r="V140" i="3" a="1"/>
  <c r="V140" i="3" s="1"/>
  <c r="V141" i="3" a="1"/>
  <c r="V141" i="3"/>
  <c r="V142" i="3" a="1"/>
  <c r="V142" i="3" s="1"/>
  <c r="V143" i="3" a="1"/>
  <c r="V143" i="3"/>
  <c r="V144" i="3" a="1"/>
  <c r="V144" i="3" s="1"/>
  <c r="V145" i="3" a="1"/>
  <c r="V145" i="3"/>
  <c r="V146" i="3" a="1"/>
  <c r="V146" i="3" s="1"/>
  <c r="V147" i="3" a="1"/>
  <c r="V147" i="3" s="1"/>
  <c r="V148" i="3" a="1"/>
  <c r="V148" i="3" s="1"/>
  <c r="V149" i="3" a="1"/>
  <c r="V149" i="3"/>
  <c r="V150" i="3" a="1"/>
  <c r="V150" i="3" s="1"/>
  <c r="V151" i="3" a="1"/>
  <c r="V151" i="3"/>
  <c r="V152" i="3" a="1"/>
  <c r="V152" i="3" s="1"/>
  <c r="V153" i="3" a="1"/>
  <c r="V153" i="3"/>
  <c r="V154" i="3" a="1"/>
  <c r="V154" i="3" s="1"/>
  <c r="V155" i="3" a="1"/>
  <c r="V155" i="3" s="1"/>
  <c r="V156" i="3" a="1"/>
  <c r="V156" i="3" s="1"/>
  <c r="V157" i="3" a="1"/>
  <c r="V157" i="3"/>
  <c r="V158" i="3" a="1"/>
  <c r="V158" i="3" s="1"/>
  <c r="V159" i="3" a="1"/>
  <c r="V159" i="3"/>
  <c r="V160" i="3" a="1"/>
  <c r="V160" i="3" s="1"/>
  <c r="V161" i="3" a="1"/>
  <c r="V161" i="3"/>
  <c r="V162" i="3" a="1"/>
  <c r="V162" i="3" s="1"/>
  <c r="V163" i="3" a="1"/>
  <c r="V163" i="3" s="1"/>
  <c r="V164" i="3" a="1"/>
  <c r="V164" i="3" s="1"/>
  <c r="V165" i="3" a="1"/>
  <c r="V165" i="3"/>
  <c r="V166" i="3" a="1"/>
  <c r="V166" i="3" s="1"/>
  <c r="V167" i="3" a="1"/>
  <c r="V167" i="3"/>
  <c r="V168" i="3" a="1"/>
  <c r="V168" i="3" s="1"/>
  <c r="V169" i="3" a="1"/>
  <c r="V169" i="3"/>
  <c r="V170" i="3" a="1"/>
  <c r="V170" i="3" s="1"/>
  <c r="V171" i="3" a="1"/>
  <c r="V171" i="3" s="1"/>
  <c r="V172" i="3" a="1"/>
  <c r="V172" i="3" s="1"/>
  <c r="V173" i="3" a="1"/>
  <c r="V173" i="3"/>
  <c r="V174" i="3" a="1"/>
  <c r="V174" i="3"/>
  <c r="V175" i="3" a="1"/>
  <c r="V175" i="3"/>
  <c r="V176" i="3" a="1"/>
  <c r="V176" i="3"/>
  <c r="V177" i="3" a="1"/>
  <c r="V177" i="3"/>
  <c r="V178" i="3" a="1"/>
  <c r="V178" i="3" s="1"/>
  <c r="V179" i="3" a="1"/>
  <c r="V179" i="3"/>
  <c r="V180" i="3" a="1"/>
  <c r="V180" i="3" s="1"/>
  <c r="V181" i="3" a="1"/>
  <c r="V181" i="3"/>
  <c r="V182" i="3" a="1"/>
  <c r="V182" i="3" s="1"/>
  <c r="V183" i="3" a="1"/>
  <c r="V183" i="3" s="1"/>
  <c r="V184" i="3" a="1"/>
  <c r="V184" i="3" s="1"/>
  <c r="V185" i="3" a="1"/>
  <c r="V185" i="3" s="1"/>
  <c r="V186" i="3" a="1"/>
  <c r="V186" i="3" s="1"/>
  <c r="V187" i="3" a="1"/>
  <c r="V187" i="3" s="1"/>
  <c r="V188" i="3" a="1"/>
  <c r="V188" i="3" s="1"/>
  <c r="V189" i="3" a="1"/>
  <c r="V189" i="3" s="1"/>
  <c r="V190" i="3" a="1"/>
  <c r="V190" i="3" s="1"/>
  <c r="V191" i="3" a="1"/>
  <c r="V191" i="3" s="1"/>
  <c r="V192" i="3" a="1"/>
  <c r="V192" i="3" s="1"/>
  <c r="V193" i="3" a="1"/>
  <c r="V193" i="3" s="1"/>
  <c r="V194" i="3" a="1"/>
  <c r="V194" i="3" s="1"/>
  <c r="V195" i="3" a="1"/>
  <c r="V195" i="3" s="1"/>
  <c r="V196" i="3" a="1"/>
  <c r="V196" i="3" s="1"/>
  <c r="V197" i="3" a="1"/>
  <c r="V197" i="3" s="1"/>
  <c r="V198" i="3" a="1"/>
  <c r="V198" i="3" s="1"/>
  <c r="V199" i="3" a="1"/>
  <c r="V199" i="3" s="1"/>
  <c r="V200" i="3" a="1"/>
  <c r="V200" i="3" s="1"/>
  <c r="V201" i="3" a="1"/>
  <c r="V201" i="3" s="1"/>
  <c r="V202" i="3" a="1"/>
  <c r="V202" i="3" s="1"/>
  <c r="V203" i="3" a="1"/>
  <c r="V203" i="3" s="1"/>
  <c r="V204" i="3" a="1"/>
  <c r="V204" i="3" s="1"/>
  <c r="V205" i="3" a="1"/>
  <c r="V205" i="3" s="1"/>
  <c r="V206" i="3" a="1"/>
  <c r="V206" i="3" s="1"/>
  <c r="V207" i="3" a="1"/>
  <c r="V207" i="3" s="1"/>
  <c r="V208" i="3" a="1"/>
  <c r="V208" i="3" s="1"/>
  <c r="V209" i="3" a="1"/>
  <c r="V209" i="3" s="1"/>
  <c r="V210" i="3" a="1"/>
  <c r="V210" i="3" s="1"/>
  <c r="V211" i="3" a="1"/>
  <c r="V211" i="3" s="1"/>
  <c r="V212" i="3" a="1"/>
  <c r="V212" i="3" s="1"/>
  <c r="V213" i="3" a="1"/>
  <c r="V213" i="3" s="1"/>
  <c r="V214" i="3" a="1"/>
  <c r="V214" i="3" s="1"/>
  <c r="V215" i="3" a="1"/>
  <c r="V215" i="3" s="1"/>
  <c r="V216" i="3" a="1"/>
  <c r="V216" i="3" s="1"/>
  <c r="V217" i="3" a="1"/>
  <c r="V217" i="3" s="1"/>
  <c r="V218" i="3" a="1"/>
  <c r="V218" i="3" s="1"/>
  <c r="V219" i="3" a="1"/>
  <c r="V219" i="3" s="1"/>
  <c r="V220" i="3" a="1"/>
  <c r="V220" i="3" s="1"/>
  <c r="V221" i="3" a="1"/>
  <c r="V221" i="3" s="1"/>
  <c r="V222" i="3" a="1"/>
  <c r="V222" i="3" s="1"/>
  <c r="V223" i="3" a="1"/>
  <c r="V223" i="3" s="1"/>
  <c r="V224" i="3" a="1"/>
  <c r="V224" i="3" s="1"/>
  <c r="V225" i="3" a="1"/>
  <c r="V225" i="3" s="1"/>
  <c r="V226" i="3" a="1"/>
  <c r="V226" i="3" s="1"/>
  <c r="V227" i="3" a="1"/>
  <c r="V227" i="3" s="1"/>
  <c r="V228" i="3" a="1"/>
  <c r="V228" i="3" s="1"/>
  <c r="V229" i="3" a="1"/>
  <c r="V229" i="3" s="1"/>
  <c r="V230" i="3" a="1"/>
  <c r="V230" i="3" s="1"/>
  <c r="V231" i="3" a="1"/>
  <c r="V231" i="3" s="1"/>
  <c r="V232" i="3" a="1"/>
  <c r="V232" i="3" s="1"/>
  <c r="V233" i="3" a="1"/>
  <c r="V233" i="3" s="1"/>
  <c r="V234" i="3" a="1"/>
  <c r="V234" i="3" s="1"/>
  <c r="V235" i="3" a="1"/>
  <c r="V235" i="3" s="1"/>
  <c r="V236" i="3" a="1"/>
  <c r="V236" i="3" s="1"/>
  <c r="V237" i="3" a="1"/>
  <c r="V237" i="3" s="1"/>
  <c r="V238" i="3" a="1"/>
  <c r="V238" i="3" s="1"/>
  <c r="V239" i="3" a="1"/>
  <c r="V239" i="3" s="1"/>
  <c r="V240" i="3" a="1"/>
  <c r="V240" i="3" s="1"/>
  <c r="V241" i="3" a="1"/>
  <c r="V241" i="3" s="1"/>
  <c r="V242" i="3" a="1"/>
  <c r="V242" i="3" s="1"/>
  <c r="V243" i="3" a="1"/>
  <c r="V243" i="3" s="1"/>
  <c r="V244" i="3" a="1"/>
  <c r="V244" i="3" s="1"/>
  <c r="V245" i="3" a="1"/>
  <c r="V245" i="3" s="1"/>
  <c r="V246" i="3" a="1"/>
  <c r="V246" i="3" s="1"/>
  <c r="V247" i="3" a="1"/>
  <c r="V247" i="3" s="1"/>
  <c r="V248" i="3" a="1"/>
  <c r="V248" i="3" s="1"/>
  <c r="V249" i="3" a="1"/>
  <c r="V249" i="3" s="1"/>
  <c r="V250" i="3" a="1"/>
  <c r="V250" i="3" s="1"/>
  <c r="V251" i="3" a="1"/>
  <c r="V251" i="3" s="1"/>
  <c r="V252" i="3" a="1"/>
  <c r="V252" i="3" s="1"/>
  <c r="V253" i="3" a="1"/>
  <c r="V253" i="3" s="1"/>
  <c r="V254" i="3" a="1"/>
  <c r="V254" i="3" s="1"/>
  <c r="V255" i="3" a="1"/>
  <c r="V255" i="3" s="1"/>
  <c r="V256" i="3" a="1"/>
  <c r="V256" i="3" s="1"/>
  <c r="V257" i="3" a="1"/>
  <c r="V257" i="3" s="1"/>
  <c r="V258" i="3" a="1"/>
  <c r="V258" i="3" s="1"/>
  <c r="V259" i="3" a="1"/>
  <c r="V259" i="3" s="1"/>
  <c r="V260" i="3" a="1"/>
  <c r="V260" i="3" s="1"/>
  <c r="V261" i="3" a="1"/>
  <c r="V261" i="3" s="1"/>
  <c r="V262" i="3" a="1"/>
  <c r="V262" i="3" s="1"/>
  <c r="V263" i="3" a="1"/>
  <c r="V263" i="3" s="1"/>
  <c r="V264" i="3" a="1"/>
  <c r="V264" i="3" s="1"/>
  <c r="V265" i="3" a="1"/>
  <c r="V265" i="3" s="1"/>
  <c r="V266" i="3" a="1"/>
  <c r="V266" i="3" s="1"/>
  <c r="V267" i="3" a="1"/>
  <c r="V267" i="3" s="1"/>
  <c r="V268" i="3" a="1"/>
  <c r="V268" i="3" s="1"/>
  <c r="V269" i="3" a="1"/>
  <c r="V269" i="3" s="1"/>
  <c r="V270" i="3" a="1"/>
  <c r="V270" i="3" s="1"/>
  <c r="V271" i="3" a="1"/>
  <c r="V271" i="3" s="1"/>
  <c r="V272" i="3" a="1"/>
  <c r="V272" i="3" s="1"/>
  <c r="V273" i="3" a="1"/>
  <c r="V273" i="3" s="1"/>
  <c r="V274" i="3" a="1"/>
  <c r="V274" i="3" s="1"/>
  <c r="V275" i="3" a="1"/>
  <c r="V275" i="3" s="1"/>
  <c r="V276" i="3" a="1"/>
  <c r="V276" i="3" s="1"/>
  <c r="V277" i="3" a="1"/>
  <c r="V277" i="3" s="1"/>
  <c r="V278" i="3" a="1"/>
  <c r="V278" i="3" s="1"/>
  <c r="V279" i="3" a="1"/>
  <c r="V279" i="3" s="1"/>
  <c r="V280" i="3" a="1"/>
  <c r="V280" i="3" s="1"/>
  <c r="V281" i="3" a="1"/>
  <c r="V281" i="3" s="1"/>
  <c r="V282" i="3" a="1"/>
  <c r="V282" i="3" s="1"/>
  <c r="V283" i="3" a="1"/>
  <c r="V283" i="3" s="1"/>
  <c r="V284" i="3" a="1"/>
  <c r="V284" i="3" s="1"/>
  <c r="V285" i="3" a="1"/>
  <c r="V285" i="3" s="1"/>
  <c r="V286" i="3" a="1"/>
  <c r="V286" i="3" s="1"/>
  <c r="V287" i="3" a="1"/>
  <c r="V287" i="3" s="1"/>
  <c r="V288" i="3" a="1"/>
  <c r="V288" i="3" s="1"/>
  <c r="V289" i="3" a="1"/>
  <c r="V289" i="3" s="1"/>
  <c r="V290" i="3" a="1"/>
  <c r="V290" i="3" s="1"/>
  <c r="V291" i="3" a="1"/>
  <c r="V291" i="3" s="1"/>
  <c r="V292" i="3" a="1"/>
  <c r="V292" i="3" s="1"/>
  <c r="V293" i="3" a="1"/>
  <c r="V293" i="3" s="1"/>
  <c r="V294" i="3" a="1"/>
  <c r="V294" i="3" s="1"/>
  <c r="V295" i="3" a="1"/>
  <c r="V295" i="3" s="1"/>
  <c r="V296" i="3" a="1"/>
  <c r="V296" i="3" s="1"/>
  <c r="V297" i="3" a="1"/>
  <c r="V297" i="3" s="1"/>
  <c r="V298" i="3" a="1"/>
  <c r="V298" i="3" s="1"/>
  <c r="V299" i="3" a="1"/>
  <c r="V299" i="3" s="1"/>
  <c r="V300" i="3" a="1"/>
  <c r="V300" i="3" s="1"/>
  <c r="V301" i="3" a="1"/>
  <c r="V301" i="3" s="1"/>
  <c r="V302" i="3" a="1"/>
  <c r="V302" i="3" s="1"/>
  <c r="V303" i="3" a="1"/>
  <c r="V303" i="3" s="1"/>
  <c r="V304" i="3" a="1"/>
  <c r="V304" i="3" s="1"/>
  <c r="V305" i="3" a="1"/>
  <c r="V305" i="3" s="1"/>
  <c r="V306" i="3" a="1"/>
  <c r="V306" i="3" s="1"/>
  <c r="V307" i="3" a="1"/>
  <c r="V307" i="3" s="1"/>
  <c r="V308" i="3" a="1"/>
  <c r="V308" i="3" s="1"/>
  <c r="V309" i="3" a="1"/>
  <c r="V309" i="3" s="1"/>
  <c r="V310" i="3" a="1"/>
  <c r="V310" i="3" s="1"/>
  <c r="V311" i="3" a="1"/>
  <c r="V311" i="3" s="1"/>
  <c r="V312" i="3" a="1"/>
  <c r="V312" i="3" s="1"/>
  <c r="V313" i="3" a="1"/>
  <c r="V313" i="3" s="1"/>
  <c r="V314" i="3" a="1"/>
  <c r="V314" i="3" s="1"/>
  <c r="V315" i="3" a="1"/>
  <c r="V315" i="3" s="1"/>
  <c r="V316" i="3" a="1"/>
  <c r="V316" i="3" s="1"/>
  <c r="V317" i="3" a="1"/>
  <c r="V317" i="3" s="1"/>
  <c r="V318" i="3" a="1"/>
  <c r="V318" i="3" s="1"/>
  <c r="V319" i="3" a="1"/>
  <c r="V319" i="3"/>
  <c r="V320" i="3" a="1"/>
  <c r="V320" i="3" s="1"/>
  <c r="V321" i="3" a="1"/>
  <c r="V321" i="3"/>
  <c r="V322" i="3" a="1"/>
  <c r="V322" i="3" s="1"/>
  <c r="V323" i="3" a="1"/>
  <c r="V323" i="3" s="1"/>
  <c r="V324" i="3" a="1"/>
  <c r="V324" i="3" s="1"/>
  <c r="V325" i="3" a="1"/>
  <c r="V325" i="3" s="1"/>
  <c r="V326" i="3" a="1"/>
  <c r="V326" i="3" s="1"/>
  <c r="V327" i="3" a="1"/>
  <c r="V327" i="3"/>
  <c r="V328" i="3" a="1"/>
  <c r="V328" i="3" s="1"/>
  <c r="V329" i="3" a="1"/>
  <c r="V329" i="3"/>
  <c r="V330" i="3" a="1"/>
  <c r="V330" i="3" s="1"/>
  <c r="V331" i="3" a="1"/>
  <c r="V331" i="3" s="1"/>
  <c r="V332" i="3" a="1"/>
  <c r="V332" i="3" s="1"/>
  <c r="V333" i="3" a="1"/>
  <c r="V333" i="3" s="1"/>
  <c r="V334" i="3" a="1"/>
  <c r="V334" i="3" s="1"/>
  <c r="V335" i="3" a="1"/>
  <c r="V335" i="3"/>
  <c r="V336" i="3" a="1"/>
  <c r="V336" i="3" s="1"/>
  <c r="V337" i="3" a="1"/>
  <c r="V337" i="3"/>
  <c r="V338" i="3" a="1"/>
  <c r="V338" i="3" s="1"/>
  <c r="V339" i="3" a="1"/>
  <c r="V339" i="3" s="1"/>
  <c r="V340" i="3" a="1"/>
  <c r="V340" i="3" s="1"/>
  <c r="V341" i="3" a="1"/>
  <c r="V341" i="3" s="1"/>
  <c r="V342" i="3" a="1"/>
  <c r="V342" i="3" s="1"/>
  <c r="V343" i="3" a="1"/>
  <c r="V343" i="3"/>
  <c r="V344" i="3" a="1"/>
  <c r="V344" i="3" s="1"/>
  <c r="V345" i="3" a="1"/>
  <c r="V345" i="3"/>
  <c r="V346" i="3" a="1"/>
  <c r="V346" i="3" s="1"/>
  <c r="V347" i="3" a="1"/>
  <c r="V347" i="3" s="1"/>
  <c r="V348" i="3" a="1"/>
  <c r="V348" i="3" s="1"/>
  <c r="V349" i="3" a="1"/>
  <c r="V349" i="3" s="1"/>
  <c r="V350" i="3" a="1"/>
  <c r="V350" i="3" s="1"/>
  <c r="V351" i="3" a="1"/>
  <c r="V351" i="3"/>
  <c r="V352" i="3" a="1"/>
  <c r="V352" i="3" s="1"/>
  <c r="V353" i="3" a="1"/>
  <c r="V353" i="3"/>
  <c r="V354" i="3" a="1"/>
  <c r="V354" i="3" s="1"/>
  <c r="V355" i="3" a="1"/>
  <c r="V355" i="3" s="1"/>
  <c r="V356" i="3" a="1"/>
  <c r="V356" i="3" s="1"/>
  <c r="V357" i="3" a="1"/>
  <c r="V357" i="3" s="1"/>
  <c r="V358" i="3" a="1"/>
  <c r="V358" i="3" s="1"/>
  <c r="V359" i="3" a="1"/>
  <c r="V359" i="3"/>
  <c r="V360" i="3" a="1"/>
  <c r="V360" i="3" s="1"/>
  <c r="V361" i="3" a="1"/>
  <c r="V361" i="3"/>
  <c r="V362" i="3" a="1"/>
  <c r="V362" i="3" s="1"/>
  <c r="V363" i="3" a="1"/>
  <c r="V363" i="3" s="1"/>
  <c r="V364" i="3" a="1"/>
  <c r="V364" i="3" s="1"/>
  <c r="V365" i="3" a="1"/>
  <c r="V365" i="3" s="1"/>
  <c r="V366" i="3" a="1"/>
  <c r="V366" i="3" s="1"/>
  <c r="V367" i="3" a="1"/>
  <c r="V367" i="3"/>
  <c r="V368" i="3" a="1"/>
  <c r="V368" i="3" s="1"/>
  <c r="V369" i="3" a="1"/>
  <c r="V369" i="3"/>
  <c r="V370" i="3" a="1"/>
  <c r="V370" i="3" s="1"/>
  <c r="V371" i="3" a="1"/>
  <c r="V371" i="3" s="1"/>
  <c r="V372" i="3" a="1"/>
  <c r="V372" i="3" s="1"/>
  <c r="V373" i="3" a="1"/>
  <c r="V373" i="3" s="1"/>
  <c r="V374" i="3" a="1"/>
  <c r="V374" i="3" s="1"/>
  <c r="V375" i="3" a="1"/>
  <c r="V375" i="3"/>
  <c r="V376" i="3" a="1"/>
  <c r="V376" i="3" s="1"/>
  <c r="V377" i="3" a="1"/>
  <c r="V377" i="3"/>
  <c r="V378" i="3" a="1"/>
  <c r="V378" i="3" s="1"/>
  <c r="V379" i="3" a="1"/>
  <c r="V379" i="3" s="1"/>
  <c r="V380" i="3" a="1"/>
  <c r="V380" i="3" s="1"/>
  <c r="V381" i="3" a="1"/>
  <c r="V381" i="3" s="1"/>
  <c r="V382" i="3" a="1"/>
  <c r="V382" i="3" s="1"/>
  <c r="V383" i="3" a="1"/>
  <c r="V383" i="3"/>
  <c r="V384" i="3" a="1"/>
  <c r="V384" i="3" s="1"/>
  <c r="V385" i="3" a="1"/>
  <c r="V385" i="3"/>
  <c r="V386" i="3" a="1"/>
  <c r="V386" i="3" s="1"/>
  <c r="V387" i="3" a="1"/>
  <c r="V387" i="3" s="1"/>
  <c r="V388" i="3" a="1"/>
  <c r="V388" i="3" s="1"/>
  <c r="V389" i="3" a="1"/>
  <c r="V389" i="3" s="1"/>
  <c r="V390" i="3" a="1"/>
  <c r="V390" i="3" s="1"/>
  <c r="V391" i="3" a="1"/>
  <c r="V391" i="3"/>
  <c r="V392" i="3" a="1"/>
  <c r="V392" i="3" s="1"/>
  <c r="V393" i="3" a="1"/>
  <c r="V393" i="3"/>
  <c r="V394" i="3" a="1"/>
  <c r="V394" i="3" s="1"/>
  <c r="V395" i="3" a="1"/>
  <c r="V395" i="3" s="1"/>
  <c r="V396" i="3" a="1"/>
  <c r="V396" i="3" s="1"/>
  <c r="V397" i="3" a="1"/>
  <c r="V397" i="3" s="1"/>
  <c r="V398" i="3" a="1"/>
  <c r="V398" i="3" s="1"/>
  <c r="V399" i="3" a="1"/>
  <c r="V399" i="3"/>
  <c r="V400" i="3" a="1"/>
  <c r="V400" i="3" s="1"/>
  <c r="V401" i="3" a="1"/>
  <c r="V401" i="3"/>
  <c r="V402" i="3" a="1"/>
  <c r="V402" i="3" s="1"/>
  <c r="V403" i="3" a="1"/>
  <c r="V403" i="3" s="1"/>
  <c r="V404" i="3" a="1"/>
  <c r="V404" i="3" s="1"/>
  <c r="V405" i="3" a="1"/>
  <c r="V405" i="3" s="1"/>
  <c r="V406" i="3" a="1"/>
  <c r="V406" i="3" s="1"/>
  <c r="V407" i="3" a="1"/>
  <c r="V407" i="3"/>
  <c r="V408" i="3" a="1"/>
  <c r="V408" i="3" s="1"/>
  <c r="V409" i="3" a="1"/>
  <c r="V409" i="3"/>
  <c r="V410" i="3" a="1"/>
  <c r="V410" i="3" s="1"/>
  <c r="V411" i="3" a="1"/>
  <c r="V411" i="3" s="1"/>
  <c r="V412" i="3" a="1"/>
  <c r="V412" i="3" s="1"/>
  <c r="V413" i="3" a="1"/>
  <c r="V413" i="3" s="1"/>
  <c r="V414" i="3" a="1"/>
  <c r="V414" i="3" s="1"/>
  <c r="V415" i="3" a="1"/>
  <c r="V415" i="3"/>
  <c r="V416" i="3" a="1"/>
  <c r="V416" i="3" s="1"/>
  <c r="V417" i="3" a="1"/>
  <c r="V417" i="3"/>
  <c r="V418" i="3" a="1"/>
  <c r="V418" i="3" s="1"/>
  <c r="V419" i="3" a="1"/>
  <c r="V419" i="3" s="1"/>
  <c r="V420" i="3" a="1"/>
  <c r="V420" i="3" s="1"/>
  <c r="V421" i="3" a="1"/>
  <c r="V421" i="3" s="1"/>
  <c r="V422" i="3" a="1"/>
  <c r="V422" i="3" s="1"/>
  <c r="V423" i="3" a="1"/>
  <c r="V423" i="3"/>
  <c r="V424" i="3" a="1"/>
  <c r="V424" i="3" s="1"/>
  <c r="V425" i="3" a="1"/>
  <c r="V425" i="3"/>
  <c r="V426" i="3" a="1"/>
  <c r="V426" i="3" s="1"/>
  <c r="V427" i="3" a="1"/>
  <c r="V427" i="3" s="1"/>
  <c r="V428" i="3" a="1"/>
  <c r="V428" i="3" s="1"/>
  <c r="V429" i="3" a="1"/>
  <c r="V429" i="3" s="1"/>
  <c r="V430" i="3" a="1"/>
  <c r="V430" i="3" s="1"/>
  <c r="V431" i="3" a="1"/>
  <c r="V431" i="3" s="1"/>
  <c r="V432" i="3" a="1"/>
  <c r="V432" i="3" s="1"/>
  <c r="V433" i="3" a="1"/>
  <c r="V433" i="3"/>
  <c r="V434" i="3" a="1"/>
  <c r="V434" i="3" s="1"/>
  <c r="V435" i="3" a="1"/>
  <c r="V435" i="3" s="1"/>
  <c r="V436" i="3" a="1"/>
  <c r="V436" i="3" s="1"/>
  <c r="V437" i="3" a="1"/>
  <c r="V437" i="3" s="1"/>
  <c r="V438" i="3" a="1"/>
  <c r="V438" i="3" s="1"/>
  <c r="V439" i="3" a="1"/>
  <c r="V439" i="3"/>
  <c r="V440" i="3" a="1"/>
  <c r="V440" i="3" s="1"/>
  <c r="V441" i="3" a="1"/>
  <c r="V441" i="3"/>
  <c r="V442" i="3" a="1"/>
  <c r="V442" i="3" s="1"/>
  <c r="V443" i="3" a="1"/>
  <c r="V443" i="3" s="1"/>
  <c r="V444" i="3" a="1"/>
  <c r="V444" i="3" s="1"/>
  <c r="V445" i="3" a="1"/>
  <c r="V445" i="3" s="1"/>
  <c r="V446" i="3" a="1"/>
  <c r="V446" i="3" s="1"/>
  <c r="V447" i="3" a="1"/>
  <c r="V447" i="3" s="1"/>
  <c r="V448" i="3" a="1"/>
  <c r="V448" i="3" s="1"/>
  <c r="V449" i="3" a="1"/>
  <c r="V449" i="3"/>
  <c r="V450" i="3" a="1"/>
  <c r="V450" i="3" s="1"/>
  <c r="V451" i="3" a="1"/>
  <c r="V451" i="3" s="1"/>
  <c r="V452" i="3" a="1"/>
  <c r="V452" i="3" s="1"/>
  <c r="V453" i="3" a="1"/>
  <c r="V453" i="3" s="1"/>
  <c r="V454" i="3" a="1"/>
  <c r="V454" i="3" s="1"/>
  <c r="V455" i="3" a="1"/>
  <c r="V455" i="3" s="1"/>
  <c r="V456" i="3" a="1"/>
  <c r="V456" i="3" s="1"/>
  <c r="V457" i="3" a="1"/>
  <c r="V457" i="3"/>
  <c r="V458" i="3" a="1"/>
  <c r="V458" i="3" s="1"/>
  <c r="V459" i="3" a="1"/>
  <c r="V459" i="3" s="1"/>
  <c r="V460" i="3" a="1"/>
  <c r="V460" i="3" s="1"/>
  <c r="V461" i="3" a="1"/>
  <c r="V461" i="3" s="1"/>
  <c r="V462" i="3" a="1"/>
  <c r="V462" i="3" s="1"/>
  <c r="V463" i="3" a="1"/>
  <c r="V463" i="3"/>
  <c r="V464" i="3" a="1"/>
  <c r="V464" i="3" s="1"/>
  <c r="V465" i="3" a="1"/>
  <c r="V465" i="3"/>
  <c r="V466" i="3" a="1"/>
  <c r="V466" i="3" s="1"/>
  <c r="V467" i="3" a="1"/>
  <c r="V467" i="3" s="1"/>
  <c r="V468" i="3" a="1"/>
  <c r="V468" i="3" s="1"/>
  <c r="V469" i="3" a="1"/>
  <c r="V469" i="3" s="1"/>
  <c r="V470" i="3" a="1"/>
  <c r="V470" i="3" s="1"/>
  <c r="V471" i="3" a="1"/>
  <c r="V471" i="3"/>
  <c r="V472" i="3" a="1"/>
  <c r="V472" i="3" s="1"/>
  <c r="V473" i="3" a="1"/>
  <c r="V473" i="3"/>
  <c r="V474" i="3" a="1"/>
  <c r="V474" i="3" s="1"/>
  <c r="V475" i="3" a="1"/>
  <c r="V475" i="3" s="1"/>
  <c r="V476" i="3" a="1"/>
  <c r="V476" i="3" s="1"/>
  <c r="V477" i="3" a="1"/>
  <c r="V477" i="3" s="1"/>
  <c r="V478" i="3" a="1"/>
  <c r="V478" i="3" s="1"/>
  <c r="V479" i="3" a="1"/>
  <c r="V479" i="3"/>
  <c r="V480" i="3" a="1"/>
  <c r="V480" i="3" s="1"/>
  <c r="V481" i="3" a="1"/>
  <c r="V481" i="3"/>
  <c r="V482" i="3" a="1"/>
  <c r="V482" i="3" s="1"/>
  <c r="V483" i="3" a="1"/>
  <c r="V483" i="3" s="1"/>
  <c r="V484" i="3" a="1"/>
  <c r="V484" i="3" s="1"/>
  <c r="V485" i="3" a="1"/>
  <c r="V485" i="3" s="1"/>
  <c r="V486" i="3" a="1"/>
  <c r="V486" i="3" s="1"/>
  <c r="V487" i="3" a="1"/>
  <c r="V487" i="3"/>
  <c r="V488" i="3" a="1"/>
  <c r="V488" i="3" s="1"/>
  <c r="V489" i="3" a="1"/>
  <c r="V489" i="3"/>
  <c r="V490" i="3" a="1"/>
  <c r="V490" i="3" s="1"/>
  <c r="V491" i="3" a="1"/>
  <c r="V491" i="3" s="1"/>
  <c r="V492" i="3" a="1"/>
  <c r="V492" i="3" s="1"/>
  <c r="V493" i="3" a="1"/>
  <c r="V493" i="3" s="1"/>
  <c r="V494" i="3" a="1"/>
  <c r="V494" i="3" s="1"/>
  <c r="V495" i="3" a="1"/>
  <c r="V495" i="3"/>
  <c r="V496" i="3" a="1"/>
  <c r="V496" i="3" s="1"/>
  <c r="V497" i="3" a="1"/>
  <c r="V497" i="3"/>
  <c r="V498" i="3" a="1"/>
  <c r="V498" i="3" s="1"/>
  <c r="V499" i="3" a="1"/>
  <c r="V499" i="3" s="1"/>
  <c r="V500" i="3" a="1"/>
  <c r="V500" i="3" s="1"/>
  <c r="V501" i="3" a="1"/>
  <c r="V501" i="3" s="1"/>
  <c r="V502" i="3" a="1"/>
  <c r="V502" i="3" s="1"/>
  <c r="V503" i="3" a="1"/>
  <c r="V503" i="3"/>
  <c r="V504" i="3" a="1"/>
  <c r="V504" i="3" s="1"/>
  <c r="V505" i="3" a="1"/>
  <c r="V505" i="3"/>
  <c r="V506" i="3" a="1"/>
  <c r="V506" i="3" s="1"/>
  <c r="V507" i="3" a="1"/>
  <c r="V507" i="3" s="1"/>
  <c r="V508" i="3" a="1"/>
  <c r="V508" i="3" s="1"/>
  <c r="V509" i="3" a="1"/>
  <c r="V509" i="3" s="1"/>
  <c r="V510" i="3" a="1"/>
  <c r="V510" i="3" s="1"/>
  <c r="V511" i="3" a="1"/>
  <c r="V511" i="3"/>
  <c r="V512" i="3" a="1"/>
  <c r="V512" i="3" s="1"/>
  <c r="V513" i="3" a="1"/>
  <c r="V513" i="3"/>
  <c r="V514" i="3" a="1"/>
  <c r="V514" i="3" s="1"/>
  <c r="V515" i="3" a="1"/>
  <c r="V515" i="3" s="1"/>
  <c r="V516" i="3" a="1"/>
  <c r="V516" i="3" s="1"/>
  <c r="V517" i="3" a="1"/>
  <c r="V517" i="3" s="1"/>
  <c r="V518" i="3" a="1"/>
  <c r="V518" i="3"/>
  <c r="V519" i="3" a="1"/>
  <c r="V519" i="3" s="1"/>
  <c r="V520" i="3" a="1"/>
  <c r="V520" i="3"/>
  <c r="V521" i="3" a="1"/>
  <c r="V521" i="3" s="1"/>
  <c r="V522" i="3" a="1"/>
  <c r="V522" i="3"/>
  <c r="V523" i="3" a="1"/>
  <c r="V523" i="3" s="1"/>
  <c r="V524" i="3" a="1"/>
  <c r="V524" i="3"/>
  <c r="V525" i="3" a="1"/>
  <c r="V525" i="3" s="1"/>
  <c r="V526" i="3" a="1"/>
  <c r="V526" i="3"/>
  <c r="V527" i="3" a="1"/>
  <c r="V527" i="3" s="1"/>
  <c r="V528" i="3" a="1"/>
  <c r="V528" i="3"/>
  <c r="V529" i="3" a="1"/>
  <c r="V529" i="3" s="1"/>
  <c r="V530" i="3" a="1"/>
  <c r="V530" i="3"/>
  <c r="V531" i="3" a="1"/>
  <c r="V531" i="3" s="1"/>
  <c r="V532" i="3" a="1"/>
  <c r="V532" i="3"/>
  <c r="V533" i="3" a="1"/>
  <c r="V533" i="3" s="1"/>
  <c r="V534" i="3" a="1"/>
  <c r="V534" i="3" s="1"/>
  <c r="V535" i="3" a="1"/>
  <c r="V535" i="3" s="1"/>
  <c r="V536" i="3" a="1"/>
  <c r="V536" i="3" s="1"/>
  <c r="V537" i="3" a="1"/>
  <c r="V537" i="3" s="1"/>
  <c r="V538" i="3" a="1"/>
  <c r="V538" i="3" s="1"/>
  <c r="V539" i="3" a="1"/>
  <c r="V539" i="3" s="1"/>
  <c r="V540" i="3" a="1"/>
  <c r="V540" i="3" s="1"/>
  <c r="V541" i="3" a="1"/>
  <c r="V541" i="3" s="1"/>
  <c r="V542" i="3" a="1"/>
  <c r="V542" i="3" s="1"/>
  <c r="V543" i="3" a="1"/>
  <c r="V543" i="3" s="1"/>
  <c r="V544" i="3" a="1"/>
  <c r="V544" i="3" s="1"/>
  <c r="V545" i="3" a="1"/>
  <c r="V545" i="3" s="1"/>
  <c r="V546" i="3" a="1"/>
  <c r="V546" i="3" s="1"/>
  <c r="V547" i="3" a="1"/>
  <c r="V547" i="3" s="1"/>
  <c r="V548" i="3" a="1"/>
  <c r="V548" i="3" s="1"/>
  <c r="V549" i="3" a="1"/>
  <c r="V549" i="3" s="1"/>
  <c r="V550" i="3" a="1"/>
  <c r="V550" i="3" s="1"/>
  <c r="V551" i="3" a="1"/>
  <c r="V551" i="3" s="1"/>
  <c r="V552" i="3" a="1"/>
  <c r="V552" i="3" s="1"/>
  <c r="V553" i="3" a="1"/>
  <c r="V553" i="3" s="1"/>
  <c r="V554" i="3" a="1"/>
  <c r="V554" i="3" s="1"/>
  <c r="V555" i="3" a="1"/>
  <c r="V555" i="3" s="1"/>
  <c r="V556" i="3" a="1"/>
  <c r="V556" i="3" s="1"/>
  <c r="V557" i="3" a="1"/>
  <c r="V557" i="3" s="1"/>
  <c r="V558" i="3" a="1"/>
  <c r="V558" i="3" s="1"/>
  <c r="V559" i="3" a="1"/>
  <c r="V559" i="3" s="1"/>
  <c r="V560" i="3" a="1"/>
  <c r="V560" i="3" s="1"/>
  <c r="V561" i="3" a="1"/>
  <c r="V561" i="3" s="1"/>
  <c r="V562" i="3" a="1"/>
  <c r="V562" i="3" s="1"/>
  <c r="V563" i="3" a="1"/>
  <c r="V563" i="3" s="1"/>
  <c r="V564" i="3" a="1"/>
  <c r="V564" i="3" s="1"/>
  <c r="V565" i="3" a="1"/>
  <c r="V565" i="3" s="1"/>
  <c r="V566" i="3" a="1"/>
  <c r="V566" i="3" s="1"/>
  <c r="V567" i="3" a="1"/>
  <c r="V567" i="3" s="1"/>
  <c r="V568" i="3" a="1"/>
  <c r="V568" i="3" s="1"/>
  <c r="V569" i="3" a="1"/>
  <c r="V569" i="3" s="1"/>
  <c r="V570" i="3" a="1"/>
  <c r="V570" i="3" s="1"/>
  <c r="V571" i="3" a="1"/>
  <c r="V571" i="3" s="1"/>
  <c r="V572" i="3" a="1"/>
  <c r="V572" i="3" s="1"/>
  <c r="V573" i="3" a="1"/>
  <c r="V573" i="3" s="1"/>
  <c r="V574" i="3" a="1"/>
  <c r="V574" i="3" s="1"/>
  <c r="V575" i="3" a="1"/>
  <c r="V575" i="3" s="1"/>
  <c r="V576" i="3" a="1"/>
  <c r="V576" i="3" s="1"/>
  <c r="V577" i="3" a="1"/>
  <c r="V577" i="3" s="1"/>
  <c r="V578" i="3" a="1"/>
  <c r="V578" i="3" s="1"/>
  <c r="V579" i="3" a="1"/>
  <c r="V579" i="3" s="1"/>
  <c r="V580" i="3" a="1"/>
  <c r="V580" i="3" s="1"/>
  <c r="V581" i="3" a="1"/>
  <c r="V581" i="3" s="1"/>
  <c r="V582" i="3" a="1"/>
  <c r="V582" i="3" s="1"/>
  <c r="V583" i="3" a="1"/>
  <c r="V583" i="3" s="1"/>
  <c r="V584" i="3" a="1"/>
  <c r="V584" i="3" s="1"/>
  <c r="V585" i="3" a="1"/>
  <c r="V585" i="3" s="1"/>
  <c r="V586" i="3" a="1"/>
  <c r="V586" i="3" s="1"/>
  <c r="V587" i="3" a="1"/>
  <c r="V587" i="3" s="1"/>
  <c r="V588" i="3" a="1"/>
  <c r="V588" i="3" s="1"/>
  <c r="V589" i="3" a="1"/>
  <c r="V589" i="3" s="1"/>
  <c r="V590" i="3" a="1"/>
  <c r="V590" i="3" s="1"/>
  <c r="V591" i="3" a="1"/>
  <c r="V591" i="3" s="1"/>
  <c r="V592" i="3" a="1"/>
  <c r="V592" i="3" s="1"/>
  <c r="V593" i="3" a="1"/>
  <c r="V593" i="3" s="1"/>
  <c r="V594" i="3" a="1"/>
  <c r="V594" i="3" s="1"/>
  <c r="V595" i="3" a="1"/>
  <c r="V595" i="3" s="1"/>
  <c r="V596" i="3" a="1"/>
  <c r="V596" i="3" s="1"/>
  <c r="V597" i="3" a="1"/>
  <c r="V597" i="3" s="1"/>
  <c r="V598" i="3" a="1"/>
  <c r="V598" i="3" s="1"/>
  <c r="V599" i="3" a="1"/>
  <c r="V599" i="3" s="1"/>
  <c r="V600" i="3" a="1"/>
  <c r="V600" i="3" s="1"/>
  <c r="V601" i="3" a="1"/>
  <c r="V601" i="3" s="1"/>
  <c r="V602" i="3" a="1"/>
  <c r="V602" i="3" s="1"/>
  <c r="V603" i="3" a="1"/>
  <c r="V603" i="3" s="1"/>
  <c r="V604" i="3" a="1"/>
  <c r="V604" i="3" s="1"/>
  <c r="V605" i="3" a="1"/>
  <c r="V605" i="3" s="1"/>
  <c r="V606" i="3" a="1"/>
  <c r="V606" i="3" s="1"/>
  <c r="V607" i="3" a="1"/>
  <c r="V607" i="3" s="1"/>
  <c r="V608" i="3" a="1"/>
  <c r="V608" i="3" s="1"/>
  <c r="V609" i="3" a="1"/>
  <c r="V609" i="3" s="1"/>
  <c r="V610" i="3" a="1"/>
  <c r="V610" i="3" s="1"/>
  <c r="V611" i="3" a="1"/>
  <c r="V611" i="3" s="1"/>
  <c r="V612" i="3" a="1"/>
  <c r="V612" i="3" s="1"/>
  <c r="V613" i="3" a="1"/>
  <c r="V613" i="3" s="1"/>
  <c r="V614" i="3" a="1"/>
  <c r="V614" i="3" s="1"/>
  <c r="V615" i="3" a="1"/>
  <c r="V615" i="3" s="1"/>
  <c r="V616" i="3" a="1"/>
  <c r="V616" i="3" s="1"/>
  <c r="V617" i="3" a="1"/>
  <c r="V617" i="3" s="1"/>
  <c r="V618" i="3" a="1"/>
  <c r="V618" i="3" s="1"/>
  <c r="V619" i="3" a="1"/>
  <c r="V619" i="3" s="1"/>
  <c r="V620" i="3" a="1"/>
  <c r="V620" i="3" s="1"/>
  <c r="V621" i="3" a="1"/>
  <c r="V621" i="3" s="1"/>
  <c r="V622" i="3" a="1"/>
  <c r="V622" i="3" s="1"/>
  <c r="V623" i="3" a="1"/>
  <c r="V623" i="3" s="1"/>
  <c r="V624" i="3" a="1"/>
  <c r="V624" i="3" s="1"/>
  <c r="V625" i="3" a="1"/>
  <c r="V625" i="3" s="1"/>
  <c r="V626" i="3" a="1"/>
  <c r="V626" i="3" s="1"/>
  <c r="V627" i="3" a="1"/>
  <c r="V627" i="3" s="1"/>
  <c r="V628" i="3" a="1"/>
  <c r="V628" i="3" s="1"/>
  <c r="V629" i="3" a="1"/>
  <c r="V629" i="3" s="1"/>
  <c r="V630" i="3" a="1"/>
  <c r="V630" i="3" s="1"/>
  <c r="V631" i="3" a="1"/>
  <c r="V631" i="3" s="1"/>
  <c r="V632" i="3" a="1"/>
  <c r="V632" i="3" s="1"/>
  <c r="V633" i="3" a="1"/>
  <c r="V633" i="3" s="1"/>
  <c r="V634" i="3" a="1"/>
  <c r="V634" i="3" s="1"/>
  <c r="V635" i="3" a="1"/>
  <c r="V635" i="3" s="1"/>
  <c r="V636" i="3" a="1"/>
  <c r="V636" i="3" s="1"/>
  <c r="V637" i="3" a="1"/>
  <c r="V637" i="3" s="1"/>
  <c r="V638" i="3" a="1"/>
  <c r="V638" i="3" s="1"/>
  <c r="V639" i="3" a="1"/>
  <c r="V639" i="3" s="1"/>
  <c r="V640" i="3" a="1"/>
  <c r="V640" i="3" s="1"/>
  <c r="V641" i="3" a="1"/>
  <c r="V641" i="3" s="1"/>
  <c r="V642" i="3" a="1"/>
  <c r="V642" i="3" s="1"/>
  <c r="V643" i="3" a="1"/>
  <c r="V643" i="3" s="1"/>
  <c r="V644" i="3" a="1"/>
  <c r="V644" i="3" s="1"/>
  <c r="V645" i="3" a="1"/>
  <c r="V645" i="3" s="1"/>
  <c r="V646" i="3" a="1"/>
  <c r="V646" i="3" s="1"/>
  <c r="V647" i="3" a="1"/>
  <c r="V647" i="3" s="1"/>
  <c r="V3" i="3" a="1"/>
  <c r="V3" i="3" s="1"/>
  <c r="T4" i="3" a="1"/>
  <c r="T4" i="3"/>
  <c r="T5" i="3" a="1"/>
  <c r="T5" i="3" s="1"/>
  <c r="T6" i="3" a="1"/>
  <c r="T6" i="3" s="1"/>
  <c r="T7" i="3" a="1"/>
  <c r="T7" i="3" s="1"/>
  <c r="T8" i="3" a="1"/>
  <c r="T8" i="3"/>
  <c r="T9" i="3" a="1"/>
  <c r="T9" i="3" s="1"/>
  <c r="T10" i="3" a="1"/>
  <c r="T10" i="3" s="1"/>
  <c r="T11" i="3" a="1"/>
  <c r="T11" i="3" s="1"/>
  <c r="T12" i="3" a="1"/>
  <c r="T12" i="3" s="1"/>
  <c r="T13" i="3" a="1"/>
  <c r="T13" i="3" s="1"/>
  <c r="T14" i="3" a="1"/>
  <c r="T14" i="3"/>
  <c r="T15" i="3" a="1"/>
  <c r="T15" i="3" s="1"/>
  <c r="T16" i="3" a="1"/>
  <c r="T16" i="3" s="1"/>
  <c r="T17" i="3" a="1"/>
  <c r="T17" i="3" s="1"/>
  <c r="T18" i="3" a="1"/>
  <c r="T18" i="3" s="1"/>
  <c r="T19" i="3" a="1"/>
  <c r="T19" i="3" s="1"/>
  <c r="T20" i="3" a="1"/>
  <c r="T20" i="3" s="1"/>
  <c r="T21" i="3" a="1"/>
  <c r="T21" i="3" s="1"/>
  <c r="T22" i="3" a="1"/>
  <c r="T22" i="3"/>
  <c r="T23" i="3" a="1"/>
  <c r="T23" i="3" s="1"/>
  <c r="T24" i="3" a="1"/>
  <c r="T24" i="3" s="1"/>
  <c r="T25" i="3" a="1"/>
  <c r="T25" i="3" s="1"/>
  <c r="T26" i="3" a="1"/>
  <c r="T26" i="3" s="1"/>
  <c r="T27" i="3" a="1"/>
  <c r="T27" i="3" s="1"/>
  <c r="T28" i="3" a="1"/>
  <c r="T28" i="3" s="1"/>
  <c r="T29" i="3" a="1"/>
  <c r="T29" i="3" s="1"/>
  <c r="T30" i="3" a="1"/>
  <c r="T30" i="3"/>
  <c r="T31" i="3" a="1"/>
  <c r="T31" i="3" s="1"/>
  <c r="T32" i="3" a="1"/>
  <c r="T32" i="3" s="1"/>
  <c r="T33" i="3" a="1"/>
  <c r="T33" i="3" s="1"/>
  <c r="T34" i="3" a="1"/>
  <c r="T34" i="3" s="1"/>
  <c r="T35" i="3" a="1"/>
  <c r="T35" i="3" s="1"/>
  <c r="T36" i="3" a="1"/>
  <c r="T36" i="3" s="1"/>
  <c r="T37" i="3" a="1"/>
  <c r="T37" i="3" s="1"/>
  <c r="T38" i="3" a="1"/>
  <c r="T38" i="3" s="1"/>
  <c r="T39" i="3" a="1"/>
  <c r="T39" i="3" s="1"/>
  <c r="T40" i="3" a="1"/>
  <c r="T40" i="3" s="1"/>
  <c r="T41" i="3" a="1"/>
  <c r="T41" i="3" s="1"/>
  <c r="T42" i="3" a="1"/>
  <c r="T42" i="3" s="1"/>
  <c r="T43" i="3" a="1"/>
  <c r="T43" i="3" s="1"/>
  <c r="T44" i="3" a="1"/>
  <c r="T44" i="3" s="1"/>
  <c r="T45" i="3" a="1"/>
  <c r="T45" i="3" s="1"/>
  <c r="T46" i="3" a="1"/>
  <c r="T46" i="3" s="1"/>
  <c r="T47" i="3" a="1"/>
  <c r="T47" i="3" s="1"/>
  <c r="T48" i="3" a="1"/>
  <c r="T48" i="3" s="1"/>
  <c r="T49" i="3" a="1"/>
  <c r="T49" i="3" s="1"/>
  <c r="T50" i="3" a="1"/>
  <c r="T50" i="3" s="1"/>
  <c r="T51" i="3" a="1"/>
  <c r="T51" i="3" s="1"/>
  <c r="T52" i="3" a="1"/>
  <c r="T52" i="3" s="1"/>
  <c r="T53" i="3" a="1"/>
  <c r="T53" i="3" s="1"/>
  <c r="T54" i="3" a="1"/>
  <c r="T54" i="3" s="1"/>
  <c r="T55" i="3" a="1"/>
  <c r="T55" i="3" s="1"/>
  <c r="T56" i="3" a="1"/>
  <c r="T56" i="3" s="1"/>
  <c r="T57" i="3" a="1"/>
  <c r="T57" i="3" s="1"/>
  <c r="T58" i="3" a="1"/>
  <c r="T58" i="3" s="1"/>
  <c r="T59" i="3" a="1"/>
  <c r="T59" i="3" s="1"/>
  <c r="T60" i="3" a="1"/>
  <c r="T60" i="3" s="1"/>
  <c r="T61" i="3" a="1"/>
  <c r="T61" i="3" s="1"/>
  <c r="T62" i="3" a="1"/>
  <c r="T62" i="3"/>
  <c r="T63" i="3" a="1"/>
  <c r="T63" i="3" s="1"/>
  <c r="T64" i="3" a="1"/>
  <c r="T64" i="3" s="1"/>
  <c r="T65" i="3" a="1"/>
  <c r="T65" i="3" s="1"/>
  <c r="T66" i="3" a="1"/>
  <c r="T66" i="3" s="1"/>
  <c r="T67" i="3" a="1"/>
  <c r="T67" i="3" s="1"/>
  <c r="T68" i="3" a="1"/>
  <c r="T68" i="3" s="1"/>
  <c r="T69" i="3" a="1"/>
  <c r="T69" i="3" s="1"/>
  <c r="T70" i="3" a="1"/>
  <c r="T70" i="3"/>
  <c r="T71" i="3" a="1"/>
  <c r="T71" i="3" s="1"/>
  <c r="T72" i="3" a="1"/>
  <c r="T72" i="3" s="1"/>
  <c r="T73" i="3" a="1"/>
  <c r="T73" i="3" s="1"/>
  <c r="T74" i="3" a="1"/>
  <c r="T74" i="3" s="1"/>
  <c r="T75" i="3" a="1"/>
  <c r="T75" i="3" s="1"/>
  <c r="T76" i="3" a="1"/>
  <c r="T76" i="3" s="1"/>
  <c r="T77" i="3" a="1"/>
  <c r="T77" i="3" s="1"/>
  <c r="T78" i="3" a="1"/>
  <c r="T78" i="3" s="1"/>
  <c r="T79" i="3" a="1"/>
  <c r="T79" i="3" s="1"/>
  <c r="T80" i="3" a="1"/>
  <c r="T80" i="3" s="1"/>
  <c r="T81" i="3" a="1"/>
  <c r="T81" i="3" s="1"/>
  <c r="T82" i="3" a="1"/>
  <c r="T82" i="3" s="1"/>
  <c r="T83" i="3" a="1"/>
  <c r="T83" i="3" s="1"/>
  <c r="T84" i="3" a="1"/>
  <c r="T84" i="3" s="1"/>
  <c r="T85" i="3" a="1"/>
  <c r="T85" i="3" s="1"/>
  <c r="T86" i="3" a="1"/>
  <c r="T86" i="3" s="1"/>
  <c r="T87" i="3" a="1"/>
  <c r="T87" i="3" s="1"/>
  <c r="T88" i="3" a="1"/>
  <c r="T88" i="3" s="1"/>
  <c r="T89" i="3" a="1"/>
  <c r="T89" i="3" s="1"/>
  <c r="T90" i="3" a="1"/>
  <c r="T90" i="3" s="1"/>
  <c r="T91" i="3" a="1"/>
  <c r="T91" i="3" s="1"/>
  <c r="T92" i="3" a="1"/>
  <c r="T92" i="3" s="1"/>
  <c r="T93" i="3" a="1"/>
  <c r="T93" i="3" s="1"/>
  <c r="T94" i="3" a="1"/>
  <c r="T94" i="3" s="1"/>
  <c r="T95" i="3" a="1"/>
  <c r="T95" i="3" s="1"/>
  <c r="T96" i="3" a="1"/>
  <c r="T96" i="3" s="1"/>
  <c r="T97" i="3" a="1"/>
  <c r="T97" i="3" s="1"/>
  <c r="T98" i="3" a="1"/>
  <c r="T98" i="3" s="1"/>
  <c r="T99" i="3" a="1"/>
  <c r="T99" i="3" s="1"/>
  <c r="T100" i="3" a="1"/>
  <c r="T100" i="3" s="1"/>
  <c r="T101" i="3" a="1"/>
  <c r="T101" i="3" s="1"/>
  <c r="T102" i="3" a="1"/>
  <c r="T102" i="3" s="1"/>
  <c r="T103" i="3" a="1"/>
  <c r="T103" i="3" s="1"/>
  <c r="T104" i="3" a="1"/>
  <c r="T104" i="3" s="1"/>
  <c r="T105" i="3" a="1"/>
  <c r="T105" i="3" s="1"/>
  <c r="T106" i="3" a="1"/>
  <c r="T106" i="3" s="1"/>
  <c r="T107" i="3" a="1"/>
  <c r="T107" i="3" s="1"/>
  <c r="T108" i="3" a="1"/>
  <c r="T108" i="3" s="1"/>
  <c r="T109" i="3" a="1"/>
  <c r="T109" i="3" s="1"/>
  <c r="T110" i="3" a="1"/>
  <c r="T110" i="3" s="1"/>
  <c r="T111" i="3" a="1"/>
  <c r="T111" i="3" s="1"/>
  <c r="T112" i="3" a="1"/>
  <c r="T112" i="3" s="1"/>
  <c r="T113" i="3" a="1"/>
  <c r="T113" i="3" s="1"/>
  <c r="T114" i="3" a="1"/>
  <c r="T114" i="3"/>
  <c r="T115" i="3" a="1"/>
  <c r="T115" i="3" s="1"/>
  <c r="T116" i="3" a="1"/>
  <c r="T116" i="3" s="1"/>
  <c r="T117" i="3" a="1"/>
  <c r="T117" i="3" s="1"/>
  <c r="T118" i="3" a="1"/>
  <c r="T118" i="3"/>
  <c r="T119" i="3" a="1"/>
  <c r="T119" i="3" s="1"/>
  <c r="T120" i="3" a="1"/>
  <c r="T120" i="3" s="1"/>
  <c r="T121" i="3" a="1"/>
  <c r="T121" i="3" s="1"/>
  <c r="T122" i="3" a="1"/>
  <c r="T122" i="3"/>
  <c r="T123" i="3" a="1"/>
  <c r="T123" i="3" s="1"/>
  <c r="T124" i="3" a="1"/>
  <c r="T124" i="3" s="1"/>
  <c r="T125" i="3" a="1"/>
  <c r="T125" i="3" s="1"/>
  <c r="T126" i="3" a="1"/>
  <c r="T126" i="3"/>
  <c r="T127" i="3" a="1"/>
  <c r="T127" i="3" s="1"/>
  <c r="T128" i="3" a="1"/>
  <c r="T128" i="3" s="1"/>
  <c r="T129" i="3" a="1"/>
  <c r="T129" i="3" s="1"/>
  <c r="T130" i="3" a="1"/>
  <c r="T130" i="3"/>
  <c r="T131" i="3" a="1"/>
  <c r="T131" i="3" s="1"/>
  <c r="T132" i="3" a="1"/>
  <c r="T132" i="3" s="1"/>
  <c r="T133" i="3" a="1"/>
  <c r="T133" i="3" s="1"/>
  <c r="T134" i="3" a="1"/>
  <c r="T134" i="3"/>
  <c r="T135" i="3" a="1"/>
  <c r="T135" i="3" s="1"/>
  <c r="T136" i="3" a="1"/>
  <c r="T136" i="3" s="1"/>
  <c r="T137" i="3" a="1"/>
  <c r="T137" i="3" s="1"/>
  <c r="T138" i="3" a="1"/>
  <c r="T138" i="3"/>
  <c r="T139" i="3" a="1"/>
  <c r="T139" i="3" s="1"/>
  <c r="T140" i="3" a="1"/>
  <c r="T140" i="3" s="1"/>
  <c r="T141" i="3" a="1"/>
  <c r="T141" i="3" s="1"/>
  <c r="T142" i="3" a="1"/>
  <c r="T142" i="3" s="1"/>
  <c r="T143" i="3" a="1"/>
  <c r="T143" i="3" s="1"/>
  <c r="T144" i="3" a="1"/>
  <c r="T144" i="3" s="1"/>
  <c r="T145" i="3" a="1"/>
  <c r="T145" i="3" s="1"/>
  <c r="T146" i="3" a="1"/>
  <c r="T146" i="3"/>
  <c r="T147" i="3" a="1"/>
  <c r="T147" i="3" s="1"/>
  <c r="T148" i="3" a="1"/>
  <c r="T148" i="3" s="1"/>
  <c r="T149" i="3" a="1"/>
  <c r="T149" i="3" s="1"/>
  <c r="T150" i="3" a="1"/>
  <c r="T150" i="3" s="1"/>
  <c r="T151" i="3" a="1"/>
  <c r="T151" i="3" s="1"/>
  <c r="T152" i="3" a="1"/>
  <c r="T152" i="3" s="1"/>
  <c r="T153" i="3" a="1"/>
  <c r="T153" i="3" s="1"/>
  <c r="T154" i="3" a="1"/>
  <c r="T154" i="3" s="1"/>
  <c r="T155" i="3" a="1"/>
  <c r="T155" i="3" s="1"/>
  <c r="T156" i="3" a="1"/>
  <c r="T156" i="3" s="1"/>
  <c r="T157" i="3" a="1"/>
  <c r="T157" i="3" s="1"/>
  <c r="T158" i="3" a="1"/>
  <c r="T158" i="3"/>
  <c r="T159" i="3" a="1"/>
  <c r="T159" i="3" s="1"/>
  <c r="T160" i="3" a="1"/>
  <c r="T160" i="3" s="1"/>
  <c r="T161" i="3" a="1"/>
  <c r="T161" i="3" s="1"/>
  <c r="T162" i="3" a="1"/>
  <c r="T162" i="3" s="1"/>
  <c r="T163" i="3" a="1"/>
  <c r="T163" i="3" s="1"/>
  <c r="T164" i="3" a="1"/>
  <c r="T164" i="3" s="1"/>
  <c r="T165" i="3" a="1"/>
  <c r="T165" i="3" s="1"/>
  <c r="T166" i="3" a="1"/>
  <c r="T166" i="3" s="1"/>
  <c r="T167" i="3" a="1"/>
  <c r="T167" i="3" s="1"/>
  <c r="T168" i="3" a="1"/>
  <c r="T168" i="3" s="1"/>
  <c r="T169" i="3" a="1"/>
  <c r="T169" i="3" s="1"/>
  <c r="T170" i="3" a="1"/>
  <c r="T170" i="3" s="1"/>
  <c r="T171" i="3" a="1"/>
  <c r="T171" i="3" s="1"/>
  <c r="T172" i="3" a="1"/>
  <c r="T172" i="3" s="1"/>
  <c r="T173" i="3" a="1"/>
  <c r="T173" i="3" s="1"/>
  <c r="T174" i="3" a="1"/>
  <c r="T174" i="3"/>
  <c r="T175" i="3" a="1"/>
  <c r="T175" i="3" s="1"/>
  <c r="T176" i="3" a="1"/>
  <c r="T176" i="3" s="1"/>
  <c r="T177" i="3" a="1"/>
  <c r="T177" i="3" s="1"/>
  <c r="T178" i="3" a="1"/>
  <c r="T178" i="3" s="1"/>
  <c r="T179" i="3" a="1"/>
  <c r="T179" i="3" s="1"/>
  <c r="T180" i="3" a="1"/>
  <c r="T180" i="3" s="1"/>
  <c r="T181" i="3" a="1"/>
  <c r="T181" i="3" s="1"/>
  <c r="T182" i="3" a="1"/>
  <c r="T182" i="3" s="1"/>
  <c r="T183" i="3" a="1"/>
  <c r="T183" i="3" s="1"/>
  <c r="T184" i="3" a="1"/>
  <c r="T184" i="3" s="1"/>
  <c r="T185" i="3" a="1"/>
  <c r="T185" i="3" s="1"/>
  <c r="T186" i="3" a="1"/>
  <c r="T186" i="3" s="1"/>
  <c r="T187" i="3" a="1"/>
  <c r="T187" i="3" s="1"/>
  <c r="T188" i="3" a="1"/>
  <c r="T188" i="3" s="1"/>
  <c r="T189" i="3" a="1"/>
  <c r="T189" i="3" s="1"/>
  <c r="T190" i="3" a="1"/>
  <c r="T190" i="3" s="1"/>
  <c r="T191" i="3" a="1"/>
  <c r="T191" i="3" s="1"/>
  <c r="T192" i="3" a="1"/>
  <c r="T192" i="3" s="1"/>
  <c r="T193" i="3" a="1"/>
  <c r="T193" i="3" s="1"/>
  <c r="T194" i="3" a="1"/>
  <c r="T194" i="3" s="1"/>
  <c r="T195" i="3" a="1"/>
  <c r="T195" i="3" s="1"/>
  <c r="T196" i="3" a="1"/>
  <c r="T196" i="3" s="1"/>
  <c r="T197" i="3" a="1"/>
  <c r="T197" i="3" s="1"/>
  <c r="T198" i="3" a="1"/>
  <c r="T198" i="3" s="1"/>
  <c r="T199" i="3" a="1"/>
  <c r="T199" i="3" s="1"/>
  <c r="T200" i="3" a="1"/>
  <c r="T200" i="3" s="1"/>
  <c r="T201" i="3" a="1"/>
  <c r="T201" i="3" s="1"/>
  <c r="T202" i="3" a="1"/>
  <c r="T202" i="3" s="1"/>
  <c r="T203" i="3" a="1"/>
  <c r="T203" i="3" s="1"/>
  <c r="T204" i="3" a="1"/>
  <c r="T204" i="3" s="1"/>
  <c r="T205" i="3" a="1"/>
  <c r="T205" i="3" s="1"/>
  <c r="T206" i="3" a="1"/>
  <c r="T206" i="3" s="1"/>
  <c r="T207" i="3" a="1"/>
  <c r="T207" i="3" s="1"/>
  <c r="T208" i="3" a="1"/>
  <c r="T208" i="3" s="1"/>
  <c r="T209" i="3" a="1"/>
  <c r="T209" i="3" s="1"/>
  <c r="T210" i="3" a="1"/>
  <c r="T210" i="3" s="1"/>
  <c r="T211" i="3" a="1"/>
  <c r="T211" i="3" s="1"/>
  <c r="T212" i="3" a="1"/>
  <c r="T212" i="3" s="1"/>
  <c r="T213" i="3" a="1"/>
  <c r="T213" i="3" s="1"/>
  <c r="T214" i="3" a="1"/>
  <c r="T214" i="3" s="1"/>
  <c r="T215" i="3" a="1"/>
  <c r="T215" i="3" s="1"/>
  <c r="T216" i="3" a="1"/>
  <c r="T216" i="3" s="1"/>
  <c r="T217" i="3" a="1"/>
  <c r="T217" i="3" s="1"/>
  <c r="T218" i="3" a="1"/>
  <c r="T218" i="3" s="1"/>
  <c r="T219" i="3" a="1"/>
  <c r="T219" i="3" s="1"/>
  <c r="T220" i="3" a="1"/>
  <c r="T220" i="3" s="1"/>
  <c r="T221" i="3" a="1"/>
  <c r="T221" i="3" s="1"/>
  <c r="T222" i="3" a="1"/>
  <c r="T222" i="3" s="1"/>
  <c r="T223" i="3" a="1"/>
  <c r="T223" i="3" s="1"/>
  <c r="T224" i="3" a="1"/>
  <c r="T224" i="3" s="1"/>
  <c r="T225" i="3" a="1"/>
  <c r="T225" i="3" s="1"/>
  <c r="T226" i="3" a="1"/>
  <c r="T226" i="3" s="1"/>
  <c r="T227" i="3" a="1"/>
  <c r="T227" i="3" s="1"/>
  <c r="T228" i="3" a="1"/>
  <c r="T228" i="3" s="1"/>
  <c r="T229" i="3" a="1"/>
  <c r="T229" i="3" s="1"/>
  <c r="T230" i="3" a="1"/>
  <c r="T230" i="3" s="1"/>
  <c r="T231" i="3" a="1"/>
  <c r="T231" i="3" s="1"/>
  <c r="T232" i="3" a="1"/>
  <c r="T232" i="3" s="1"/>
  <c r="T233" i="3" a="1"/>
  <c r="T233" i="3" s="1"/>
  <c r="T234" i="3" a="1"/>
  <c r="T234" i="3" s="1"/>
  <c r="T235" i="3" a="1"/>
  <c r="T235" i="3" s="1"/>
  <c r="T236" i="3" a="1"/>
  <c r="T236" i="3" s="1"/>
  <c r="T237" i="3" a="1"/>
  <c r="T237" i="3" s="1"/>
  <c r="T238" i="3" a="1"/>
  <c r="T238" i="3" s="1"/>
  <c r="T239" i="3" a="1"/>
  <c r="T239" i="3" s="1"/>
  <c r="T240" i="3" a="1"/>
  <c r="T240" i="3" s="1"/>
  <c r="T241" i="3" a="1"/>
  <c r="T241" i="3" s="1"/>
  <c r="T242" i="3" a="1"/>
  <c r="T242" i="3" s="1"/>
  <c r="T243" i="3" a="1"/>
  <c r="T243" i="3" s="1"/>
  <c r="T244" i="3" a="1"/>
  <c r="T244" i="3" s="1"/>
  <c r="T245" i="3" a="1"/>
  <c r="T245" i="3" s="1"/>
  <c r="T246" i="3" a="1"/>
  <c r="T246" i="3" s="1"/>
  <c r="T247" i="3" a="1"/>
  <c r="T247" i="3" s="1"/>
  <c r="T248" i="3" a="1"/>
  <c r="T248" i="3" s="1"/>
  <c r="T249" i="3" a="1"/>
  <c r="T249" i="3" s="1"/>
  <c r="T250" i="3" a="1"/>
  <c r="T250" i="3" s="1"/>
  <c r="T251" i="3" a="1"/>
  <c r="T251" i="3" s="1"/>
  <c r="T252" i="3" a="1"/>
  <c r="T252" i="3" s="1"/>
  <c r="T253" i="3" a="1"/>
  <c r="T253" i="3" s="1"/>
  <c r="T254" i="3" a="1"/>
  <c r="T254" i="3" s="1"/>
  <c r="T255" i="3" a="1"/>
  <c r="T255" i="3" s="1"/>
  <c r="T256" i="3" a="1"/>
  <c r="T256" i="3" s="1"/>
  <c r="T257" i="3" a="1"/>
  <c r="T257" i="3" s="1"/>
  <c r="T258" i="3" a="1"/>
  <c r="T258" i="3" s="1"/>
  <c r="T259" i="3" a="1"/>
  <c r="T259" i="3" s="1"/>
  <c r="T260" i="3" a="1"/>
  <c r="T260" i="3" s="1"/>
  <c r="T261" i="3" a="1"/>
  <c r="T261" i="3" s="1"/>
  <c r="T262" i="3" a="1"/>
  <c r="T262" i="3" s="1"/>
  <c r="T263" i="3" a="1"/>
  <c r="T263" i="3" s="1"/>
  <c r="T264" i="3" a="1"/>
  <c r="T264" i="3" s="1"/>
  <c r="T265" i="3" a="1"/>
  <c r="T265" i="3" s="1"/>
  <c r="T266" i="3" a="1"/>
  <c r="T266" i="3" s="1"/>
  <c r="T267" i="3" a="1"/>
  <c r="T267" i="3" s="1"/>
  <c r="T268" i="3" a="1"/>
  <c r="T268" i="3" s="1"/>
  <c r="T269" i="3" a="1"/>
  <c r="T269" i="3" s="1"/>
  <c r="T270" i="3" a="1"/>
  <c r="T270" i="3" s="1"/>
  <c r="T271" i="3" a="1"/>
  <c r="T271" i="3" s="1"/>
  <c r="T272" i="3" a="1"/>
  <c r="T272" i="3" s="1"/>
  <c r="T273" i="3" a="1"/>
  <c r="T273" i="3" s="1"/>
  <c r="T274" i="3" a="1"/>
  <c r="T274" i="3" s="1"/>
  <c r="T275" i="3" a="1"/>
  <c r="T275" i="3" s="1"/>
  <c r="T276" i="3" a="1"/>
  <c r="T276" i="3" s="1"/>
  <c r="T277" i="3" a="1"/>
  <c r="T277" i="3" s="1"/>
  <c r="T278" i="3" a="1"/>
  <c r="T278" i="3" s="1"/>
  <c r="T279" i="3" a="1"/>
  <c r="T279" i="3" s="1"/>
  <c r="T280" i="3" a="1"/>
  <c r="T280" i="3" s="1"/>
  <c r="T281" i="3" a="1"/>
  <c r="T281" i="3" s="1"/>
  <c r="T282" i="3" a="1"/>
  <c r="T282" i="3" s="1"/>
  <c r="T283" i="3" a="1"/>
  <c r="T283" i="3" s="1"/>
  <c r="T284" i="3" a="1"/>
  <c r="T284" i="3" s="1"/>
  <c r="T285" i="3" a="1"/>
  <c r="T285" i="3" s="1"/>
  <c r="T286" i="3" a="1"/>
  <c r="T286" i="3" s="1"/>
  <c r="T287" i="3" a="1"/>
  <c r="T287" i="3" s="1"/>
  <c r="T288" i="3" a="1"/>
  <c r="T288" i="3" s="1"/>
  <c r="T289" i="3" a="1"/>
  <c r="T289" i="3" s="1"/>
  <c r="T290" i="3" a="1"/>
  <c r="T290" i="3" s="1"/>
  <c r="T291" i="3" a="1"/>
  <c r="T291" i="3" s="1"/>
  <c r="T292" i="3" a="1"/>
  <c r="T292" i="3" s="1"/>
  <c r="T293" i="3" a="1"/>
  <c r="T293" i="3" s="1"/>
  <c r="T294" i="3" a="1"/>
  <c r="T294" i="3" s="1"/>
  <c r="T295" i="3" a="1"/>
  <c r="T295" i="3" s="1"/>
  <c r="T296" i="3" a="1"/>
  <c r="T296" i="3" s="1"/>
  <c r="T297" i="3" a="1"/>
  <c r="T297" i="3" s="1"/>
  <c r="T298" i="3" a="1"/>
  <c r="T298" i="3" s="1"/>
  <c r="T299" i="3" a="1"/>
  <c r="T299" i="3" s="1"/>
  <c r="T300" i="3" a="1"/>
  <c r="T300" i="3" s="1"/>
  <c r="T301" i="3" a="1"/>
  <c r="T301" i="3" s="1"/>
  <c r="T302" i="3" a="1"/>
  <c r="T302" i="3" s="1"/>
  <c r="T303" i="3" a="1"/>
  <c r="T303" i="3" s="1"/>
  <c r="T304" i="3" a="1"/>
  <c r="T304" i="3" s="1"/>
  <c r="T305" i="3" a="1"/>
  <c r="T305" i="3" s="1"/>
  <c r="T306" i="3" a="1"/>
  <c r="T306" i="3" s="1"/>
  <c r="T307" i="3" a="1"/>
  <c r="T307" i="3" s="1"/>
  <c r="T308" i="3" a="1"/>
  <c r="T308" i="3" s="1"/>
  <c r="T309" i="3" a="1"/>
  <c r="T309" i="3" s="1"/>
  <c r="T310" i="3" a="1"/>
  <c r="T310" i="3" s="1"/>
  <c r="T311" i="3" a="1"/>
  <c r="T311" i="3" s="1"/>
  <c r="T312" i="3" a="1"/>
  <c r="T312" i="3" s="1"/>
  <c r="T313" i="3" a="1"/>
  <c r="T313" i="3"/>
  <c r="T314" i="3" a="1"/>
  <c r="T314" i="3" s="1"/>
  <c r="T315" i="3" a="1"/>
  <c r="T315" i="3" s="1"/>
  <c r="T316" i="3" a="1"/>
  <c r="T316" i="3" s="1"/>
  <c r="T317" i="3" a="1"/>
  <c r="T317" i="3" s="1"/>
  <c r="T318" i="3" a="1"/>
  <c r="T318" i="3"/>
  <c r="T319" i="3" a="1"/>
  <c r="T319" i="3" s="1"/>
  <c r="T320" i="3" a="1"/>
  <c r="T320" i="3" s="1"/>
  <c r="T321" i="3" a="1"/>
  <c r="T321" i="3" s="1"/>
  <c r="T322" i="3" a="1"/>
  <c r="T322" i="3" s="1"/>
  <c r="T323" i="3" a="1"/>
  <c r="T323" i="3" s="1"/>
  <c r="T324" i="3" a="1"/>
  <c r="T324" i="3" s="1"/>
  <c r="T325" i="3" a="1"/>
  <c r="T325" i="3" s="1"/>
  <c r="T326" i="3" a="1"/>
  <c r="T326" i="3" s="1"/>
  <c r="T327" i="3" a="1"/>
  <c r="T327" i="3" s="1"/>
  <c r="T328" i="3" a="1"/>
  <c r="T328" i="3" s="1"/>
  <c r="T329" i="3" a="1"/>
  <c r="T329" i="3" s="1"/>
  <c r="T330" i="3" a="1"/>
  <c r="T330" i="3" s="1"/>
  <c r="T331" i="3" a="1"/>
  <c r="T331" i="3" s="1"/>
  <c r="T332" i="3" a="1"/>
  <c r="T332" i="3" s="1"/>
  <c r="T333" i="3" a="1"/>
  <c r="T333" i="3" s="1"/>
  <c r="T334" i="3" a="1"/>
  <c r="T334" i="3" s="1"/>
  <c r="T335" i="3" a="1"/>
  <c r="T335" i="3" s="1"/>
  <c r="T336" i="3" a="1"/>
  <c r="T336" i="3" s="1"/>
  <c r="T337" i="3" a="1"/>
  <c r="T337" i="3" s="1"/>
  <c r="T338" i="3" a="1"/>
  <c r="T338" i="3" s="1"/>
  <c r="T339" i="3" a="1"/>
  <c r="T339" i="3" s="1"/>
  <c r="T340" i="3" a="1"/>
  <c r="T340" i="3" s="1"/>
  <c r="T341" i="3" a="1"/>
  <c r="T341" i="3" s="1"/>
  <c r="T342" i="3" a="1"/>
  <c r="T342" i="3" s="1"/>
  <c r="T343" i="3" a="1"/>
  <c r="T343" i="3" s="1"/>
  <c r="T344" i="3" a="1"/>
  <c r="T344" i="3" s="1"/>
  <c r="T345" i="3" a="1"/>
  <c r="T345" i="3" s="1"/>
  <c r="T346" i="3" a="1"/>
  <c r="T346" i="3" s="1"/>
  <c r="T347" i="3" a="1"/>
  <c r="T347" i="3" s="1"/>
  <c r="T348" i="3" a="1"/>
  <c r="T348" i="3" s="1"/>
  <c r="T349" i="3" a="1"/>
  <c r="T349" i="3" s="1"/>
  <c r="T350" i="3" a="1"/>
  <c r="T350" i="3" s="1"/>
  <c r="T351" i="3" a="1"/>
  <c r="T351" i="3" s="1"/>
  <c r="T352" i="3" a="1"/>
  <c r="T352" i="3" s="1"/>
  <c r="T353" i="3" a="1"/>
  <c r="T353" i="3" s="1"/>
  <c r="T354" i="3" a="1"/>
  <c r="T354" i="3" s="1"/>
  <c r="T355" i="3" a="1"/>
  <c r="T355" i="3" s="1"/>
  <c r="T356" i="3" a="1"/>
  <c r="T356" i="3" s="1"/>
  <c r="T357" i="3" a="1"/>
  <c r="T357" i="3" s="1"/>
  <c r="T358" i="3" a="1"/>
  <c r="T358" i="3" s="1"/>
  <c r="T359" i="3" a="1"/>
  <c r="T359" i="3" s="1"/>
  <c r="T360" i="3" a="1"/>
  <c r="T360" i="3" s="1"/>
  <c r="T361" i="3" a="1"/>
  <c r="T361" i="3" s="1"/>
  <c r="T362" i="3" a="1"/>
  <c r="T362" i="3" s="1"/>
  <c r="T363" i="3" a="1"/>
  <c r="T363" i="3" s="1"/>
  <c r="T364" i="3" a="1"/>
  <c r="T364" i="3" s="1"/>
  <c r="T365" i="3" a="1"/>
  <c r="T365" i="3" s="1"/>
  <c r="T366" i="3" a="1"/>
  <c r="T366" i="3" s="1"/>
  <c r="T367" i="3" a="1"/>
  <c r="T367" i="3" s="1"/>
  <c r="T368" i="3" a="1"/>
  <c r="T368" i="3" s="1"/>
  <c r="T369" i="3" a="1"/>
  <c r="T369" i="3" s="1"/>
  <c r="T370" i="3" a="1"/>
  <c r="T370" i="3" s="1"/>
  <c r="T371" i="3" a="1"/>
  <c r="T371" i="3" s="1"/>
  <c r="T372" i="3" a="1"/>
  <c r="T372" i="3" s="1"/>
  <c r="T373" i="3" a="1"/>
  <c r="T373" i="3" s="1"/>
  <c r="T374" i="3" a="1"/>
  <c r="T374" i="3" s="1"/>
  <c r="T375" i="3" a="1"/>
  <c r="T375" i="3" s="1"/>
  <c r="T376" i="3" a="1"/>
  <c r="T376" i="3" s="1"/>
  <c r="T377" i="3" a="1"/>
  <c r="T377" i="3" s="1"/>
  <c r="T378" i="3" a="1"/>
  <c r="T378" i="3" s="1"/>
  <c r="T379" i="3" a="1"/>
  <c r="T379" i="3" s="1"/>
  <c r="T380" i="3" a="1"/>
  <c r="T380" i="3" s="1"/>
  <c r="T381" i="3" a="1"/>
  <c r="T381" i="3" s="1"/>
  <c r="T382" i="3" a="1"/>
  <c r="T382" i="3" s="1"/>
  <c r="T383" i="3" a="1"/>
  <c r="T383" i="3" s="1"/>
  <c r="T384" i="3" a="1"/>
  <c r="T384" i="3" s="1"/>
  <c r="T385" i="3" a="1"/>
  <c r="T385" i="3" s="1"/>
  <c r="T386" i="3" a="1"/>
  <c r="T386" i="3" s="1"/>
  <c r="T387" i="3" a="1"/>
  <c r="T387" i="3" s="1"/>
  <c r="T388" i="3" a="1"/>
  <c r="T388" i="3" s="1"/>
  <c r="T389" i="3" a="1"/>
  <c r="T389" i="3" s="1"/>
  <c r="T390" i="3" a="1"/>
  <c r="T390" i="3" s="1"/>
  <c r="T391" i="3" a="1"/>
  <c r="T391" i="3" s="1"/>
  <c r="T392" i="3" a="1"/>
  <c r="T392" i="3" s="1"/>
  <c r="T393" i="3" a="1"/>
  <c r="T393" i="3" s="1"/>
  <c r="T394" i="3" a="1"/>
  <c r="T394" i="3" s="1"/>
  <c r="T395" i="3" a="1"/>
  <c r="T395" i="3" s="1"/>
  <c r="T396" i="3" a="1"/>
  <c r="T396" i="3" s="1"/>
  <c r="T397" i="3" a="1"/>
  <c r="T397" i="3" s="1"/>
  <c r="T398" i="3" a="1"/>
  <c r="T398" i="3" s="1"/>
  <c r="T399" i="3" a="1"/>
  <c r="T399" i="3" s="1"/>
  <c r="T400" i="3" a="1"/>
  <c r="T400" i="3" s="1"/>
  <c r="T401" i="3" a="1"/>
  <c r="T401" i="3" s="1"/>
  <c r="T402" i="3" a="1"/>
  <c r="T402" i="3" s="1"/>
  <c r="T403" i="3" a="1"/>
  <c r="T403" i="3" s="1"/>
  <c r="T404" i="3" a="1"/>
  <c r="T404" i="3" s="1"/>
  <c r="T405" i="3" a="1"/>
  <c r="T405" i="3" s="1"/>
  <c r="T406" i="3" a="1"/>
  <c r="T406" i="3" s="1"/>
  <c r="T407" i="3" a="1"/>
  <c r="T407" i="3" s="1"/>
  <c r="T408" i="3" a="1"/>
  <c r="T408" i="3" s="1"/>
  <c r="T409" i="3" a="1"/>
  <c r="T409" i="3" s="1"/>
  <c r="T410" i="3" a="1"/>
  <c r="T410" i="3" s="1"/>
  <c r="T411" i="3" a="1"/>
  <c r="T411" i="3" s="1"/>
  <c r="T412" i="3" a="1"/>
  <c r="T412" i="3" s="1"/>
  <c r="T413" i="3" a="1"/>
  <c r="T413" i="3" s="1"/>
  <c r="T414" i="3" a="1"/>
  <c r="T414" i="3" s="1"/>
  <c r="T415" i="3" a="1"/>
  <c r="T415" i="3" s="1"/>
  <c r="T416" i="3" a="1"/>
  <c r="T416" i="3" s="1"/>
  <c r="T417" i="3" a="1"/>
  <c r="T417" i="3" s="1"/>
  <c r="T418" i="3" a="1"/>
  <c r="T418" i="3" s="1"/>
  <c r="T419" i="3" a="1"/>
  <c r="T419" i="3" s="1"/>
  <c r="T420" i="3" a="1"/>
  <c r="T420" i="3" s="1"/>
  <c r="T421" i="3" a="1"/>
  <c r="T421" i="3" s="1"/>
  <c r="T422" i="3" a="1"/>
  <c r="T422" i="3" s="1"/>
  <c r="T423" i="3" a="1"/>
  <c r="T423" i="3" s="1"/>
  <c r="T424" i="3" a="1"/>
  <c r="T424" i="3" s="1"/>
  <c r="T425" i="3" a="1"/>
  <c r="T425" i="3" s="1"/>
  <c r="T426" i="3" a="1"/>
  <c r="T426" i="3" s="1"/>
  <c r="T427" i="3" a="1"/>
  <c r="T427" i="3" s="1"/>
  <c r="T428" i="3" a="1"/>
  <c r="T428" i="3" s="1"/>
  <c r="T429" i="3" a="1"/>
  <c r="T429" i="3" s="1"/>
  <c r="T430" i="3" a="1"/>
  <c r="T430" i="3" s="1"/>
  <c r="T431" i="3" a="1"/>
  <c r="T431" i="3" s="1"/>
  <c r="T432" i="3" a="1"/>
  <c r="T432" i="3" s="1"/>
  <c r="T433" i="3" a="1"/>
  <c r="T433" i="3" s="1"/>
  <c r="T434" i="3" a="1"/>
  <c r="T434" i="3" s="1"/>
  <c r="T435" i="3" a="1"/>
  <c r="T435" i="3" s="1"/>
  <c r="T436" i="3" a="1"/>
  <c r="T436" i="3" s="1"/>
  <c r="T437" i="3" a="1"/>
  <c r="T437" i="3" s="1"/>
  <c r="T438" i="3" a="1"/>
  <c r="T438" i="3" s="1"/>
  <c r="T439" i="3" a="1"/>
  <c r="T439" i="3" s="1"/>
  <c r="T440" i="3" a="1"/>
  <c r="T440" i="3" s="1"/>
  <c r="T441" i="3" a="1"/>
  <c r="T441" i="3" s="1"/>
  <c r="T442" i="3" a="1"/>
  <c r="T442" i="3" s="1"/>
  <c r="T443" i="3" a="1"/>
  <c r="T443" i="3" s="1"/>
  <c r="T444" i="3" a="1"/>
  <c r="T444" i="3" s="1"/>
  <c r="T445" i="3" a="1"/>
  <c r="T445" i="3" s="1"/>
  <c r="T446" i="3" a="1"/>
  <c r="T446" i="3" s="1"/>
  <c r="T447" i="3" a="1"/>
  <c r="T447" i="3" s="1"/>
  <c r="T448" i="3" a="1"/>
  <c r="T448" i="3" s="1"/>
  <c r="T449" i="3" a="1"/>
  <c r="T449" i="3" s="1"/>
  <c r="T450" i="3" a="1"/>
  <c r="T450" i="3" s="1"/>
  <c r="T451" i="3" a="1"/>
  <c r="T451" i="3" s="1"/>
  <c r="T452" i="3" a="1"/>
  <c r="T452" i="3" s="1"/>
  <c r="T453" i="3" a="1"/>
  <c r="T453" i="3" s="1"/>
  <c r="T454" i="3" a="1"/>
  <c r="T454" i="3" s="1"/>
  <c r="T455" i="3" a="1"/>
  <c r="T455" i="3" s="1"/>
  <c r="T456" i="3" a="1"/>
  <c r="T456" i="3" s="1"/>
  <c r="T457" i="3" a="1"/>
  <c r="T457" i="3" s="1"/>
  <c r="T458" i="3" a="1"/>
  <c r="T458" i="3" s="1"/>
  <c r="T459" i="3" a="1"/>
  <c r="T459" i="3" s="1"/>
  <c r="T460" i="3" a="1"/>
  <c r="T460" i="3" s="1"/>
  <c r="T461" i="3" a="1"/>
  <c r="T461" i="3" s="1"/>
  <c r="T462" i="3" a="1"/>
  <c r="T462" i="3" s="1"/>
  <c r="T463" i="3" a="1"/>
  <c r="T463" i="3" s="1"/>
  <c r="T464" i="3" a="1"/>
  <c r="T464" i="3" s="1"/>
  <c r="T465" i="3" a="1"/>
  <c r="T465" i="3" s="1"/>
  <c r="T466" i="3" a="1"/>
  <c r="T466" i="3" s="1"/>
  <c r="T467" i="3" a="1"/>
  <c r="T467" i="3" s="1"/>
  <c r="T468" i="3" a="1"/>
  <c r="T468" i="3" s="1"/>
  <c r="T469" i="3" a="1"/>
  <c r="T469" i="3" s="1"/>
  <c r="T470" i="3" a="1"/>
  <c r="T470" i="3" s="1"/>
  <c r="T471" i="3" a="1"/>
  <c r="T471" i="3" s="1"/>
  <c r="T472" i="3" a="1"/>
  <c r="T472" i="3" s="1"/>
  <c r="T473" i="3" a="1"/>
  <c r="T473" i="3" s="1"/>
  <c r="T474" i="3" a="1"/>
  <c r="T474" i="3"/>
  <c r="T475" i="3" a="1"/>
  <c r="T475" i="3" s="1"/>
  <c r="T476" i="3" a="1"/>
  <c r="T476" i="3" s="1"/>
  <c r="T477" i="3" a="1"/>
  <c r="T477" i="3" s="1"/>
  <c r="T478" i="3" a="1"/>
  <c r="T478" i="3"/>
  <c r="T479" i="3" a="1"/>
  <c r="T479" i="3" s="1"/>
  <c r="T480" i="3" a="1"/>
  <c r="T480" i="3" s="1"/>
  <c r="T481" i="3" a="1"/>
  <c r="T481" i="3" s="1"/>
  <c r="T482" i="3" a="1"/>
  <c r="T482" i="3"/>
  <c r="T483" i="3" a="1"/>
  <c r="T483" i="3" s="1"/>
  <c r="T484" i="3" a="1"/>
  <c r="T484" i="3" s="1"/>
  <c r="T485" i="3" a="1"/>
  <c r="T485" i="3" s="1"/>
  <c r="T486" i="3" a="1"/>
  <c r="T486" i="3"/>
  <c r="T487" i="3" a="1"/>
  <c r="T487" i="3"/>
  <c r="T488" i="3" a="1"/>
  <c r="T488" i="3" s="1"/>
  <c r="T489" i="3" a="1"/>
  <c r="T489" i="3"/>
  <c r="T490" i="3" a="1"/>
  <c r="T490" i="3" s="1"/>
  <c r="T491" i="3" a="1"/>
  <c r="T491" i="3" s="1"/>
  <c r="T492" i="3" a="1"/>
  <c r="T492" i="3" s="1"/>
  <c r="T493" i="3" a="1"/>
  <c r="T493" i="3" s="1"/>
  <c r="T494" i="3" a="1"/>
  <c r="T494" i="3" s="1"/>
  <c r="T495" i="3" a="1"/>
  <c r="T495" i="3" s="1"/>
  <c r="T496" i="3" a="1"/>
  <c r="T496" i="3" s="1"/>
  <c r="T497" i="3" a="1"/>
  <c r="T497" i="3" s="1"/>
  <c r="T498" i="3" a="1"/>
  <c r="T498" i="3" s="1"/>
  <c r="T499" i="3" a="1"/>
  <c r="T499" i="3" s="1"/>
  <c r="T500" i="3" a="1"/>
  <c r="T500" i="3" s="1"/>
  <c r="T501" i="3" a="1"/>
  <c r="T501" i="3" s="1"/>
  <c r="T502" i="3" a="1"/>
  <c r="T502" i="3" s="1"/>
  <c r="T503" i="3" a="1"/>
  <c r="T503" i="3" s="1"/>
  <c r="T504" i="3" a="1"/>
  <c r="T504" i="3" s="1"/>
  <c r="T505" i="3" a="1"/>
  <c r="T505" i="3" s="1"/>
  <c r="T506" i="3" a="1"/>
  <c r="T506" i="3" s="1"/>
  <c r="T507" i="3" a="1"/>
  <c r="T507" i="3" s="1"/>
  <c r="T508" i="3" a="1"/>
  <c r="T508" i="3" s="1"/>
  <c r="T509" i="3" a="1"/>
  <c r="T509" i="3" s="1"/>
  <c r="T510" i="3" a="1"/>
  <c r="T510" i="3" s="1"/>
  <c r="T511" i="3" a="1"/>
  <c r="T511" i="3" s="1"/>
  <c r="T512" i="3" a="1"/>
  <c r="T512" i="3" s="1"/>
  <c r="T513" i="3" a="1"/>
  <c r="T513" i="3" s="1"/>
  <c r="T514" i="3" a="1"/>
  <c r="T514" i="3" s="1"/>
  <c r="T515" i="3" a="1"/>
  <c r="T515" i="3" s="1"/>
  <c r="T516" i="3" a="1"/>
  <c r="T516" i="3" s="1"/>
  <c r="T517" i="3" a="1"/>
  <c r="T517" i="3" s="1"/>
  <c r="T518" i="3" a="1"/>
  <c r="T518" i="3" s="1"/>
  <c r="T519" i="3" a="1"/>
  <c r="T519" i="3" s="1"/>
  <c r="T520" i="3" a="1"/>
  <c r="T520" i="3" s="1"/>
  <c r="T521" i="3" a="1"/>
  <c r="T521" i="3" s="1"/>
  <c r="T522" i="3" a="1"/>
  <c r="T522" i="3" s="1"/>
  <c r="T523" i="3" a="1"/>
  <c r="T523" i="3" s="1"/>
  <c r="T524" i="3" a="1"/>
  <c r="T524" i="3" s="1"/>
  <c r="T525" i="3" a="1"/>
  <c r="T525" i="3" s="1"/>
  <c r="T526" i="3" a="1"/>
  <c r="T526" i="3" s="1"/>
  <c r="T527" i="3" a="1"/>
  <c r="T527" i="3" s="1"/>
  <c r="T528" i="3" a="1"/>
  <c r="T528" i="3" s="1"/>
  <c r="T529" i="3" a="1"/>
  <c r="T529" i="3" s="1"/>
  <c r="T530" i="3" a="1"/>
  <c r="T530" i="3" s="1"/>
  <c r="T531" i="3" a="1"/>
  <c r="T531" i="3" s="1"/>
  <c r="T532" i="3" a="1"/>
  <c r="T532" i="3" s="1"/>
  <c r="T533" i="3" a="1"/>
  <c r="T533" i="3" s="1"/>
  <c r="T534" i="3" a="1"/>
  <c r="T534" i="3" s="1"/>
  <c r="T535" i="3" a="1"/>
  <c r="T535" i="3" s="1"/>
  <c r="T536" i="3" a="1"/>
  <c r="T536" i="3" s="1"/>
  <c r="T537" i="3" a="1"/>
  <c r="T537" i="3" s="1"/>
  <c r="T538" i="3" a="1"/>
  <c r="T538" i="3" s="1"/>
  <c r="T539" i="3" a="1"/>
  <c r="T539" i="3" s="1"/>
  <c r="T540" i="3" a="1"/>
  <c r="T540" i="3" s="1"/>
  <c r="T541" i="3" a="1"/>
  <c r="T541" i="3" s="1"/>
  <c r="T542" i="3" a="1"/>
  <c r="T542" i="3" s="1"/>
  <c r="T543" i="3" a="1"/>
  <c r="T543" i="3" s="1"/>
  <c r="T544" i="3" a="1"/>
  <c r="T544" i="3" s="1"/>
  <c r="T545" i="3" a="1"/>
  <c r="T545" i="3" s="1"/>
  <c r="T546" i="3" a="1"/>
  <c r="T546" i="3" s="1"/>
  <c r="T547" i="3" a="1"/>
  <c r="T547" i="3" s="1"/>
  <c r="T548" i="3" a="1"/>
  <c r="T548" i="3" s="1"/>
  <c r="T549" i="3" a="1"/>
  <c r="T549" i="3" s="1"/>
  <c r="T550" i="3" a="1"/>
  <c r="T550" i="3" s="1"/>
  <c r="T551" i="3" a="1"/>
  <c r="T551" i="3" s="1"/>
  <c r="T552" i="3" a="1"/>
  <c r="T552" i="3" s="1"/>
  <c r="T553" i="3" a="1"/>
  <c r="T553" i="3" s="1"/>
  <c r="T554" i="3" a="1"/>
  <c r="T554" i="3" s="1"/>
  <c r="T555" i="3" a="1"/>
  <c r="T555" i="3" s="1"/>
  <c r="T556" i="3" a="1"/>
  <c r="T556" i="3" s="1"/>
  <c r="T557" i="3" a="1"/>
  <c r="T557" i="3" s="1"/>
  <c r="T558" i="3" a="1"/>
  <c r="T558" i="3" s="1"/>
  <c r="T559" i="3" a="1"/>
  <c r="T559" i="3" s="1"/>
  <c r="T560" i="3" a="1"/>
  <c r="T560" i="3" s="1"/>
  <c r="T561" i="3" a="1"/>
  <c r="T561" i="3" s="1"/>
  <c r="T562" i="3" a="1"/>
  <c r="T562" i="3" s="1"/>
  <c r="T563" i="3" a="1"/>
  <c r="T563" i="3" s="1"/>
  <c r="T564" i="3" a="1"/>
  <c r="T564" i="3" s="1"/>
  <c r="T565" i="3" a="1"/>
  <c r="T565" i="3" s="1"/>
  <c r="T566" i="3" a="1"/>
  <c r="T566" i="3" s="1"/>
  <c r="T567" i="3" a="1"/>
  <c r="T567" i="3" s="1"/>
  <c r="T568" i="3" a="1"/>
  <c r="T568" i="3" s="1"/>
  <c r="T569" i="3" a="1"/>
  <c r="T569" i="3" s="1"/>
  <c r="T570" i="3" a="1"/>
  <c r="T570" i="3" s="1"/>
  <c r="T571" i="3" a="1"/>
  <c r="T571" i="3" s="1"/>
  <c r="T572" i="3" a="1"/>
  <c r="T572" i="3" s="1"/>
  <c r="T573" i="3" a="1"/>
  <c r="T573" i="3" s="1"/>
  <c r="T574" i="3" a="1"/>
  <c r="T574" i="3" s="1"/>
  <c r="T575" i="3" a="1"/>
  <c r="T575" i="3" s="1"/>
  <c r="T576" i="3" a="1"/>
  <c r="T576" i="3" s="1"/>
  <c r="T577" i="3" a="1"/>
  <c r="T577" i="3" s="1"/>
  <c r="T578" i="3" a="1"/>
  <c r="T578" i="3" s="1"/>
  <c r="T579" i="3" a="1"/>
  <c r="T579" i="3" s="1"/>
  <c r="T580" i="3" a="1"/>
  <c r="T580" i="3" s="1"/>
  <c r="T581" i="3" a="1"/>
  <c r="T581" i="3" s="1"/>
  <c r="T582" i="3" a="1"/>
  <c r="T582" i="3" s="1"/>
  <c r="T583" i="3" a="1"/>
  <c r="T583" i="3" s="1"/>
  <c r="T584" i="3" a="1"/>
  <c r="T584" i="3" s="1"/>
  <c r="T585" i="3" a="1"/>
  <c r="T585" i="3" s="1"/>
  <c r="T586" i="3" a="1"/>
  <c r="T586" i="3" s="1"/>
  <c r="T587" i="3" a="1"/>
  <c r="T587" i="3" s="1"/>
  <c r="T588" i="3" a="1"/>
  <c r="T588" i="3" s="1"/>
  <c r="T589" i="3" a="1"/>
  <c r="T589" i="3" s="1"/>
  <c r="T590" i="3" a="1"/>
  <c r="T590" i="3" s="1"/>
  <c r="T591" i="3" a="1"/>
  <c r="T591" i="3" s="1"/>
  <c r="T592" i="3" a="1"/>
  <c r="T592" i="3" s="1"/>
  <c r="T593" i="3" a="1"/>
  <c r="T593" i="3" s="1"/>
  <c r="T594" i="3" a="1"/>
  <c r="T594" i="3" s="1"/>
  <c r="T595" i="3" a="1"/>
  <c r="T595" i="3" s="1"/>
  <c r="T596" i="3" a="1"/>
  <c r="T596" i="3" s="1"/>
  <c r="T597" i="3" a="1"/>
  <c r="T597" i="3" s="1"/>
  <c r="T598" i="3" a="1"/>
  <c r="T598" i="3" s="1"/>
  <c r="T599" i="3" a="1"/>
  <c r="T599" i="3" s="1"/>
  <c r="T600" i="3" a="1"/>
  <c r="T600" i="3" s="1"/>
  <c r="T601" i="3" a="1"/>
  <c r="T601" i="3" s="1"/>
  <c r="T602" i="3" a="1"/>
  <c r="T602" i="3" s="1"/>
  <c r="T603" i="3" a="1"/>
  <c r="T603" i="3" s="1"/>
  <c r="T604" i="3" a="1"/>
  <c r="T604" i="3" s="1"/>
  <c r="T605" i="3" a="1"/>
  <c r="T605" i="3" s="1"/>
  <c r="T606" i="3" a="1"/>
  <c r="T606" i="3" s="1"/>
  <c r="T607" i="3" a="1"/>
  <c r="T607" i="3" s="1"/>
  <c r="T608" i="3" a="1"/>
  <c r="T608" i="3" s="1"/>
  <c r="T609" i="3" a="1"/>
  <c r="T609" i="3" s="1"/>
  <c r="T610" i="3" a="1"/>
  <c r="T610" i="3" s="1"/>
  <c r="T611" i="3" a="1"/>
  <c r="T611" i="3" s="1"/>
  <c r="T612" i="3" a="1"/>
  <c r="T612" i="3" s="1"/>
  <c r="T613" i="3" a="1"/>
  <c r="T613" i="3" s="1"/>
  <c r="T614" i="3" a="1"/>
  <c r="T614" i="3" s="1"/>
  <c r="T615" i="3" a="1"/>
  <c r="T615" i="3" s="1"/>
  <c r="T616" i="3" a="1"/>
  <c r="T616" i="3" s="1"/>
  <c r="T617" i="3" a="1"/>
  <c r="T617" i="3" s="1"/>
  <c r="T618" i="3" a="1"/>
  <c r="T618" i="3" s="1"/>
  <c r="T619" i="3" a="1"/>
  <c r="T619" i="3" s="1"/>
  <c r="T620" i="3" a="1"/>
  <c r="T620" i="3" s="1"/>
  <c r="T621" i="3" a="1"/>
  <c r="T621" i="3" s="1"/>
  <c r="T622" i="3" a="1"/>
  <c r="T622" i="3" s="1"/>
  <c r="T623" i="3" a="1"/>
  <c r="T623" i="3" s="1"/>
  <c r="T624" i="3" a="1"/>
  <c r="T624" i="3" s="1"/>
  <c r="T625" i="3" a="1"/>
  <c r="T625" i="3" s="1"/>
  <c r="T626" i="3" a="1"/>
  <c r="T626" i="3" s="1"/>
  <c r="T627" i="3" a="1"/>
  <c r="T627" i="3" s="1"/>
  <c r="T628" i="3" a="1"/>
  <c r="T628" i="3" s="1"/>
  <c r="T629" i="3" a="1"/>
  <c r="T629" i="3" s="1"/>
  <c r="T630" i="3" a="1"/>
  <c r="T630" i="3" s="1"/>
  <c r="T631" i="3" a="1"/>
  <c r="T631" i="3" s="1"/>
  <c r="T632" i="3" a="1"/>
  <c r="T632" i="3" s="1"/>
  <c r="T633" i="3" a="1"/>
  <c r="T633" i="3" s="1"/>
  <c r="T634" i="3" a="1"/>
  <c r="T634" i="3" s="1"/>
  <c r="T635" i="3" a="1"/>
  <c r="T635" i="3" s="1"/>
  <c r="T636" i="3" a="1"/>
  <c r="T636" i="3" s="1"/>
  <c r="T637" i="3" a="1"/>
  <c r="T637" i="3" s="1"/>
  <c r="T638" i="3" a="1"/>
  <c r="T638" i="3" s="1"/>
  <c r="T639" i="3" a="1"/>
  <c r="T639" i="3" s="1"/>
  <c r="T640" i="3" a="1"/>
  <c r="T640" i="3" s="1"/>
  <c r="T641" i="3" a="1"/>
  <c r="T641" i="3" s="1"/>
  <c r="T642" i="3" a="1"/>
  <c r="T642" i="3" s="1"/>
  <c r="T643" i="3" a="1"/>
  <c r="T643" i="3" s="1"/>
  <c r="T644" i="3" a="1"/>
  <c r="T644" i="3" s="1"/>
  <c r="T645" i="3" a="1"/>
  <c r="T645" i="3" s="1"/>
  <c r="T646" i="3" a="1"/>
  <c r="T646" i="3" s="1"/>
  <c r="T647" i="3" a="1"/>
  <c r="T647" i="3" s="1"/>
  <c r="T3" i="3" a="1"/>
  <c r="T3" i="3" s="1"/>
  <c r="S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Y3" i="4"/>
  <c r="Z3" i="4" s="1"/>
  <c r="P3" i="4"/>
  <c r="X16" i="4"/>
  <c r="X44" i="4"/>
  <c r="X92" i="4"/>
  <c r="X124" i="4"/>
  <c r="X156" i="4"/>
  <c r="X188" i="4"/>
  <c r="X227" i="4"/>
  <c r="X251" i="4"/>
  <c r="X283" i="4"/>
  <c r="X315" i="4"/>
  <c r="X589" i="4"/>
  <c r="X597" i="4"/>
  <c r="X621" i="4"/>
  <c r="X641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O322" i="4"/>
  <c r="O323" i="4"/>
  <c r="O324" i="4"/>
  <c r="O325" i="4"/>
  <c r="O326" i="4"/>
  <c r="O327" i="4"/>
  <c r="O328" i="4"/>
  <c r="O329" i="4"/>
  <c r="O330" i="4"/>
  <c r="O331" i="4"/>
  <c r="O332" i="4"/>
  <c r="O333" i="4"/>
  <c r="O334" i="4"/>
  <c r="O335" i="4"/>
  <c r="O336" i="4"/>
  <c r="O337" i="4"/>
  <c r="O338" i="4"/>
  <c r="O339" i="4"/>
  <c r="O340" i="4"/>
  <c r="O341" i="4"/>
  <c r="O342" i="4"/>
  <c r="O343" i="4"/>
  <c r="O344" i="4"/>
  <c r="O345" i="4"/>
  <c r="O346" i="4"/>
  <c r="O347" i="4"/>
  <c r="O348" i="4"/>
  <c r="O349" i="4"/>
  <c r="O350" i="4"/>
  <c r="O351" i="4"/>
  <c r="O352" i="4"/>
  <c r="O353" i="4"/>
  <c r="O354" i="4"/>
  <c r="O355" i="4"/>
  <c r="O356" i="4"/>
  <c r="O357" i="4"/>
  <c r="O358" i="4"/>
  <c r="O359" i="4"/>
  <c r="O360" i="4"/>
  <c r="O361" i="4"/>
  <c r="O362" i="4"/>
  <c r="O363" i="4"/>
  <c r="O364" i="4"/>
  <c r="O365" i="4"/>
  <c r="O366" i="4"/>
  <c r="O367" i="4"/>
  <c r="O368" i="4"/>
  <c r="O369" i="4"/>
  <c r="O370" i="4"/>
  <c r="O371" i="4"/>
  <c r="O372" i="4"/>
  <c r="O373" i="4"/>
  <c r="O374" i="4"/>
  <c r="O375" i="4"/>
  <c r="O376" i="4"/>
  <c r="O377" i="4"/>
  <c r="O378" i="4"/>
  <c r="O379" i="4"/>
  <c r="O380" i="4"/>
  <c r="O381" i="4"/>
  <c r="O382" i="4"/>
  <c r="O383" i="4"/>
  <c r="O384" i="4"/>
  <c r="O385" i="4"/>
  <c r="O386" i="4"/>
  <c r="O387" i="4"/>
  <c r="O388" i="4"/>
  <c r="O389" i="4"/>
  <c r="O390" i="4"/>
  <c r="O391" i="4"/>
  <c r="O392" i="4"/>
  <c r="O393" i="4"/>
  <c r="O394" i="4"/>
  <c r="O395" i="4"/>
  <c r="O396" i="4"/>
  <c r="O397" i="4"/>
  <c r="O398" i="4"/>
  <c r="O399" i="4"/>
  <c r="O400" i="4"/>
  <c r="O401" i="4"/>
  <c r="O402" i="4"/>
  <c r="O403" i="4"/>
  <c r="O404" i="4"/>
  <c r="O405" i="4"/>
  <c r="O406" i="4"/>
  <c r="O407" i="4"/>
  <c r="O408" i="4"/>
  <c r="O409" i="4"/>
  <c r="O410" i="4"/>
  <c r="O411" i="4"/>
  <c r="O412" i="4"/>
  <c r="O413" i="4"/>
  <c r="O415" i="4"/>
  <c r="O416" i="4"/>
  <c r="O417" i="4"/>
  <c r="O418" i="4"/>
  <c r="O419" i="4"/>
  <c r="O420" i="4"/>
  <c r="O421" i="4"/>
  <c r="O422" i="4"/>
  <c r="O423" i="4"/>
  <c r="O424" i="4"/>
  <c r="O425" i="4"/>
  <c r="O426" i="4"/>
  <c r="O427" i="4"/>
  <c r="O428" i="4"/>
  <c r="O429" i="4"/>
  <c r="O430" i="4"/>
  <c r="O431" i="4"/>
  <c r="O432" i="4"/>
  <c r="O433" i="4"/>
  <c r="O434" i="4"/>
  <c r="O435" i="4"/>
  <c r="O436" i="4"/>
  <c r="O437" i="4"/>
  <c r="O438" i="4"/>
  <c r="O439" i="4"/>
  <c r="O440" i="4"/>
  <c r="O441" i="4"/>
  <c r="O442" i="4"/>
  <c r="O443" i="4"/>
  <c r="O444" i="4"/>
  <c r="O445" i="4"/>
  <c r="O446" i="4"/>
  <c r="O447" i="4"/>
  <c r="O448" i="4"/>
  <c r="O449" i="4"/>
  <c r="O450" i="4"/>
  <c r="O451" i="4"/>
  <c r="O452" i="4"/>
  <c r="O453" i="4"/>
  <c r="O454" i="4"/>
  <c r="O455" i="4"/>
  <c r="O456" i="4"/>
  <c r="O457" i="4"/>
  <c r="O458" i="4"/>
  <c r="O459" i="4"/>
  <c r="O460" i="4"/>
  <c r="O461" i="4"/>
  <c r="O462" i="4"/>
  <c r="O463" i="4"/>
  <c r="O464" i="4"/>
  <c r="O465" i="4"/>
  <c r="O466" i="4"/>
  <c r="O467" i="4"/>
  <c r="O468" i="4"/>
  <c r="O469" i="4"/>
  <c r="O470" i="4"/>
  <c r="O471" i="4"/>
  <c r="O472" i="4"/>
  <c r="O473" i="4"/>
  <c r="O474" i="4"/>
  <c r="O475" i="4"/>
  <c r="O476" i="4"/>
  <c r="O477" i="4"/>
  <c r="O478" i="4"/>
  <c r="O479" i="4"/>
  <c r="O480" i="4"/>
  <c r="O481" i="4"/>
  <c r="O482" i="4"/>
  <c r="O483" i="4"/>
  <c r="O484" i="4"/>
  <c r="O485" i="4"/>
  <c r="O486" i="4"/>
  <c r="O487" i="4"/>
  <c r="O488" i="4"/>
  <c r="O489" i="4"/>
  <c r="O490" i="4"/>
  <c r="O491" i="4"/>
  <c r="O492" i="4"/>
  <c r="O493" i="4"/>
  <c r="O494" i="4"/>
  <c r="O495" i="4"/>
  <c r="O496" i="4"/>
  <c r="O497" i="4"/>
  <c r="O498" i="4"/>
  <c r="O499" i="4"/>
  <c r="O500" i="4"/>
  <c r="O501" i="4"/>
  <c r="O502" i="4"/>
  <c r="O503" i="4"/>
  <c r="O504" i="4"/>
  <c r="O505" i="4"/>
  <c r="O506" i="4"/>
  <c r="O507" i="4"/>
  <c r="O508" i="4"/>
  <c r="O509" i="4"/>
  <c r="O510" i="4"/>
  <c r="O511" i="4"/>
  <c r="O512" i="4"/>
  <c r="O513" i="4"/>
  <c r="O514" i="4"/>
  <c r="O515" i="4"/>
  <c r="O516" i="4"/>
  <c r="O517" i="4"/>
  <c r="O518" i="4"/>
  <c r="O519" i="4"/>
  <c r="O520" i="4"/>
  <c r="O521" i="4"/>
  <c r="O522" i="4"/>
  <c r="O523" i="4"/>
  <c r="O524" i="4"/>
  <c r="O525" i="4"/>
  <c r="O526" i="4"/>
  <c r="O527" i="4"/>
  <c r="O528" i="4"/>
  <c r="O529" i="4"/>
  <c r="O530" i="4"/>
  <c r="O531" i="4"/>
  <c r="O532" i="4"/>
  <c r="O533" i="4"/>
  <c r="O534" i="4"/>
  <c r="O535" i="4"/>
  <c r="O536" i="4"/>
  <c r="O537" i="4"/>
  <c r="O538" i="4"/>
  <c r="O539" i="4"/>
  <c r="O540" i="4"/>
  <c r="O541" i="4"/>
  <c r="O542" i="4"/>
  <c r="O543" i="4"/>
  <c r="O544" i="4"/>
  <c r="O545" i="4"/>
  <c r="O546" i="4"/>
  <c r="O547" i="4"/>
  <c r="O548" i="4"/>
  <c r="O549" i="4"/>
  <c r="O550" i="4"/>
  <c r="O551" i="4"/>
  <c r="O552" i="4"/>
  <c r="O553" i="4"/>
  <c r="O554" i="4"/>
  <c r="O555" i="4"/>
  <c r="O556" i="4"/>
  <c r="O557" i="4"/>
  <c r="O558" i="4"/>
  <c r="O559" i="4"/>
  <c r="O560" i="4"/>
  <c r="O561" i="4"/>
  <c r="O562" i="4"/>
  <c r="O563" i="4"/>
  <c r="O564" i="4"/>
  <c r="O565" i="4"/>
  <c r="O566" i="4"/>
  <c r="O567" i="4"/>
  <c r="O568" i="4"/>
  <c r="O569" i="4"/>
  <c r="O570" i="4"/>
  <c r="O571" i="4"/>
  <c r="O572" i="4"/>
  <c r="O573" i="4"/>
  <c r="O574" i="4"/>
  <c r="O575" i="4"/>
  <c r="O576" i="4"/>
  <c r="O577" i="4"/>
  <c r="O578" i="4"/>
  <c r="O579" i="4"/>
  <c r="O580" i="4"/>
  <c r="O581" i="4"/>
  <c r="O582" i="4"/>
  <c r="O583" i="4"/>
  <c r="O584" i="4"/>
  <c r="O585" i="4"/>
  <c r="O586" i="4"/>
  <c r="O587" i="4"/>
  <c r="O588" i="4"/>
  <c r="O589" i="4"/>
  <c r="O590" i="4"/>
  <c r="O591" i="4"/>
  <c r="O592" i="4"/>
  <c r="O593" i="4"/>
  <c r="O594" i="4"/>
  <c r="O595" i="4"/>
  <c r="O596" i="4"/>
  <c r="O597" i="4"/>
  <c r="O598" i="4"/>
  <c r="O599" i="4"/>
  <c r="O600" i="4"/>
  <c r="O601" i="4"/>
  <c r="O602" i="4"/>
  <c r="O603" i="4"/>
  <c r="O604" i="4"/>
  <c r="O605" i="4"/>
  <c r="O606" i="4"/>
  <c r="O607" i="4"/>
  <c r="O608" i="4"/>
  <c r="O609" i="4"/>
  <c r="O610" i="4"/>
  <c r="O611" i="4"/>
  <c r="O612" i="4"/>
  <c r="O613" i="4"/>
  <c r="O614" i="4"/>
  <c r="O615" i="4"/>
  <c r="O616" i="4"/>
  <c r="O617" i="4"/>
  <c r="O618" i="4"/>
  <c r="O619" i="4"/>
  <c r="O620" i="4"/>
  <c r="O621" i="4"/>
  <c r="O622" i="4"/>
  <c r="O623" i="4"/>
  <c r="O624" i="4"/>
  <c r="O625" i="4"/>
  <c r="O626" i="4"/>
  <c r="O627" i="4"/>
  <c r="O628" i="4"/>
  <c r="O629" i="4"/>
  <c r="O630" i="4"/>
  <c r="O631" i="4"/>
  <c r="O632" i="4"/>
  <c r="O633" i="4"/>
  <c r="O634" i="4"/>
  <c r="O635" i="4"/>
  <c r="O636" i="4"/>
  <c r="O637" i="4"/>
  <c r="O638" i="4"/>
  <c r="O639" i="4"/>
  <c r="O640" i="4"/>
  <c r="O641" i="4"/>
  <c r="O642" i="4"/>
  <c r="O643" i="4"/>
  <c r="O644" i="4"/>
  <c r="O645" i="4"/>
  <c r="O646" i="4"/>
  <c r="O647" i="4"/>
  <c r="O648" i="4"/>
  <c r="O665" i="4"/>
  <c r="O666" i="4"/>
  <c r="O667" i="4"/>
  <c r="O668" i="4"/>
  <c r="O669" i="4"/>
  <c r="O670" i="4"/>
  <c r="O671" i="4"/>
  <c r="O672" i="4"/>
  <c r="O673" i="4"/>
  <c r="O674" i="4"/>
  <c r="O675" i="4"/>
  <c r="O676" i="4"/>
  <c r="O677" i="4"/>
  <c r="O678" i="4"/>
  <c r="O679" i="4"/>
  <c r="O680" i="4"/>
  <c r="O681" i="4"/>
  <c r="O682" i="4"/>
  <c r="O683" i="4"/>
  <c r="O684" i="4"/>
  <c r="O685" i="4"/>
  <c r="O686" i="4"/>
  <c r="O687" i="4"/>
  <c r="O688" i="4"/>
  <c r="O689" i="4"/>
  <c r="O690" i="4"/>
  <c r="O691" i="4"/>
  <c r="O692" i="4"/>
  <c r="O693" i="4"/>
  <c r="O694" i="4"/>
  <c r="O695" i="4"/>
  <c r="W3" i="4"/>
  <c r="O3" i="4"/>
  <c r="AB21" i="3"/>
  <c r="AB20" i="3"/>
  <c r="AB19" i="3"/>
  <c r="S4" i="3" a="1"/>
  <c r="S4" i="3" s="1"/>
  <c r="S5" i="3" a="1"/>
  <c r="S5" i="3" s="1"/>
  <c r="S6" i="3" a="1"/>
  <c r="S6" i="3" s="1"/>
  <c r="S7" i="3" a="1"/>
  <c r="S7" i="3" s="1"/>
  <c r="S8" i="3" a="1"/>
  <c r="S8" i="3" s="1"/>
  <c r="S9" i="3" a="1"/>
  <c r="S9" i="3" s="1"/>
  <c r="S10" i="3" a="1"/>
  <c r="S10" i="3" s="1"/>
  <c r="S11" i="3" a="1"/>
  <c r="S11" i="3" s="1"/>
  <c r="S12" i="3" a="1"/>
  <c r="S12" i="3" s="1"/>
  <c r="S13" i="3" a="1"/>
  <c r="S13" i="3" s="1"/>
  <c r="S14" i="3" a="1"/>
  <c r="S14" i="3" s="1"/>
  <c r="S15" i="3" a="1"/>
  <c r="S15" i="3" s="1"/>
  <c r="S16" i="3" a="1"/>
  <c r="S16" i="3" s="1"/>
  <c r="S17" i="3" a="1"/>
  <c r="S17" i="3" s="1"/>
  <c r="S18" i="3" a="1"/>
  <c r="S18" i="3" s="1"/>
  <c r="S19" i="3" a="1"/>
  <c r="S19" i="3" s="1"/>
  <c r="S20" i="3" a="1"/>
  <c r="S20" i="3" s="1"/>
  <c r="S21" i="3" a="1"/>
  <c r="S21" i="3" s="1"/>
  <c r="S22" i="3" a="1"/>
  <c r="S22" i="3" s="1"/>
  <c r="S23" i="3" a="1"/>
  <c r="S23" i="3" s="1"/>
  <c r="S24" i="3" a="1"/>
  <c r="S24" i="3" s="1"/>
  <c r="S25" i="3" a="1"/>
  <c r="S25" i="3" s="1"/>
  <c r="S26" i="3" a="1"/>
  <c r="S26" i="3" s="1"/>
  <c r="S27" i="3" a="1"/>
  <c r="S27" i="3" s="1"/>
  <c r="S28" i="3" a="1"/>
  <c r="S28" i="3" s="1"/>
  <c r="S29" i="3" a="1"/>
  <c r="S29" i="3" s="1"/>
  <c r="S30" i="3" a="1"/>
  <c r="S30" i="3" s="1"/>
  <c r="S31" i="3" a="1"/>
  <c r="S31" i="3" s="1"/>
  <c r="S32" i="3" a="1"/>
  <c r="S32" i="3" s="1"/>
  <c r="S33" i="3" a="1"/>
  <c r="S33" i="3" s="1"/>
  <c r="S34" i="3" a="1"/>
  <c r="S34" i="3" s="1"/>
  <c r="S35" i="3" a="1"/>
  <c r="S35" i="3" s="1"/>
  <c r="S36" i="3" a="1"/>
  <c r="S36" i="3" s="1"/>
  <c r="S37" i="3" a="1"/>
  <c r="S37" i="3" s="1"/>
  <c r="S38" i="3" a="1"/>
  <c r="S38" i="3" s="1"/>
  <c r="S39" i="3" a="1"/>
  <c r="S39" i="3" s="1"/>
  <c r="S40" i="3" a="1"/>
  <c r="S40" i="3" s="1"/>
  <c r="S41" i="3" a="1"/>
  <c r="S41" i="3" s="1"/>
  <c r="S42" i="3" a="1"/>
  <c r="S42" i="3" s="1"/>
  <c r="S43" i="3" a="1"/>
  <c r="S43" i="3" s="1"/>
  <c r="S44" i="3" a="1"/>
  <c r="S44" i="3" s="1"/>
  <c r="S45" i="3" a="1"/>
  <c r="S45" i="3" s="1"/>
  <c r="S46" i="3" a="1"/>
  <c r="S46" i="3" s="1"/>
  <c r="S47" i="3" a="1"/>
  <c r="S47" i="3" s="1"/>
  <c r="S48" i="3" a="1"/>
  <c r="S48" i="3" s="1"/>
  <c r="S49" i="3" a="1"/>
  <c r="S49" i="3" s="1"/>
  <c r="S50" i="3" a="1"/>
  <c r="S50" i="3" s="1"/>
  <c r="S51" i="3" a="1"/>
  <c r="S51" i="3" s="1"/>
  <c r="S52" i="3" a="1"/>
  <c r="S52" i="3" s="1"/>
  <c r="S53" i="3" a="1"/>
  <c r="S53" i="3" s="1"/>
  <c r="S54" i="3" a="1"/>
  <c r="S54" i="3" s="1"/>
  <c r="S55" i="3" a="1"/>
  <c r="S55" i="3" s="1"/>
  <c r="S56" i="3" a="1"/>
  <c r="S56" i="3" s="1"/>
  <c r="S57" i="3" a="1"/>
  <c r="S57" i="3" s="1"/>
  <c r="S58" i="3" a="1"/>
  <c r="S58" i="3" s="1"/>
  <c r="S59" i="3" a="1"/>
  <c r="S59" i="3" s="1"/>
  <c r="S60" i="3" a="1"/>
  <c r="S60" i="3" s="1"/>
  <c r="S61" i="3" a="1"/>
  <c r="S61" i="3" s="1"/>
  <c r="S62" i="3" a="1"/>
  <c r="S62" i="3" s="1"/>
  <c r="S63" i="3" a="1"/>
  <c r="S63" i="3" s="1"/>
  <c r="S64" i="3" a="1"/>
  <c r="S64" i="3" s="1"/>
  <c r="S65" i="3" a="1"/>
  <c r="S65" i="3" s="1"/>
  <c r="S66" i="3" a="1"/>
  <c r="S66" i="3" s="1"/>
  <c r="S67" i="3" a="1"/>
  <c r="S67" i="3" s="1"/>
  <c r="S68" i="3" a="1"/>
  <c r="S68" i="3" s="1"/>
  <c r="S69" i="3" a="1"/>
  <c r="S69" i="3" s="1"/>
  <c r="S70" i="3" a="1"/>
  <c r="S70" i="3" s="1"/>
  <c r="S71" i="3" a="1"/>
  <c r="S71" i="3" s="1"/>
  <c r="S72" i="3" a="1"/>
  <c r="S72" i="3" s="1"/>
  <c r="S73" i="3" a="1"/>
  <c r="S73" i="3" s="1"/>
  <c r="S74" i="3" a="1"/>
  <c r="S74" i="3" s="1"/>
  <c r="S75" i="3" a="1"/>
  <c r="S75" i="3" s="1"/>
  <c r="S76" i="3" a="1"/>
  <c r="S76" i="3" s="1"/>
  <c r="S77" i="3" a="1"/>
  <c r="S77" i="3" s="1"/>
  <c r="S78" i="3" a="1"/>
  <c r="S78" i="3" s="1"/>
  <c r="S79" i="3" a="1"/>
  <c r="S79" i="3" s="1"/>
  <c r="S80" i="3" a="1"/>
  <c r="S80" i="3" s="1"/>
  <c r="S81" i="3" a="1"/>
  <c r="S81" i="3" s="1"/>
  <c r="S82" i="3" a="1"/>
  <c r="S82" i="3" s="1"/>
  <c r="S83" i="3" a="1"/>
  <c r="S83" i="3" s="1"/>
  <c r="S84" i="3" a="1"/>
  <c r="S84" i="3" s="1"/>
  <c r="S85" i="3" a="1"/>
  <c r="S85" i="3" s="1"/>
  <c r="S86" i="3" a="1"/>
  <c r="S86" i="3" s="1"/>
  <c r="S87" i="3" a="1"/>
  <c r="S87" i="3" s="1"/>
  <c r="S88" i="3" a="1"/>
  <c r="S88" i="3" s="1"/>
  <c r="S89" i="3" a="1"/>
  <c r="S89" i="3" s="1"/>
  <c r="S90" i="3" a="1"/>
  <c r="S90" i="3" s="1"/>
  <c r="S91" i="3" a="1"/>
  <c r="S91" i="3"/>
  <c r="S92" i="3" a="1"/>
  <c r="S92" i="3" s="1"/>
  <c r="S93" i="3" a="1"/>
  <c r="S93" i="3" s="1"/>
  <c r="S94" i="3" a="1"/>
  <c r="S94" i="3" s="1"/>
  <c r="S95" i="3" a="1"/>
  <c r="S95" i="3" s="1"/>
  <c r="S96" i="3" a="1"/>
  <c r="S96" i="3" s="1"/>
  <c r="S97" i="3" a="1"/>
  <c r="S97" i="3" s="1"/>
  <c r="S98" i="3" a="1"/>
  <c r="S98" i="3" s="1"/>
  <c r="S99" i="3" a="1"/>
  <c r="S99" i="3" s="1"/>
  <c r="S100" i="3" a="1"/>
  <c r="S100" i="3" s="1"/>
  <c r="S101" i="3" a="1"/>
  <c r="S101" i="3" s="1"/>
  <c r="S102" i="3" a="1"/>
  <c r="S102" i="3" s="1"/>
  <c r="S103" i="3" a="1"/>
  <c r="S103" i="3" s="1"/>
  <c r="S104" i="3" a="1"/>
  <c r="S104" i="3" s="1"/>
  <c r="S105" i="3" a="1"/>
  <c r="S105" i="3" s="1"/>
  <c r="S106" i="3" a="1"/>
  <c r="S106" i="3" s="1"/>
  <c r="S107" i="3" a="1"/>
  <c r="S107" i="3" s="1"/>
  <c r="S108" i="3" a="1"/>
  <c r="S108" i="3" s="1"/>
  <c r="S109" i="3" a="1"/>
  <c r="S109" i="3"/>
  <c r="S110" i="3" a="1"/>
  <c r="S110" i="3" s="1"/>
  <c r="S111" i="3" a="1"/>
  <c r="S111" i="3" s="1"/>
  <c r="S112" i="3" a="1"/>
  <c r="S112" i="3" s="1"/>
  <c r="S113" i="3" a="1"/>
  <c r="S113" i="3" s="1"/>
  <c r="S114" i="3" a="1"/>
  <c r="S114" i="3" s="1"/>
  <c r="S115" i="3" a="1"/>
  <c r="S115" i="3" s="1"/>
  <c r="S116" i="3" a="1"/>
  <c r="S116" i="3" s="1"/>
  <c r="S117" i="3" a="1"/>
  <c r="S117" i="3" s="1"/>
  <c r="S118" i="3" a="1"/>
  <c r="S118" i="3" s="1"/>
  <c r="S119" i="3" a="1"/>
  <c r="S119" i="3" s="1"/>
  <c r="S120" i="3" a="1"/>
  <c r="S120" i="3" s="1"/>
  <c r="S121" i="3" a="1"/>
  <c r="S121" i="3" s="1"/>
  <c r="S122" i="3" a="1"/>
  <c r="S122" i="3" s="1"/>
  <c r="S123" i="3" a="1"/>
  <c r="S123" i="3" s="1"/>
  <c r="S124" i="3" a="1"/>
  <c r="S124" i="3" s="1"/>
  <c r="S125" i="3" a="1"/>
  <c r="S125" i="3" s="1"/>
  <c r="S126" i="3" a="1"/>
  <c r="S126" i="3" s="1"/>
  <c r="S127" i="3" a="1"/>
  <c r="S127" i="3" s="1"/>
  <c r="S128" i="3" a="1"/>
  <c r="S128" i="3" s="1"/>
  <c r="S129" i="3" a="1"/>
  <c r="S129" i="3" s="1"/>
  <c r="S130" i="3" a="1"/>
  <c r="S130" i="3" s="1"/>
  <c r="S131" i="3" a="1"/>
  <c r="S131" i="3" s="1"/>
  <c r="S132" i="3" a="1"/>
  <c r="S132" i="3" s="1"/>
  <c r="S133" i="3" a="1"/>
  <c r="S133" i="3" s="1"/>
  <c r="S134" i="3" a="1"/>
  <c r="S134" i="3" s="1"/>
  <c r="S135" i="3" a="1"/>
  <c r="S135" i="3" s="1"/>
  <c r="S136" i="3" a="1"/>
  <c r="S136" i="3" s="1"/>
  <c r="S137" i="3" a="1"/>
  <c r="S137" i="3" s="1"/>
  <c r="S138" i="3" a="1"/>
  <c r="S138" i="3" s="1"/>
  <c r="S139" i="3" a="1"/>
  <c r="S139" i="3"/>
  <c r="S140" i="3" a="1"/>
  <c r="S140" i="3" s="1"/>
  <c r="S141" i="3" a="1"/>
  <c r="S141" i="3" s="1"/>
  <c r="S142" i="3" a="1"/>
  <c r="S142" i="3" s="1"/>
  <c r="S143" i="3" a="1"/>
  <c r="S143" i="3" s="1"/>
  <c r="S144" i="3" a="1"/>
  <c r="S144" i="3" s="1"/>
  <c r="S145" i="3" a="1"/>
  <c r="S145" i="3" s="1"/>
  <c r="S146" i="3" a="1"/>
  <c r="S146" i="3" s="1"/>
  <c r="S147" i="3" a="1"/>
  <c r="S147" i="3" s="1"/>
  <c r="S148" i="3" a="1"/>
  <c r="S148" i="3" s="1"/>
  <c r="S149" i="3" a="1"/>
  <c r="S149" i="3" s="1"/>
  <c r="S150" i="3" a="1"/>
  <c r="S150" i="3" s="1"/>
  <c r="S151" i="3" a="1"/>
  <c r="S151" i="3" s="1"/>
  <c r="S152" i="3" a="1"/>
  <c r="S152" i="3" s="1"/>
  <c r="S153" i="3" a="1"/>
  <c r="S153" i="3" s="1"/>
  <c r="S154" i="3" a="1"/>
  <c r="S154" i="3" s="1"/>
  <c r="S155" i="3" a="1"/>
  <c r="S155" i="3" s="1"/>
  <c r="S156" i="3" a="1"/>
  <c r="S156" i="3" s="1"/>
  <c r="S157" i="3" a="1"/>
  <c r="S157" i="3" s="1"/>
  <c r="S158" i="3" a="1"/>
  <c r="S158" i="3" s="1"/>
  <c r="S159" i="3" a="1"/>
  <c r="S159" i="3" s="1"/>
  <c r="S160" i="3" a="1"/>
  <c r="S160" i="3" s="1"/>
  <c r="S161" i="3" a="1"/>
  <c r="S161" i="3" s="1"/>
  <c r="S162" i="3" a="1"/>
  <c r="S162" i="3" s="1"/>
  <c r="S163" i="3" a="1"/>
  <c r="S163" i="3" s="1"/>
  <c r="S164" i="3" a="1"/>
  <c r="S164" i="3" s="1"/>
  <c r="S165" i="3" a="1"/>
  <c r="S165" i="3" s="1"/>
  <c r="S166" i="3" a="1"/>
  <c r="S166" i="3" s="1"/>
  <c r="S167" i="3" a="1"/>
  <c r="S167" i="3" s="1"/>
  <c r="S168" i="3" a="1"/>
  <c r="S168" i="3" s="1"/>
  <c r="S169" i="3" a="1"/>
  <c r="S169" i="3" s="1"/>
  <c r="S170" i="3" a="1"/>
  <c r="S170" i="3" s="1"/>
  <c r="S171" i="3" a="1"/>
  <c r="S171" i="3" s="1"/>
  <c r="S172" i="3" a="1"/>
  <c r="S172" i="3" s="1"/>
  <c r="S173" i="3" a="1"/>
  <c r="S173" i="3" s="1"/>
  <c r="S174" i="3" a="1"/>
  <c r="S174" i="3" s="1"/>
  <c r="S175" i="3" a="1"/>
  <c r="S175" i="3" s="1"/>
  <c r="S176" i="3" a="1"/>
  <c r="S176" i="3" s="1"/>
  <c r="S177" i="3" a="1"/>
  <c r="S177" i="3" s="1"/>
  <c r="S178" i="3" a="1"/>
  <c r="S178" i="3" s="1"/>
  <c r="S179" i="3" a="1"/>
  <c r="S179" i="3" s="1"/>
  <c r="S180" i="3" a="1"/>
  <c r="S180" i="3" s="1"/>
  <c r="S181" i="3" a="1"/>
  <c r="S181" i="3" s="1"/>
  <c r="S182" i="3" a="1"/>
  <c r="S182" i="3" s="1"/>
  <c r="S183" i="3" a="1"/>
  <c r="S183" i="3" s="1"/>
  <c r="S184" i="3" a="1"/>
  <c r="S184" i="3" s="1"/>
  <c r="S185" i="3" a="1"/>
  <c r="S185" i="3" s="1"/>
  <c r="S186" i="3" a="1"/>
  <c r="S186" i="3" s="1"/>
  <c r="S187" i="3" a="1"/>
  <c r="S187" i="3" s="1"/>
  <c r="S188" i="3" a="1"/>
  <c r="S188" i="3" s="1"/>
  <c r="S189" i="3" a="1"/>
  <c r="S189" i="3" s="1"/>
  <c r="S190" i="3" a="1"/>
  <c r="S190" i="3" s="1"/>
  <c r="S191" i="3" a="1"/>
  <c r="S191" i="3" s="1"/>
  <c r="S192" i="3" a="1"/>
  <c r="S192" i="3" s="1"/>
  <c r="S193" i="3" a="1"/>
  <c r="S193" i="3" s="1"/>
  <c r="S194" i="3" a="1"/>
  <c r="S194" i="3" s="1"/>
  <c r="S195" i="3" a="1"/>
  <c r="S195" i="3" s="1"/>
  <c r="S196" i="3" a="1"/>
  <c r="S196" i="3" s="1"/>
  <c r="S197" i="3" a="1"/>
  <c r="S197" i="3" s="1"/>
  <c r="S198" i="3" a="1"/>
  <c r="S198" i="3" s="1"/>
  <c r="S199" i="3" a="1"/>
  <c r="S199" i="3" s="1"/>
  <c r="S200" i="3" a="1"/>
  <c r="S200" i="3" s="1"/>
  <c r="S201" i="3" a="1"/>
  <c r="S201" i="3" s="1"/>
  <c r="S202" i="3" a="1"/>
  <c r="S202" i="3" s="1"/>
  <c r="S203" i="3" a="1"/>
  <c r="S203" i="3" s="1"/>
  <c r="S204" i="3" a="1"/>
  <c r="S204" i="3" s="1"/>
  <c r="S205" i="3" a="1"/>
  <c r="S205" i="3" s="1"/>
  <c r="S206" i="3" a="1"/>
  <c r="S206" i="3" s="1"/>
  <c r="S207" i="3" a="1"/>
  <c r="S207" i="3" s="1"/>
  <c r="S208" i="3" a="1"/>
  <c r="S208" i="3" s="1"/>
  <c r="S209" i="3" a="1"/>
  <c r="S209" i="3" s="1"/>
  <c r="S210" i="3" a="1"/>
  <c r="S210" i="3" s="1"/>
  <c r="S211" i="3" a="1"/>
  <c r="S211" i="3" s="1"/>
  <c r="S212" i="3" a="1"/>
  <c r="S212" i="3" s="1"/>
  <c r="S213" i="3" a="1"/>
  <c r="S213" i="3" s="1"/>
  <c r="S214" i="3" a="1"/>
  <c r="S214" i="3" s="1"/>
  <c r="S215" i="3" a="1"/>
  <c r="S215" i="3" s="1"/>
  <c r="S216" i="3" a="1"/>
  <c r="S216" i="3" s="1"/>
  <c r="S217" i="3" a="1"/>
  <c r="S217" i="3" s="1"/>
  <c r="S218" i="3" a="1"/>
  <c r="S218" i="3" s="1"/>
  <c r="S219" i="3" a="1"/>
  <c r="S219" i="3" s="1"/>
  <c r="S220" i="3" a="1"/>
  <c r="S220" i="3" s="1"/>
  <c r="S221" i="3" a="1"/>
  <c r="S221" i="3" s="1"/>
  <c r="S222" i="3" a="1"/>
  <c r="S222" i="3" s="1"/>
  <c r="S223" i="3" a="1"/>
  <c r="S223" i="3" s="1"/>
  <c r="S224" i="3" a="1"/>
  <c r="S224" i="3" s="1"/>
  <c r="S225" i="3" a="1"/>
  <c r="S225" i="3" s="1"/>
  <c r="S226" i="3" a="1"/>
  <c r="S226" i="3" s="1"/>
  <c r="S227" i="3" a="1"/>
  <c r="S227" i="3" s="1"/>
  <c r="S228" i="3" a="1"/>
  <c r="S228" i="3" s="1"/>
  <c r="S229" i="3" a="1"/>
  <c r="S229" i="3" s="1"/>
  <c r="S230" i="3" a="1"/>
  <c r="S230" i="3" s="1"/>
  <c r="S231" i="3" a="1"/>
  <c r="S231" i="3" s="1"/>
  <c r="S232" i="3" a="1"/>
  <c r="S232" i="3" s="1"/>
  <c r="S233" i="3" a="1"/>
  <c r="S233" i="3" s="1"/>
  <c r="S234" i="3" a="1"/>
  <c r="S234" i="3" s="1"/>
  <c r="S235" i="3" a="1"/>
  <c r="S235" i="3" s="1"/>
  <c r="S236" i="3" a="1"/>
  <c r="S236" i="3" s="1"/>
  <c r="S237" i="3" a="1"/>
  <c r="S237" i="3" s="1"/>
  <c r="S238" i="3" a="1"/>
  <c r="S238" i="3" s="1"/>
  <c r="S239" i="3" a="1"/>
  <c r="S239" i="3" s="1"/>
  <c r="S240" i="3" a="1"/>
  <c r="S240" i="3" s="1"/>
  <c r="S241" i="3" a="1"/>
  <c r="S241" i="3" s="1"/>
  <c r="S242" i="3" a="1"/>
  <c r="S242" i="3" s="1"/>
  <c r="S243" i="3" a="1"/>
  <c r="S243" i="3" s="1"/>
  <c r="S244" i="3" a="1"/>
  <c r="S244" i="3" s="1"/>
  <c r="S245" i="3" a="1"/>
  <c r="S245" i="3" s="1"/>
  <c r="S246" i="3" a="1"/>
  <c r="S246" i="3" s="1"/>
  <c r="S247" i="3" a="1"/>
  <c r="S247" i="3" s="1"/>
  <c r="S248" i="3" a="1"/>
  <c r="S248" i="3" s="1"/>
  <c r="S249" i="3" a="1"/>
  <c r="S249" i="3" s="1"/>
  <c r="S250" i="3" a="1"/>
  <c r="S250" i="3" s="1"/>
  <c r="S251" i="3" a="1"/>
  <c r="S251" i="3" s="1"/>
  <c r="S252" i="3" a="1"/>
  <c r="S252" i="3" s="1"/>
  <c r="S253" i="3" a="1"/>
  <c r="S253" i="3" s="1"/>
  <c r="S254" i="3" a="1"/>
  <c r="S254" i="3" s="1"/>
  <c r="S255" i="3" a="1"/>
  <c r="S255" i="3" s="1"/>
  <c r="S256" i="3" a="1"/>
  <c r="S256" i="3" s="1"/>
  <c r="S257" i="3" a="1"/>
  <c r="S257" i="3" s="1"/>
  <c r="S258" i="3" a="1"/>
  <c r="S258" i="3" s="1"/>
  <c r="S259" i="3" a="1"/>
  <c r="S259" i="3" s="1"/>
  <c r="S260" i="3" a="1"/>
  <c r="S260" i="3" s="1"/>
  <c r="S261" i="3" a="1"/>
  <c r="S261" i="3" s="1"/>
  <c r="S262" i="3" a="1"/>
  <c r="S262" i="3" s="1"/>
  <c r="S263" i="3" a="1"/>
  <c r="S263" i="3" s="1"/>
  <c r="S264" i="3" a="1"/>
  <c r="S264" i="3" s="1"/>
  <c r="S265" i="3" a="1"/>
  <c r="S265" i="3" s="1"/>
  <c r="S266" i="3" a="1"/>
  <c r="S266" i="3" s="1"/>
  <c r="S267" i="3" a="1"/>
  <c r="S267" i="3" s="1"/>
  <c r="S268" i="3" a="1"/>
  <c r="S268" i="3" s="1"/>
  <c r="S269" i="3" a="1"/>
  <c r="S269" i="3" s="1"/>
  <c r="S270" i="3" a="1"/>
  <c r="S270" i="3" s="1"/>
  <c r="S271" i="3" a="1"/>
  <c r="S271" i="3" s="1"/>
  <c r="S272" i="3" a="1"/>
  <c r="S272" i="3" s="1"/>
  <c r="S273" i="3" a="1"/>
  <c r="S273" i="3" s="1"/>
  <c r="S274" i="3" a="1"/>
  <c r="S274" i="3" s="1"/>
  <c r="S275" i="3" a="1"/>
  <c r="S275" i="3" s="1"/>
  <c r="S276" i="3" a="1"/>
  <c r="S276" i="3" s="1"/>
  <c r="S277" i="3" a="1"/>
  <c r="S277" i="3" s="1"/>
  <c r="S278" i="3" a="1"/>
  <c r="S278" i="3" s="1"/>
  <c r="S279" i="3" a="1"/>
  <c r="S279" i="3" s="1"/>
  <c r="S280" i="3" a="1"/>
  <c r="S280" i="3" s="1"/>
  <c r="S281" i="3" a="1"/>
  <c r="S281" i="3" s="1"/>
  <c r="S282" i="3" a="1"/>
  <c r="S282" i="3" s="1"/>
  <c r="S283" i="3" a="1"/>
  <c r="S283" i="3" s="1"/>
  <c r="S284" i="3" a="1"/>
  <c r="S284" i="3" s="1"/>
  <c r="S285" i="3" a="1"/>
  <c r="S285" i="3" s="1"/>
  <c r="S286" i="3" a="1"/>
  <c r="S286" i="3" s="1"/>
  <c r="S287" i="3" a="1"/>
  <c r="S287" i="3" s="1"/>
  <c r="S288" i="3" a="1"/>
  <c r="S288" i="3" s="1"/>
  <c r="S289" i="3" a="1"/>
  <c r="S289" i="3" s="1"/>
  <c r="S290" i="3" a="1"/>
  <c r="S290" i="3" s="1"/>
  <c r="S291" i="3" a="1"/>
  <c r="S291" i="3" s="1"/>
  <c r="S292" i="3" a="1"/>
  <c r="S292" i="3" s="1"/>
  <c r="S293" i="3" a="1"/>
  <c r="S293" i="3" s="1"/>
  <c r="S294" i="3" a="1"/>
  <c r="S294" i="3" s="1"/>
  <c r="S295" i="3" a="1"/>
  <c r="S295" i="3" s="1"/>
  <c r="S296" i="3" a="1"/>
  <c r="S296" i="3" s="1"/>
  <c r="S297" i="3" a="1"/>
  <c r="S297" i="3" s="1"/>
  <c r="S298" i="3" a="1"/>
  <c r="S298" i="3" s="1"/>
  <c r="S299" i="3" a="1"/>
  <c r="S299" i="3" s="1"/>
  <c r="S300" i="3" a="1"/>
  <c r="S300" i="3" s="1"/>
  <c r="S301" i="3" a="1"/>
  <c r="S301" i="3" s="1"/>
  <c r="S302" i="3" a="1"/>
  <c r="S302" i="3" s="1"/>
  <c r="S303" i="3" a="1"/>
  <c r="S303" i="3" s="1"/>
  <c r="S304" i="3" a="1"/>
  <c r="S304" i="3" s="1"/>
  <c r="S305" i="3" a="1"/>
  <c r="S305" i="3" s="1"/>
  <c r="S306" i="3" a="1"/>
  <c r="S306" i="3" s="1"/>
  <c r="S307" i="3" a="1"/>
  <c r="S307" i="3" s="1"/>
  <c r="S308" i="3" a="1"/>
  <c r="S308" i="3" s="1"/>
  <c r="S309" i="3" a="1"/>
  <c r="S309" i="3" s="1"/>
  <c r="S310" i="3" a="1"/>
  <c r="S310" i="3" s="1"/>
  <c r="S311" i="3" a="1"/>
  <c r="S311" i="3" s="1"/>
  <c r="S312" i="3" a="1"/>
  <c r="S312" i="3" s="1"/>
  <c r="S313" i="3" a="1"/>
  <c r="S313" i="3" s="1"/>
  <c r="S314" i="3" a="1"/>
  <c r="S314" i="3" s="1"/>
  <c r="S315" i="3" a="1"/>
  <c r="S315" i="3" s="1"/>
  <c r="S316" i="3" a="1"/>
  <c r="S316" i="3" s="1"/>
  <c r="S317" i="3" a="1"/>
  <c r="S317" i="3" s="1"/>
  <c r="S318" i="3" a="1"/>
  <c r="S318" i="3" s="1"/>
  <c r="S319" i="3" a="1"/>
  <c r="S319" i="3" s="1"/>
  <c r="S320" i="3" a="1"/>
  <c r="S320" i="3" s="1"/>
  <c r="S321" i="3" a="1"/>
  <c r="S321" i="3" s="1"/>
  <c r="S322" i="3" a="1"/>
  <c r="S322" i="3" s="1"/>
  <c r="S323" i="3" a="1"/>
  <c r="S323" i="3" s="1"/>
  <c r="S324" i="3" a="1"/>
  <c r="S324" i="3" s="1"/>
  <c r="S325" i="3" a="1"/>
  <c r="S325" i="3"/>
  <c r="S326" i="3" a="1"/>
  <c r="S326" i="3" s="1"/>
  <c r="S327" i="3" a="1"/>
  <c r="S327" i="3" s="1"/>
  <c r="S328" i="3" a="1"/>
  <c r="S328" i="3" s="1"/>
  <c r="S329" i="3" a="1"/>
  <c r="S329" i="3" s="1"/>
  <c r="S330" i="3" a="1"/>
  <c r="S330" i="3" s="1"/>
  <c r="S331" i="3" a="1"/>
  <c r="S331" i="3" s="1"/>
  <c r="S332" i="3" a="1"/>
  <c r="S332" i="3" s="1"/>
  <c r="S333" i="3" a="1"/>
  <c r="S333" i="3" s="1"/>
  <c r="S334" i="3" a="1"/>
  <c r="S334" i="3" s="1"/>
  <c r="S335" i="3" a="1"/>
  <c r="S335" i="3" s="1"/>
  <c r="S336" i="3" a="1"/>
  <c r="S336" i="3" s="1"/>
  <c r="S337" i="3" a="1"/>
  <c r="S337" i="3"/>
  <c r="S338" i="3" a="1"/>
  <c r="S338" i="3" s="1"/>
  <c r="S339" i="3" a="1"/>
  <c r="S339" i="3" s="1"/>
  <c r="S340" i="3" a="1"/>
  <c r="S340" i="3" s="1"/>
  <c r="S341" i="3" a="1"/>
  <c r="S341" i="3"/>
  <c r="S342" i="3" a="1"/>
  <c r="S342" i="3" s="1"/>
  <c r="S343" i="3" a="1"/>
  <c r="S343" i="3" s="1"/>
  <c r="S344" i="3" a="1"/>
  <c r="S344" i="3" s="1"/>
  <c r="S345" i="3" a="1"/>
  <c r="S345" i="3" s="1"/>
  <c r="S346" i="3" a="1"/>
  <c r="S346" i="3" s="1"/>
  <c r="S347" i="3" a="1"/>
  <c r="S347" i="3" s="1"/>
  <c r="S348" i="3" a="1"/>
  <c r="S348" i="3" s="1"/>
  <c r="S349" i="3" a="1"/>
  <c r="S349" i="3" s="1"/>
  <c r="S350" i="3" a="1"/>
  <c r="S350" i="3" s="1"/>
  <c r="S351" i="3" a="1"/>
  <c r="S351" i="3" s="1"/>
  <c r="S352" i="3" a="1"/>
  <c r="S352" i="3" s="1"/>
  <c r="S353" i="3" a="1"/>
  <c r="S353" i="3" s="1"/>
  <c r="S354" i="3" a="1"/>
  <c r="S354" i="3" s="1"/>
  <c r="S355" i="3" a="1"/>
  <c r="S355" i="3" s="1"/>
  <c r="S356" i="3" a="1"/>
  <c r="S356" i="3" s="1"/>
  <c r="S357" i="3" a="1"/>
  <c r="S357" i="3" s="1"/>
  <c r="S358" i="3" a="1"/>
  <c r="S358" i="3" s="1"/>
  <c r="S359" i="3" a="1"/>
  <c r="S359" i="3" s="1"/>
  <c r="S360" i="3" a="1"/>
  <c r="S360" i="3" s="1"/>
  <c r="S361" i="3" a="1"/>
  <c r="S361" i="3" s="1"/>
  <c r="S362" i="3" a="1"/>
  <c r="S362" i="3" s="1"/>
  <c r="S363" i="3" a="1"/>
  <c r="S363" i="3" s="1"/>
  <c r="S364" i="3" a="1"/>
  <c r="S364" i="3" s="1"/>
  <c r="S365" i="3" a="1"/>
  <c r="S365" i="3" s="1"/>
  <c r="S366" i="3" a="1"/>
  <c r="S366" i="3" s="1"/>
  <c r="S367" i="3" a="1"/>
  <c r="S367" i="3" s="1"/>
  <c r="S368" i="3" a="1"/>
  <c r="S368" i="3" s="1"/>
  <c r="S369" i="3" a="1"/>
  <c r="S369" i="3" s="1"/>
  <c r="S370" i="3" a="1"/>
  <c r="S370" i="3" s="1"/>
  <c r="S371" i="3" a="1"/>
  <c r="S371" i="3" s="1"/>
  <c r="S372" i="3" a="1"/>
  <c r="S372" i="3" s="1"/>
  <c r="S373" i="3" a="1"/>
  <c r="S373" i="3" s="1"/>
  <c r="S374" i="3" a="1"/>
  <c r="S374" i="3" s="1"/>
  <c r="S375" i="3" a="1"/>
  <c r="S375" i="3" s="1"/>
  <c r="S376" i="3" a="1"/>
  <c r="S376" i="3" s="1"/>
  <c r="S377" i="3" a="1"/>
  <c r="S377" i="3" s="1"/>
  <c r="S378" i="3" a="1"/>
  <c r="S378" i="3" s="1"/>
  <c r="S379" i="3" a="1"/>
  <c r="S379" i="3" s="1"/>
  <c r="S380" i="3" a="1"/>
  <c r="S380" i="3" s="1"/>
  <c r="S381" i="3" a="1"/>
  <c r="S381" i="3" s="1"/>
  <c r="S382" i="3" a="1"/>
  <c r="S382" i="3" s="1"/>
  <c r="S383" i="3" a="1"/>
  <c r="S383" i="3" s="1"/>
  <c r="S384" i="3" a="1"/>
  <c r="S384" i="3" s="1"/>
  <c r="S385" i="3" a="1"/>
  <c r="S385" i="3"/>
  <c r="S386" i="3" a="1"/>
  <c r="S386" i="3" s="1"/>
  <c r="S387" i="3" a="1"/>
  <c r="S387" i="3" s="1"/>
  <c r="S388" i="3" a="1"/>
  <c r="S388" i="3" s="1"/>
  <c r="S389" i="3" a="1"/>
  <c r="S389" i="3" s="1"/>
  <c r="S390" i="3" a="1"/>
  <c r="S390" i="3" s="1"/>
  <c r="S391" i="3" a="1"/>
  <c r="S391" i="3" s="1"/>
  <c r="S392" i="3" a="1"/>
  <c r="S392" i="3" s="1"/>
  <c r="S393" i="3" a="1"/>
  <c r="S393" i="3" s="1"/>
  <c r="S394" i="3" a="1"/>
  <c r="S394" i="3" s="1"/>
  <c r="S395" i="3" a="1"/>
  <c r="S395" i="3" s="1"/>
  <c r="S396" i="3" a="1"/>
  <c r="S396" i="3" s="1"/>
  <c r="S397" i="3" a="1"/>
  <c r="S397" i="3" s="1"/>
  <c r="S398" i="3" a="1"/>
  <c r="S398" i="3" s="1"/>
  <c r="S399" i="3" a="1"/>
  <c r="S399" i="3" s="1"/>
  <c r="S400" i="3" a="1"/>
  <c r="S400" i="3" s="1"/>
  <c r="S401" i="3" a="1"/>
  <c r="S401" i="3" s="1"/>
  <c r="S402" i="3" a="1"/>
  <c r="S402" i="3" s="1"/>
  <c r="S403" i="3" a="1"/>
  <c r="S403" i="3" s="1"/>
  <c r="S404" i="3" a="1"/>
  <c r="S404" i="3" s="1"/>
  <c r="S405" i="3" a="1"/>
  <c r="S405" i="3" s="1"/>
  <c r="S406" i="3" a="1"/>
  <c r="S406" i="3" s="1"/>
  <c r="S407" i="3" a="1"/>
  <c r="S407" i="3" s="1"/>
  <c r="S408" i="3" a="1"/>
  <c r="S408" i="3" s="1"/>
  <c r="S409" i="3" a="1"/>
  <c r="S409" i="3" s="1"/>
  <c r="S410" i="3" a="1"/>
  <c r="S410" i="3" s="1"/>
  <c r="S411" i="3" a="1"/>
  <c r="S411" i="3" s="1"/>
  <c r="S412" i="3" a="1"/>
  <c r="S412" i="3" s="1"/>
  <c r="S413" i="3" a="1"/>
  <c r="S413" i="3" s="1"/>
  <c r="S414" i="3" a="1"/>
  <c r="S414" i="3" s="1"/>
  <c r="S415" i="3" a="1"/>
  <c r="S415" i="3" s="1"/>
  <c r="S416" i="3" a="1"/>
  <c r="S416" i="3" s="1"/>
  <c r="S417" i="3" a="1"/>
  <c r="S417" i="3" s="1"/>
  <c r="S418" i="3" a="1"/>
  <c r="S418" i="3" s="1"/>
  <c r="S419" i="3" a="1"/>
  <c r="S419" i="3" s="1"/>
  <c r="S420" i="3" a="1"/>
  <c r="S420" i="3" s="1"/>
  <c r="S421" i="3" a="1"/>
  <c r="S421" i="3" s="1"/>
  <c r="S422" i="3" a="1"/>
  <c r="S422" i="3" s="1"/>
  <c r="S423" i="3" a="1"/>
  <c r="S423" i="3" s="1"/>
  <c r="S424" i="3" a="1"/>
  <c r="S424" i="3" s="1"/>
  <c r="S425" i="3" a="1"/>
  <c r="S425" i="3" s="1"/>
  <c r="S426" i="3" a="1"/>
  <c r="S426" i="3" s="1"/>
  <c r="S427" i="3" a="1"/>
  <c r="S427" i="3" s="1"/>
  <c r="S428" i="3" a="1"/>
  <c r="S428" i="3" s="1"/>
  <c r="S429" i="3" a="1"/>
  <c r="S429" i="3" s="1"/>
  <c r="S430" i="3" a="1"/>
  <c r="S430" i="3" s="1"/>
  <c r="S431" i="3" a="1"/>
  <c r="S431" i="3" s="1"/>
  <c r="S432" i="3" a="1"/>
  <c r="S432" i="3" s="1"/>
  <c r="S433" i="3" a="1"/>
  <c r="S433" i="3" s="1"/>
  <c r="S434" i="3" a="1"/>
  <c r="S434" i="3" s="1"/>
  <c r="S435" i="3" a="1"/>
  <c r="S435" i="3" s="1"/>
  <c r="S436" i="3" a="1"/>
  <c r="S436" i="3" s="1"/>
  <c r="S437" i="3" a="1"/>
  <c r="S437" i="3" s="1"/>
  <c r="S438" i="3" a="1"/>
  <c r="S438" i="3" s="1"/>
  <c r="S439" i="3" a="1"/>
  <c r="S439" i="3" s="1"/>
  <c r="S440" i="3" a="1"/>
  <c r="S440" i="3" s="1"/>
  <c r="S441" i="3" a="1"/>
  <c r="S441" i="3" s="1"/>
  <c r="S442" i="3" a="1"/>
  <c r="S442" i="3" s="1"/>
  <c r="S443" i="3" a="1"/>
  <c r="S443" i="3" s="1"/>
  <c r="S444" i="3" a="1"/>
  <c r="S444" i="3" s="1"/>
  <c r="S445" i="3" a="1"/>
  <c r="S445" i="3" s="1"/>
  <c r="S446" i="3" a="1"/>
  <c r="S446" i="3" s="1"/>
  <c r="S447" i="3" a="1"/>
  <c r="S447" i="3" s="1"/>
  <c r="S448" i="3" a="1"/>
  <c r="S448" i="3" s="1"/>
  <c r="S449" i="3" a="1"/>
  <c r="S449" i="3"/>
  <c r="S450" i="3" a="1"/>
  <c r="S450" i="3" s="1"/>
  <c r="S451" i="3" a="1"/>
  <c r="S451" i="3" s="1"/>
  <c r="S452" i="3" a="1"/>
  <c r="S452" i="3" s="1"/>
  <c r="S453" i="3" a="1"/>
  <c r="S453" i="3" s="1"/>
  <c r="S454" i="3" a="1"/>
  <c r="S454" i="3" s="1"/>
  <c r="S455" i="3" a="1"/>
  <c r="S455" i="3" s="1"/>
  <c r="S456" i="3" a="1"/>
  <c r="S456" i="3" s="1"/>
  <c r="S457" i="3" a="1"/>
  <c r="S457" i="3" s="1"/>
  <c r="S458" i="3" a="1"/>
  <c r="S458" i="3" s="1"/>
  <c r="S459" i="3" a="1"/>
  <c r="S459" i="3" s="1"/>
  <c r="S460" i="3" a="1"/>
  <c r="S460" i="3" s="1"/>
  <c r="S461" i="3" a="1"/>
  <c r="S461" i="3" s="1"/>
  <c r="S462" i="3" a="1"/>
  <c r="S462" i="3" s="1"/>
  <c r="S463" i="3" a="1"/>
  <c r="S463" i="3" s="1"/>
  <c r="S464" i="3" a="1"/>
  <c r="S464" i="3" s="1"/>
  <c r="S465" i="3" a="1"/>
  <c r="S465" i="3" s="1"/>
  <c r="S466" i="3" a="1"/>
  <c r="S466" i="3" s="1"/>
  <c r="S467" i="3" a="1"/>
  <c r="S467" i="3" s="1"/>
  <c r="S468" i="3" a="1"/>
  <c r="S468" i="3" s="1"/>
  <c r="S469" i="3" a="1"/>
  <c r="S469" i="3" s="1"/>
  <c r="S470" i="3" a="1"/>
  <c r="S470" i="3" s="1"/>
  <c r="S471" i="3" a="1"/>
  <c r="S471" i="3" s="1"/>
  <c r="S472" i="3" a="1"/>
  <c r="S472" i="3" s="1"/>
  <c r="S473" i="3" a="1"/>
  <c r="S473" i="3" s="1"/>
  <c r="S474" i="3" a="1"/>
  <c r="S474" i="3" s="1"/>
  <c r="S475" i="3" a="1"/>
  <c r="S475" i="3" s="1"/>
  <c r="S476" i="3" a="1"/>
  <c r="S476" i="3" s="1"/>
  <c r="S477" i="3" a="1"/>
  <c r="S477" i="3" s="1"/>
  <c r="S478" i="3" a="1"/>
  <c r="S478" i="3" s="1"/>
  <c r="S479" i="3" a="1"/>
  <c r="S479" i="3" s="1"/>
  <c r="S480" i="3" a="1"/>
  <c r="S480" i="3" s="1"/>
  <c r="S481" i="3" a="1"/>
  <c r="S481" i="3"/>
  <c r="S482" i="3" a="1"/>
  <c r="S482" i="3" s="1"/>
  <c r="S483" i="3" a="1"/>
  <c r="S483" i="3" s="1"/>
  <c r="S484" i="3" a="1"/>
  <c r="S484" i="3" s="1"/>
  <c r="S485" i="3" a="1"/>
  <c r="S485" i="3" s="1"/>
  <c r="S486" i="3" a="1"/>
  <c r="S486" i="3" s="1"/>
  <c r="S487" i="3" a="1"/>
  <c r="S487" i="3" s="1"/>
  <c r="S488" i="3" a="1"/>
  <c r="S488" i="3" s="1"/>
  <c r="S489" i="3" a="1"/>
  <c r="S489" i="3" s="1"/>
  <c r="S490" i="3" a="1"/>
  <c r="S490" i="3" s="1"/>
  <c r="S491" i="3" a="1"/>
  <c r="S491" i="3" s="1"/>
  <c r="S492" i="3" a="1"/>
  <c r="S492" i="3" s="1"/>
  <c r="S493" i="3" a="1"/>
  <c r="S493" i="3" s="1"/>
  <c r="S494" i="3" a="1"/>
  <c r="S494" i="3" s="1"/>
  <c r="S495" i="3" a="1"/>
  <c r="S495" i="3" s="1"/>
  <c r="S496" i="3" a="1"/>
  <c r="S496" i="3" s="1"/>
  <c r="S497" i="3" a="1"/>
  <c r="S497" i="3" s="1"/>
  <c r="S498" i="3" a="1"/>
  <c r="S498" i="3" s="1"/>
  <c r="S499" i="3" a="1"/>
  <c r="S499" i="3" s="1"/>
  <c r="S500" i="3" a="1"/>
  <c r="S500" i="3" s="1"/>
  <c r="S501" i="3" a="1"/>
  <c r="S501" i="3" s="1"/>
  <c r="S502" i="3" a="1"/>
  <c r="S502" i="3" s="1"/>
  <c r="S503" i="3" a="1"/>
  <c r="S503" i="3" s="1"/>
  <c r="S504" i="3" a="1"/>
  <c r="S504" i="3" s="1"/>
  <c r="S505" i="3" a="1"/>
  <c r="S505" i="3" s="1"/>
  <c r="S506" i="3" a="1"/>
  <c r="S506" i="3" s="1"/>
  <c r="S507" i="3" a="1"/>
  <c r="S507" i="3" s="1"/>
  <c r="S508" i="3" a="1"/>
  <c r="S508" i="3" s="1"/>
  <c r="S509" i="3" a="1"/>
  <c r="S509" i="3" s="1"/>
  <c r="S510" i="3" a="1"/>
  <c r="S510" i="3" s="1"/>
  <c r="S511" i="3" a="1"/>
  <c r="S511" i="3" s="1"/>
  <c r="S512" i="3" a="1"/>
  <c r="S512" i="3" s="1"/>
  <c r="S513" i="3" a="1"/>
  <c r="S513" i="3" s="1"/>
  <c r="S514" i="3" a="1"/>
  <c r="S514" i="3" s="1"/>
  <c r="S515" i="3" a="1"/>
  <c r="S515" i="3" s="1"/>
  <c r="S516" i="3" a="1"/>
  <c r="S516" i="3" s="1"/>
  <c r="S517" i="3" a="1"/>
  <c r="S517" i="3" s="1"/>
  <c r="S518" i="3" a="1"/>
  <c r="S518" i="3" s="1"/>
  <c r="S519" i="3" a="1"/>
  <c r="S519" i="3" s="1"/>
  <c r="S520" i="3" a="1"/>
  <c r="S520" i="3" s="1"/>
  <c r="S521" i="3" a="1"/>
  <c r="S521" i="3" s="1"/>
  <c r="S522" i="3" a="1"/>
  <c r="S522" i="3" s="1"/>
  <c r="S523" i="3" a="1"/>
  <c r="S523" i="3" s="1"/>
  <c r="S524" i="3" a="1"/>
  <c r="S524" i="3" s="1"/>
  <c r="S525" i="3" a="1"/>
  <c r="S525" i="3" s="1"/>
  <c r="S526" i="3" a="1"/>
  <c r="S526" i="3" s="1"/>
  <c r="S527" i="3" a="1"/>
  <c r="S527" i="3" s="1"/>
  <c r="S528" i="3" a="1"/>
  <c r="S528" i="3" s="1"/>
  <c r="S529" i="3" a="1"/>
  <c r="S529" i="3" s="1"/>
  <c r="S530" i="3" a="1"/>
  <c r="S530" i="3" s="1"/>
  <c r="S531" i="3" a="1"/>
  <c r="S531" i="3" s="1"/>
  <c r="S532" i="3" a="1"/>
  <c r="S532" i="3" s="1"/>
  <c r="S533" i="3" a="1"/>
  <c r="S533" i="3" s="1"/>
  <c r="S534" i="3" a="1"/>
  <c r="S534" i="3" s="1"/>
  <c r="S535" i="3" a="1"/>
  <c r="S535" i="3" s="1"/>
  <c r="S536" i="3" a="1"/>
  <c r="S536" i="3" s="1"/>
  <c r="S537" i="3" a="1"/>
  <c r="S537" i="3" s="1"/>
  <c r="S538" i="3" a="1"/>
  <c r="S538" i="3" s="1"/>
  <c r="S539" i="3" a="1"/>
  <c r="S539" i="3" s="1"/>
  <c r="S540" i="3" a="1"/>
  <c r="S540" i="3" s="1"/>
  <c r="S541" i="3" a="1"/>
  <c r="S541" i="3" s="1"/>
  <c r="S542" i="3" a="1"/>
  <c r="S542" i="3" s="1"/>
  <c r="S543" i="3" a="1"/>
  <c r="S543" i="3" s="1"/>
  <c r="S544" i="3" a="1"/>
  <c r="S544" i="3" s="1"/>
  <c r="S545" i="3" a="1"/>
  <c r="S545" i="3" s="1"/>
  <c r="S546" i="3" a="1"/>
  <c r="S546" i="3" s="1"/>
  <c r="S547" i="3" a="1"/>
  <c r="S547" i="3" s="1"/>
  <c r="S548" i="3" a="1"/>
  <c r="S548" i="3" s="1"/>
  <c r="S549" i="3" a="1"/>
  <c r="S549" i="3" s="1"/>
  <c r="S550" i="3" a="1"/>
  <c r="S550" i="3" s="1"/>
  <c r="S551" i="3" a="1"/>
  <c r="S551" i="3" s="1"/>
  <c r="S552" i="3" a="1"/>
  <c r="S552" i="3" s="1"/>
  <c r="S553" i="3" a="1"/>
  <c r="S553" i="3" s="1"/>
  <c r="S554" i="3" a="1"/>
  <c r="S554" i="3" s="1"/>
  <c r="S555" i="3" a="1"/>
  <c r="S555" i="3" s="1"/>
  <c r="S556" i="3" a="1"/>
  <c r="S556" i="3" s="1"/>
  <c r="S557" i="3" a="1"/>
  <c r="S557" i="3" s="1"/>
  <c r="S558" i="3" a="1"/>
  <c r="S558" i="3" s="1"/>
  <c r="S559" i="3" a="1"/>
  <c r="S559" i="3" s="1"/>
  <c r="S560" i="3" a="1"/>
  <c r="S560" i="3" s="1"/>
  <c r="S561" i="3" a="1"/>
  <c r="S561" i="3" s="1"/>
  <c r="S562" i="3" a="1"/>
  <c r="S562" i="3" s="1"/>
  <c r="S563" i="3" a="1"/>
  <c r="S563" i="3" s="1"/>
  <c r="S564" i="3" a="1"/>
  <c r="S564" i="3" s="1"/>
  <c r="S565" i="3" a="1"/>
  <c r="S565" i="3" s="1"/>
  <c r="S566" i="3" a="1"/>
  <c r="S566" i="3" s="1"/>
  <c r="S567" i="3" a="1"/>
  <c r="S567" i="3" s="1"/>
  <c r="S568" i="3" a="1"/>
  <c r="S568" i="3" s="1"/>
  <c r="S569" i="3" a="1"/>
  <c r="S569" i="3" s="1"/>
  <c r="S570" i="3" a="1"/>
  <c r="S570" i="3" s="1"/>
  <c r="S571" i="3" a="1"/>
  <c r="S571" i="3" s="1"/>
  <c r="S572" i="3" a="1"/>
  <c r="S572" i="3" s="1"/>
  <c r="S573" i="3" a="1"/>
  <c r="S573" i="3" s="1"/>
  <c r="S574" i="3" a="1"/>
  <c r="S574" i="3" s="1"/>
  <c r="S575" i="3" a="1"/>
  <c r="S575" i="3" s="1"/>
  <c r="S576" i="3" a="1"/>
  <c r="S576" i="3" s="1"/>
  <c r="S577" i="3" a="1"/>
  <c r="S577" i="3"/>
  <c r="S578" i="3" a="1"/>
  <c r="S578" i="3" s="1"/>
  <c r="S579" i="3" a="1"/>
  <c r="S579" i="3" s="1"/>
  <c r="S580" i="3" a="1"/>
  <c r="S580" i="3" s="1"/>
  <c r="S581" i="3" a="1"/>
  <c r="S581" i="3" s="1"/>
  <c r="S582" i="3" a="1"/>
  <c r="S582" i="3" s="1"/>
  <c r="S583" i="3" a="1"/>
  <c r="S583" i="3" s="1"/>
  <c r="S584" i="3" a="1"/>
  <c r="S584" i="3" s="1"/>
  <c r="S585" i="3" a="1"/>
  <c r="S585" i="3" s="1"/>
  <c r="S586" i="3" a="1"/>
  <c r="S586" i="3" s="1"/>
  <c r="S587" i="3" a="1"/>
  <c r="S587" i="3" s="1"/>
  <c r="S588" i="3" a="1"/>
  <c r="S588" i="3" s="1"/>
  <c r="S589" i="3" a="1"/>
  <c r="S589" i="3" s="1"/>
  <c r="S590" i="3" a="1"/>
  <c r="S590" i="3" s="1"/>
  <c r="S591" i="3" a="1"/>
  <c r="S591" i="3" s="1"/>
  <c r="S592" i="3" a="1"/>
  <c r="S592" i="3" s="1"/>
  <c r="S593" i="3" a="1"/>
  <c r="S593" i="3" s="1"/>
  <c r="S594" i="3" a="1"/>
  <c r="S594" i="3" s="1"/>
  <c r="S595" i="3" a="1"/>
  <c r="S595" i="3" s="1"/>
  <c r="S596" i="3" a="1"/>
  <c r="S596" i="3" s="1"/>
  <c r="S597" i="3" a="1"/>
  <c r="S597" i="3" s="1"/>
  <c r="S598" i="3" a="1"/>
  <c r="S598" i="3" s="1"/>
  <c r="S599" i="3" a="1"/>
  <c r="S599" i="3" s="1"/>
  <c r="S600" i="3" a="1"/>
  <c r="S600" i="3" s="1"/>
  <c r="S601" i="3" a="1"/>
  <c r="S601" i="3" s="1"/>
  <c r="S602" i="3" a="1"/>
  <c r="S602" i="3" s="1"/>
  <c r="S603" i="3" a="1"/>
  <c r="S603" i="3" s="1"/>
  <c r="S604" i="3" a="1"/>
  <c r="S604" i="3" s="1"/>
  <c r="S605" i="3" a="1"/>
  <c r="S605" i="3" s="1"/>
  <c r="S606" i="3" a="1"/>
  <c r="S606" i="3" s="1"/>
  <c r="S607" i="3" a="1"/>
  <c r="S607" i="3" s="1"/>
  <c r="S608" i="3" a="1"/>
  <c r="S608" i="3" s="1"/>
  <c r="S609" i="3" a="1"/>
  <c r="S609" i="3" s="1"/>
  <c r="S610" i="3" a="1"/>
  <c r="S610" i="3" s="1"/>
  <c r="S611" i="3" a="1"/>
  <c r="S611" i="3" s="1"/>
  <c r="S612" i="3" a="1"/>
  <c r="S612" i="3" s="1"/>
  <c r="S613" i="3" a="1"/>
  <c r="S613" i="3" s="1"/>
  <c r="S614" i="3" a="1"/>
  <c r="S614" i="3" s="1"/>
  <c r="S615" i="3" a="1"/>
  <c r="S615" i="3" s="1"/>
  <c r="S616" i="3" a="1"/>
  <c r="S616" i="3" s="1"/>
  <c r="S617" i="3" a="1"/>
  <c r="S617" i="3" s="1"/>
  <c r="S618" i="3" a="1"/>
  <c r="S618" i="3" s="1"/>
  <c r="S619" i="3" a="1"/>
  <c r="S619" i="3" s="1"/>
  <c r="S620" i="3" a="1"/>
  <c r="S620" i="3" s="1"/>
  <c r="S621" i="3" a="1"/>
  <c r="S621" i="3" s="1"/>
  <c r="S622" i="3" a="1"/>
  <c r="S622" i="3" s="1"/>
  <c r="S623" i="3" a="1"/>
  <c r="S623" i="3" s="1"/>
  <c r="S624" i="3" a="1"/>
  <c r="S624" i="3" s="1"/>
  <c r="S625" i="3" a="1"/>
  <c r="S625" i="3"/>
  <c r="S626" i="3" a="1"/>
  <c r="S626" i="3" s="1"/>
  <c r="S627" i="3" a="1"/>
  <c r="S627" i="3" s="1"/>
  <c r="S628" i="3" a="1"/>
  <c r="S628" i="3" s="1"/>
  <c r="S629" i="3" a="1"/>
  <c r="S629" i="3" s="1"/>
  <c r="S630" i="3" a="1"/>
  <c r="S630" i="3" s="1"/>
  <c r="S631" i="3" a="1"/>
  <c r="S631" i="3" s="1"/>
  <c r="S632" i="3" a="1"/>
  <c r="S632" i="3" s="1"/>
  <c r="S633" i="3" a="1"/>
  <c r="S633" i="3" s="1"/>
  <c r="S634" i="3" a="1"/>
  <c r="S634" i="3" s="1"/>
  <c r="S635" i="3" a="1"/>
  <c r="S635" i="3" s="1"/>
  <c r="S636" i="3" a="1"/>
  <c r="S636" i="3" s="1"/>
  <c r="S637" i="3" a="1"/>
  <c r="S637" i="3" s="1"/>
  <c r="S638" i="3" a="1"/>
  <c r="S638" i="3" s="1"/>
  <c r="S639" i="3" a="1"/>
  <c r="S639" i="3" s="1"/>
  <c r="S640" i="3" a="1"/>
  <c r="S640" i="3" s="1"/>
  <c r="S641" i="3" a="1"/>
  <c r="S641" i="3" s="1"/>
  <c r="S642" i="3" a="1"/>
  <c r="S642" i="3" s="1"/>
  <c r="S643" i="3" a="1"/>
  <c r="S643" i="3" s="1"/>
  <c r="S644" i="3" a="1"/>
  <c r="S644" i="3" s="1"/>
  <c r="S645" i="3" a="1"/>
  <c r="S645" i="3" s="1"/>
  <c r="S646" i="3" a="1"/>
  <c r="S646" i="3" s="1"/>
  <c r="S647" i="3" a="1"/>
  <c r="S647" i="3" s="1"/>
  <c r="S3" i="3" a="1"/>
  <c r="S3" i="3" s="1"/>
  <c r="AB659" i="4" l="1"/>
  <c r="Z628" i="4"/>
  <c r="Z620" i="4"/>
  <c r="Z627" i="4"/>
  <c r="Z619" i="4"/>
  <c r="Z630" i="4"/>
  <c r="Z626" i="4"/>
  <c r="Z622" i="4"/>
  <c r="Z618" i="4"/>
  <c r="Z632" i="4"/>
  <c r="Z624" i="4"/>
  <c r="Z631" i="4"/>
  <c r="Z623" i="4"/>
  <c r="Z633" i="4"/>
  <c r="Z629" i="4"/>
  <c r="Z625" i="4"/>
  <c r="Z621" i="4"/>
  <c r="AA633" i="4"/>
  <c r="U621" i="4" a="1"/>
  <c r="U621" i="4" s="1"/>
  <c r="AB597" i="4"/>
  <c r="U581" i="4" a="1"/>
  <c r="U581" i="4" s="1"/>
  <c r="U565" i="4" a="1"/>
  <c r="U565" i="4" s="1"/>
  <c r="U557" i="4" a="1"/>
  <c r="U557" i="4" s="1"/>
  <c r="AA533" i="4"/>
  <c r="U521" i="4" a="1"/>
  <c r="U521" i="4" s="1"/>
  <c r="AB509" i="4"/>
  <c r="U501" i="4" a="1"/>
  <c r="U501" i="4" s="1"/>
  <c r="U493" i="4" a="1"/>
  <c r="U493" i="4" s="1"/>
  <c r="AB485" i="4"/>
  <c r="U473" i="4" a="1"/>
  <c r="U473" i="4" s="1"/>
  <c r="AB457" i="4"/>
  <c r="AB449" i="4"/>
  <c r="U388" i="4" a="1"/>
  <c r="U388" i="4" s="1"/>
  <c r="U380" i="4" a="1"/>
  <c r="U380" i="4" s="1"/>
  <c r="U372" i="4" a="1"/>
  <c r="U372" i="4" s="1"/>
  <c r="U364" i="4" a="1"/>
  <c r="U364" i="4" s="1"/>
  <c r="U356" i="4" a="1"/>
  <c r="U356" i="4" s="1"/>
  <c r="U340" i="4" a="1"/>
  <c r="U340" i="4" s="1"/>
  <c r="U320" i="4" a="1"/>
  <c r="U320" i="4" s="1"/>
  <c r="U308" i="4" a="1"/>
  <c r="U308" i="4" s="1"/>
  <c r="U292" i="4" a="1"/>
  <c r="U292" i="4" s="1"/>
  <c r="U284" i="4" a="1"/>
  <c r="U284" i="4" s="1"/>
  <c r="U276" i="4" a="1"/>
  <c r="U276" i="4" s="1"/>
  <c r="U268" i="4" a="1"/>
  <c r="U268" i="4" s="1"/>
  <c r="U232" i="4" a="1"/>
  <c r="U232" i="4" s="1"/>
  <c r="U220" i="4" a="1"/>
  <c r="U220" i="4" s="1"/>
  <c r="U161" i="4" a="1"/>
  <c r="U161" i="4" s="1"/>
  <c r="U153" i="4" a="1"/>
  <c r="U153" i="4" s="1"/>
  <c r="U141" i="4" a="1"/>
  <c r="U141" i="4" s="1"/>
  <c r="AA681" i="4"/>
  <c r="AB673" i="4"/>
  <c r="AA669" i="4"/>
  <c r="AA645" i="4"/>
  <c r="AB609" i="4"/>
  <c r="U601" i="4" a="1"/>
  <c r="U601" i="4" s="1"/>
  <c r="AA593" i="4"/>
  <c r="U585" i="4" a="1"/>
  <c r="U585" i="4" s="1"/>
  <c r="AB577" i="4"/>
  <c r="U573" i="4" a="1"/>
  <c r="U573" i="4" s="1"/>
  <c r="AA561" i="4"/>
  <c r="AB545" i="4"/>
  <c r="U537" i="4" a="1"/>
  <c r="U537" i="4" s="1"/>
  <c r="AA525" i="4"/>
  <c r="AB517" i="4"/>
  <c r="U505" i="4" a="1"/>
  <c r="U505" i="4" s="1"/>
  <c r="AA497" i="4"/>
  <c r="AA489" i="4"/>
  <c r="U477" i="4" a="1"/>
  <c r="U477" i="4" s="1"/>
  <c r="U461" i="4" a="1"/>
  <c r="U461" i="4" s="1"/>
  <c r="U453" i="4" a="1"/>
  <c r="U453" i="4" s="1"/>
  <c r="U445" i="4" a="1"/>
  <c r="U445" i="4" s="1"/>
  <c r="AA437" i="4"/>
  <c r="U425" i="4" a="1"/>
  <c r="U425" i="4" s="1"/>
  <c r="U412" i="4" a="1"/>
  <c r="U412" i="4" s="1"/>
  <c r="U404" i="4" a="1"/>
  <c r="U404" i="4" s="1"/>
  <c r="AA352" i="4"/>
  <c r="U304" i="4" a="1"/>
  <c r="U304" i="4" s="1"/>
  <c r="AB288" i="4"/>
  <c r="U252" i="4" a="1"/>
  <c r="U252" i="4" s="1"/>
  <c r="U236" i="4" a="1"/>
  <c r="U236" i="4" s="1"/>
  <c r="U181" i="4" a="1"/>
  <c r="U181" i="4" s="1"/>
  <c r="U173" i="4" a="1"/>
  <c r="U173" i="4" s="1"/>
  <c r="U165" i="4" a="1"/>
  <c r="U165" i="4" s="1"/>
  <c r="U149" i="4" a="1"/>
  <c r="U149" i="4" s="1"/>
  <c r="U125" i="4" a="1"/>
  <c r="U125" i="4" s="1"/>
  <c r="U117" i="4" a="1"/>
  <c r="U117" i="4" s="1"/>
  <c r="U109" i="4" a="1"/>
  <c r="U109" i="4" s="1"/>
  <c r="U97" i="4" a="1"/>
  <c r="U97" i="4" s="1"/>
  <c r="U89" i="4" a="1"/>
  <c r="U89" i="4" s="1"/>
  <c r="U85" i="4" a="1"/>
  <c r="U85" i="4" s="1"/>
  <c r="U77" i="4" a="1"/>
  <c r="U77" i="4" s="1"/>
  <c r="U61" i="4" a="1"/>
  <c r="U61" i="4" s="1"/>
  <c r="U57" i="4" a="1"/>
  <c r="U57" i="4" s="1"/>
  <c r="U53" i="4" a="1"/>
  <c r="U53" i="4" s="1"/>
  <c r="U45" i="4" a="1"/>
  <c r="U45" i="4" s="1"/>
  <c r="U552" i="4" a="1"/>
  <c r="U552" i="4" s="1"/>
  <c r="U548" i="4" a="1"/>
  <c r="U548" i="4" s="1"/>
  <c r="U520" i="4" a="1"/>
  <c r="U520" i="4" s="1"/>
  <c r="U516" i="4" a="1"/>
  <c r="U516" i="4" s="1"/>
  <c r="U500" i="4" a="1"/>
  <c r="U500" i="4" s="1"/>
  <c r="U488" i="4" a="1"/>
  <c r="U488" i="4" s="1"/>
  <c r="U484" i="4" a="1"/>
  <c r="U484" i="4" s="1"/>
  <c r="U472" i="4" a="1"/>
  <c r="U472" i="4" s="1"/>
  <c r="U468" i="4" a="1"/>
  <c r="U468" i="4" s="1"/>
  <c r="U456" i="4" a="1"/>
  <c r="U456" i="4" s="1"/>
  <c r="U452" i="4" a="1"/>
  <c r="U452" i="4" s="1"/>
  <c r="U440" i="4" a="1"/>
  <c r="U440" i="4" s="1"/>
  <c r="U424" i="4" a="1"/>
  <c r="U424" i="4" s="1"/>
  <c r="U420" i="4" a="1"/>
  <c r="U420" i="4" s="1"/>
  <c r="AA92" i="4"/>
  <c r="U37" i="4" a="1"/>
  <c r="U37" i="4" s="1"/>
  <c r="U33" i="4" a="1"/>
  <c r="U33" i="4" s="1"/>
  <c r="U21" i="4" a="1"/>
  <c r="U21" i="4" s="1"/>
  <c r="U13" i="4" a="1"/>
  <c r="U13" i="4" s="1"/>
  <c r="U690" i="4" a="1"/>
  <c r="U690" i="4" s="1"/>
  <c r="U686" i="4" a="1"/>
  <c r="U686" i="4" s="1"/>
  <c r="U682" i="4" a="1"/>
  <c r="U682" i="4" s="1"/>
  <c r="AA678" i="4"/>
  <c r="U674" i="4" a="1"/>
  <c r="U674" i="4" s="1"/>
  <c r="AA670" i="4"/>
  <c r="U646" i="4" a="1"/>
  <c r="U646" i="4" s="1"/>
  <c r="U638" i="4" a="1"/>
  <c r="U638" i="4" s="1"/>
  <c r="U630" i="4" a="1"/>
  <c r="U630" i="4" s="1"/>
  <c r="AB626" i="4"/>
  <c r="U622" i="4" a="1"/>
  <c r="U622" i="4" s="1"/>
  <c r="U614" i="4" a="1"/>
  <c r="U614" i="4" s="1"/>
  <c r="U606" i="4" a="1"/>
  <c r="U606" i="4" s="1"/>
  <c r="U598" i="4" a="1"/>
  <c r="U598" i="4" s="1"/>
  <c r="AB594" i="4"/>
  <c r="AA590" i="4"/>
  <c r="AB582" i="4"/>
  <c r="U578" i="4" a="1"/>
  <c r="U578" i="4" s="1"/>
  <c r="AB574" i="4"/>
  <c r="AA566" i="4"/>
  <c r="AB562" i="4"/>
  <c r="U558" i="4" a="1"/>
  <c r="U558" i="4" s="1"/>
  <c r="U546" i="4" a="1"/>
  <c r="U546" i="4" s="1"/>
  <c r="U542" i="4" a="1"/>
  <c r="U542" i="4" s="1"/>
  <c r="AB530" i="4"/>
  <c r="AB526" i="4"/>
  <c r="U518" i="4" a="1"/>
  <c r="U518" i="4" s="1"/>
  <c r="U510" i="4" a="1"/>
  <c r="U510" i="4" s="1"/>
  <c r="U506" i="4" a="1"/>
  <c r="U506" i="4" s="1"/>
  <c r="AA502" i="4"/>
  <c r="U498" i="4" a="1"/>
  <c r="U498" i="4" s="1"/>
  <c r="AB494" i="4"/>
  <c r="U482" i="4" a="1"/>
  <c r="U482" i="4" s="1"/>
  <c r="U466" i="4" a="1"/>
  <c r="U466" i="4" s="1"/>
  <c r="U462" i="4" a="1"/>
  <c r="U462" i="4" s="1"/>
  <c r="AA454" i="4"/>
  <c r="U446" i="4" a="1"/>
  <c r="U446" i="4" s="1"/>
  <c r="U434" i="4" a="1"/>
  <c r="U434" i="4" s="1"/>
  <c r="AB430" i="4"/>
  <c r="U418" i="4" a="1"/>
  <c r="U418" i="4" s="1"/>
  <c r="U413" i="4" a="1"/>
  <c r="U413" i="4" s="1"/>
  <c r="AB405" i="4"/>
  <c r="U401" i="4" a="1"/>
  <c r="U401" i="4" s="1"/>
  <c r="U397" i="4" a="1"/>
  <c r="U397" i="4" s="1"/>
  <c r="U389" i="4" a="1"/>
  <c r="U389" i="4" s="1"/>
  <c r="AA385" i="4"/>
  <c r="U373" i="4" a="1"/>
  <c r="U373" i="4" s="1"/>
  <c r="AB369" i="4"/>
  <c r="U365" i="4" a="1"/>
  <c r="U365" i="4" s="1"/>
  <c r="U357" i="4" a="1"/>
  <c r="U357" i="4" s="1"/>
  <c r="U349" i="4" a="1"/>
  <c r="U349" i="4" s="1"/>
  <c r="AA345" i="4"/>
  <c r="U341" i="4" a="1"/>
  <c r="U341" i="4" s="1"/>
  <c r="U333" i="4" a="1"/>
  <c r="U333" i="4" s="1"/>
  <c r="U325" i="4" a="1"/>
  <c r="U325" i="4" s="1"/>
  <c r="U317" i="4" a="1"/>
  <c r="U317" i="4" s="1"/>
  <c r="AA305" i="4"/>
  <c r="AA301" i="4"/>
  <c r="AA297" i="4"/>
  <c r="U289" i="4" a="1"/>
  <c r="U289" i="4" s="1"/>
  <c r="U285" i="4" a="1"/>
  <c r="U285" i="4" s="1"/>
  <c r="U273" i="4" a="1"/>
  <c r="U273" i="4" s="1"/>
  <c r="U269" i="4" a="1"/>
  <c r="U269" i="4" s="1"/>
  <c r="U257" i="4" a="1"/>
  <c r="U257" i="4" s="1"/>
  <c r="AB253" i="4"/>
  <c r="U245" i="4" a="1"/>
  <c r="U245" i="4" s="1"/>
  <c r="U237" i="4" a="1"/>
  <c r="U237" i="4" s="1"/>
  <c r="U233" i="4" a="1"/>
  <c r="U233" i="4" s="1"/>
  <c r="U229" i="4" a="1"/>
  <c r="U229" i="4" s="1"/>
  <c r="AA225" i="4"/>
  <c r="U221" i="4" a="1"/>
  <c r="U221" i="4" s="1"/>
  <c r="U186" i="4" a="1"/>
  <c r="U186" i="4" s="1"/>
  <c r="U182" i="4" a="1"/>
  <c r="U182" i="4" s="1"/>
  <c r="AA178" i="4"/>
  <c r="U158" i="4" a="1"/>
  <c r="U158" i="4" s="1"/>
  <c r="U150" i="4" a="1"/>
  <c r="U150" i="4" s="1"/>
  <c r="U146" i="4" a="1"/>
  <c r="U146" i="4" s="1"/>
  <c r="U142" i="4" a="1"/>
  <c r="U142" i="4" s="1"/>
  <c r="U134" i="4" a="1"/>
  <c r="U134" i="4" s="1"/>
  <c r="U118" i="4" a="1"/>
  <c r="U118" i="4" s="1"/>
  <c r="U114" i="4" a="1"/>
  <c r="U114" i="4" s="1"/>
  <c r="U110" i="4" a="1"/>
  <c r="U110" i="4" s="1"/>
  <c r="U102" i="4" a="1"/>
  <c r="U102" i="4" s="1"/>
  <c r="U98" i="4" a="1"/>
  <c r="U98" i="4" s="1"/>
  <c r="U94" i="4" a="1"/>
  <c r="U94" i="4" s="1"/>
  <c r="U86" i="4" a="1"/>
  <c r="U86" i="4" s="1"/>
  <c r="U82" i="4" a="1"/>
  <c r="U82" i="4" s="1"/>
  <c r="U78" i="4" a="1"/>
  <c r="U78" i="4" s="1"/>
  <c r="U70" i="4" a="1"/>
  <c r="U70" i="4" s="1"/>
  <c r="U58" i="4" a="1"/>
  <c r="U58" i="4" s="1"/>
  <c r="U54" i="4" a="1"/>
  <c r="U54" i="4" s="1"/>
  <c r="U46" i="4" a="1"/>
  <c r="U46" i="4" s="1"/>
  <c r="U38" i="4" a="1"/>
  <c r="U38" i="4" s="1"/>
  <c r="U26" i="4" a="1"/>
  <c r="U26" i="4" s="1"/>
  <c r="T3" i="4"/>
  <c r="AB695" i="4"/>
  <c r="AB691" i="4"/>
  <c r="U679" i="4" a="1"/>
  <c r="U679" i="4" s="1"/>
  <c r="U675" i="4" a="1"/>
  <c r="U675" i="4" s="1"/>
  <c r="AA667" i="4"/>
  <c r="AA643" i="4"/>
  <c r="AB639" i="4"/>
  <c r="AA635" i="4"/>
  <c r="AB627" i="4"/>
  <c r="AB623" i="4"/>
  <c r="U611" i="4" a="1"/>
  <c r="U611" i="4" s="1"/>
  <c r="U603" i="4" a="1"/>
  <c r="U603" i="4" s="1"/>
  <c r="U599" i="4" a="1"/>
  <c r="U599" i="4" s="1"/>
  <c r="U595" i="4" a="1"/>
  <c r="U595" i="4" s="1"/>
  <c r="AB587" i="4"/>
  <c r="AA579" i="4"/>
  <c r="AB563" i="4"/>
  <c r="AA559" i="4"/>
  <c r="U555" i="4" a="1"/>
  <c r="U555" i="4" s="1"/>
  <c r="AB547" i="4"/>
  <c r="U539" i="4" a="1"/>
  <c r="U539" i="4" s="1"/>
  <c r="AB535" i="4"/>
  <c r="U531" i="4" a="1"/>
  <c r="U531" i="4" s="1"/>
  <c r="AB523" i="4"/>
  <c r="AA519" i="4"/>
  <c r="U515" i="4" a="1"/>
  <c r="U515" i="4" s="1"/>
  <c r="AB499" i="4"/>
  <c r="U491" i="4" a="1"/>
  <c r="U491" i="4" s="1"/>
  <c r="AA483" i="4"/>
  <c r="AB479" i="4"/>
  <c r="AA467" i="4"/>
  <c r="U455" i="4" a="1"/>
  <c r="U455" i="4" s="1"/>
  <c r="AA451" i="4"/>
  <c r="AA447" i="4"/>
  <c r="AB443" i="4"/>
  <c r="U435" i="4" a="1"/>
  <c r="U435" i="4" s="1"/>
  <c r="AB427" i="4"/>
  <c r="AA419" i="4"/>
  <c r="U415" i="4" a="1"/>
  <c r="U415" i="4" s="1"/>
  <c r="AA402" i="4"/>
  <c r="AA386" i="4"/>
  <c r="AB382" i="4"/>
  <c r="AB378" i="4"/>
  <c r="U370" i="4" a="1"/>
  <c r="U370" i="4" s="1"/>
  <c r="AB366" i="4"/>
  <c r="U354" i="4" a="1"/>
  <c r="U354" i="4" s="1"/>
  <c r="AB338" i="4"/>
  <c r="U334" i="4" a="1"/>
  <c r="U334" i="4" s="1"/>
  <c r="AB330" i="4"/>
  <c r="AB322" i="4"/>
  <c r="AB310" i="4"/>
  <c r="AA306" i="4"/>
  <c r="AB302" i="4"/>
  <c r="AA298" i="4"/>
  <c r="AB290" i="4"/>
  <c r="AA278" i="4"/>
  <c r="U274" i="4" a="1"/>
  <c r="U274" i="4" s="1"/>
  <c r="AB258" i="4"/>
  <c r="AA246" i="4"/>
  <c r="AB242" i="4"/>
  <c r="AA238" i="4"/>
  <c r="AB234" i="4"/>
  <c r="U226" i="4" a="1"/>
  <c r="U226" i="4" s="1"/>
  <c r="AB222" i="4"/>
  <c r="AA187" i="4"/>
  <c r="U183" i="4" a="1"/>
  <c r="U183" i="4" s="1"/>
  <c r="U179" i="4" a="1"/>
  <c r="U179" i="4" s="1"/>
  <c r="AB171" i="4"/>
  <c r="AB163" i="4"/>
  <c r="U159" i="4" a="1"/>
  <c r="U159" i="4" s="1"/>
  <c r="U155" i="4" a="1"/>
  <c r="U155" i="4" s="1"/>
  <c r="AB147" i="4"/>
  <c r="AA143" i="4"/>
  <c r="AB139" i="4"/>
  <c r="U131" i="4" a="1"/>
  <c r="U131" i="4" s="1"/>
  <c r="AA127" i="4"/>
  <c r="AA115" i="4"/>
  <c r="AB111" i="4"/>
  <c r="U83" i="4" a="1"/>
  <c r="U83" i="4" s="1"/>
  <c r="AA79" i="4"/>
  <c r="U67" i="4" a="1"/>
  <c r="U67" i="4" s="1"/>
  <c r="AA51" i="4"/>
  <c r="U43" i="4" a="1"/>
  <c r="U43" i="4" s="1"/>
  <c r="AB35" i="4"/>
  <c r="AB19" i="4"/>
  <c r="AA688" i="4"/>
  <c r="AA684" i="4"/>
  <c r="U644" i="4" a="1"/>
  <c r="U644" i="4" s="1"/>
  <c r="AA640" i="4"/>
  <c r="AB628" i="4"/>
  <c r="AB616" i="4"/>
  <c r="U612" i="4" a="1"/>
  <c r="U612" i="4" s="1"/>
  <c r="AB600" i="4"/>
  <c r="AB588" i="4"/>
  <c r="AB584" i="4"/>
  <c r="U564" i="4" a="1"/>
  <c r="U564" i="4" s="1"/>
  <c r="AA560" i="4"/>
  <c r="AA508" i="4"/>
  <c r="U504" i="4" a="1"/>
  <c r="U504" i="4" s="1"/>
  <c r="U403" i="4" a="1"/>
  <c r="U403" i="4" s="1"/>
  <c r="U383" i="4" a="1"/>
  <c r="U383" i="4" s="1"/>
  <c r="U375" i="4" a="1"/>
  <c r="U375" i="4" s="1"/>
  <c r="AB371" i="4"/>
  <c r="U367" i="4" a="1"/>
  <c r="U367" i="4" s="1"/>
  <c r="AA363" i="4"/>
  <c r="U359" i="4" a="1"/>
  <c r="U359" i="4" s="1"/>
  <c r="U351" i="4" a="1"/>
  <c r="U351" i="4" s="1"/>
  <c r="U343" i="4" a="1"/>
  <c r="U343" i="4" s="1"/>
  <c r="AA339" i="4"/>
  <c r="U335" i="4" a="1"/>
  <c r="U335" i="4" s="1"/>
  <c r="U327" i="4" a="1"/>
  <c r="U327" i="4" s="1"/>
  <c r="U319" i="4" a="1"/>
  <c r="U319" i="4" s="1"/>
  <c r="U307" i="4" a="1"/>
  <c r="U307" i="4" s="1"/>
  <c r="U291" i="4" a="1"/>
  <c r="U291" i="4" s="1"/>
  <c r="AB287" i="4"/>
  <c r="AB279" i="4"/>
  <c r="U275" i="4" a="1"/>
  <c r="U275" i="4" s="1"/>
  <c r="U259" i="4" a="1"/>
  <c r="U259" i="4" s="1"/>
  <c r="U255" i="4" a="1"/>
  <c r="U255" i="4" s="1"/>
  <c r="U251" i="4" a="1"/>
  <c r="U251" i="4" s="1"/>
  <c r="U247" i="4" a="1"/>
  <c r="U247" i="4" s="1"/>
  <c r="U243" i="4" a="1"/>
  <c r="U243" i="4" s="1"/>
  <c r="U231" i="4" a="1"/>
  <c r="U231" i="4" s="1"/>
  <c r="U227" i="4" a="1"/>
  <c r="U227" i="4" s="1"/>
  <c r="AA223" i="4"/>
  <c r="U188" i="4" a="1"/>
  <c r="U188" i="4" s="1"/>
  <c r="U184" i="4" a="1"/>
  <c r="U184" i="4" s="1"/>
  <c r="U180" i="4" a="1"/>
  <c r="U180" i="4" s="1"/>
  <c r="AB172" i="4"/>
  <c r="AB168" i="4"/>
  <c r="AA156" i="4"/>
  <c r="AB152" i="4"/>
  <c r="U148" i="4" a="1"/>
  <c r="U148" i="4" s="1"/>
  <c r="AB144" i="4"/>
  <c r="AB140" i="4"/>
  <c r="AA136" i="4"/>
  <c r="U124" i="4" a="1"/>
  <c r="U124" i="4" s="1"/>
  <c r="U116" i="4" a="1"/>
  <c r="U116" i="4" s="1"/>
  <c r="U104" i="4" a="1"/>
  <c r="U104" i="4" s="1"/>
  <c r="U100" i="4" a="1"/>
  <c r="U100" i="4" s="1"/>
  <c r="U96" i="4" a="1"/>
  <c r="U96" i="4" s="1"/>
  <c r="AA88" i="4"/>
  <c r="U84" i="4" a="1"/>
  <c r="U84" i="4" s="1"/>
  <c r="U80" i="4" a="1"/>
  <c r="U80" i="4" s="1"/>
  <c r="U76" i="4" a="1"/>
  <c r="U76" i="4" s="1"/>
  <c r="U64" i="4" a="1"/>
  <c r="U64" i="4" s="1"/>
  <c r="U60" i="4" a="1"/>
  <c r="U60" i="4" s="1"/>
  <c r="U56" i="4" a="1"/>
  <c r="U56" i="4" s="1"/>
  <c r="U48" i="4" a="1"/>
  <c r="U48" i="4" s="1"/>
  <c r="AA36" i="4"/>
  <c r="U32" i="4" a="1"/>
  <c r="U32" i="4" s="1"/>
  <c r="AA28" i="4"/>
  <c r="AB24" i="4"/>
  <c r="U20" i="4" a="1"/>
  <c r="U20" i="4" s="1"/>
  <c r="U16" i="4" a="1"/>
  <c r="U16" i="4" s="1"/>
  <c r="AB12" i="4"/>
  <c r="AB4" i="4"/>
  <c r="U685" i="4" a="1"/>
  <c r="U685" i="4" s="1"/>
  <c r="U609" i="4" a="1"/>
  <c r="U609" i="4" s="1"/>
  <c r="U529" i="4" a="1"/>
  <c r="U529" i="4" s="1"/>
  <c r="U481" i="4" a="1"/>
  <c r="U481" i="4" s="1"/>
  <c r="U421" i="4" a="1"/>
  <c r="U421" i="4" s="1"/>
  <c r="U683" i="4" a="1"/>
  <c r="U683" i="4" s="1"/>
  <c r="U430" i="4" a="1"/>
  <c r="U430" i="4" s="1"/>
  <c r="U253" i="4" a="1"/>
  <c r="U253" i="4" s="1"/>
  <c r="U166" i="4" a="1"/>
  <c r="U166" i="4" s="1"/>
  <c r="U330" i="4" a="1"/>
  <c r="U330" i="4" s="1"/>
  <c r="U59" i="4" a="1"/>
  <c r="U59" i="4" s="1"/>
  <c r="U11" i="4" a="1"/>
  <c r="U11" i="4" s="1"/>
  <c r="U681" i="4" a="1"/>
  <c r="U681" i="4" s="1"/>
  <c r="U478" i="4" a="1"/>
  <c r="U478" i="4" s="1"/>
  <c r="X226" i="4"/>
  <c r="X67" i="4"/>
  <c r="X3" i="4"/>
  <c r="AB359" i="4"/>
  <c r="AB283" i="4"/>
  <c r="AB251" i="4"/>
  <c r="AB156" i="4"/>
  <c r="X692" i="4"/>
  <c r="X688" i="4"/>
  <c r="X684" i="4"/>
  <c r="X680" i="4"/>
  <c r="X676" i="4"/>
  <c r="X672" i="4"/>
  <c r="X668" i="4"/>
  <c r="X648" i="4"/>
  <c r="X644" i="4"/>
  <c r="X640" i="4"/>
  <c r="X636" i="4"/>
  <c r="X632" i="4"/>
  <c r="X628" i="4"/>
  <c r="X624" i="4"/>
  <c r="X620" i="4"/>
  <c r="X616" i="4"/>
  <c r="X612" i="4"/>
  <c r="X608" i="4"/>
  <c r="X604" i="4"/>
  <c r="X600" i="4"/>
  <c r="X596" i="4"/>
  <c r="X592" i="4"/>
  <c r="X588" i="4"/>
  <c r="X584" i="4"/>
  <c r="X580" i="4"/>
  <c r="X576" i="4"/>
  <c r="X572" i="4"/>
  <c r="X568" i="4"/>
  <c r="X564" i="4"/>
  <c r="X560" i="4"/>
  <c r="X556" i="4"/>
  <c r="X552" i="4"/>
  <c r="X548" i="4"/>
  <c r="X544" i="4"/>
  <c r="X540" i="4"/>
  <c r="X536" i="4"/>
  <c r="X532" i="4"/>
  <c r="X528" i="4"/>
  <c r="X524" i="4"/>
  <c r="X520" i="4"/>
  <c r="X516" i="4"/>
  <c r="X512" i="4"/>
  <c r="X508" i="4"/>
  <c r="X504" i="4"/>
  <c r="X500" i="4"/>
  <c r="X496" i="4"/>
  <c r="X492" i="4"/>
  <c r="X488" i="4"/>
  <c r="X484" i="4"/>
  <c r="X480" i="4"/>
  <c r="X476" i="4"/>
  <c r="X472" i="4"/>
  <c r="X468" i="4"/>
  <c r="X464" i="4"/>
  <c r="X460" i="4"/>
  <c r="X456" i="4"/>
  <c r="X452" i="4"/>
  <c r="X448" i="4"/>
  <c r="X444" i="4"/>
  <c r="X440" i="4"/>
  <c r="X436" i="4"/>
  <c r="X432" i="4"/>
  <c r="X428" i="4"/>
  <c r="X424" i="4"/>
  <c r="X420" i="4"/>
  <c r="X416" i="4"/>
  <c r="X411" i="4"/>
  <c r="X407" i="4"/>
  <c r="X403" i="4"/>
  <c r="X399" i="4"/>
  <c r="X395" i="4"/>
  <c r="X391" i="4"/>
  <c r="AA391" i="4"/>
  <c r="X387" i="4"/>
  <c r="X383" i="4"/>
  <c r="X379" i="4"/>
  <c r="X375" i="4"/>
  <c r="X371" i="4"/>
  <c r="X367" i="4"/>
  <c r="X363" i="4"/>
  <c r="X359" i="4"/>
  <c r="X355" i="4"/>
  <c r="X351" i="4"/>
  <c r="X347" i="4"/>
  <c r="X343" i="4"/>
  <c r="X339" i="4"/>
  <c r="X335" i="4"/>
  <c r="X331" i="4"/>
  <c r="X327" i="4"/>
  <c r="X323" i="4"/>
  <c r="X319" i="4"/>
  <c r="X311" i="4"/>
  <c r="X307" i="4"/>
  <c r="X303" i="4"/>
  <c r="X299" i="4"/>
  <c r="AA299" i="4"/>
  <c r="X295" i="4"/>
  <c r="X291" i="4"/>
  <c r="X287" i="4"/>
  <c r="X279" i="4"/>
  <c r="X275" i="4"/>
  <c r="X271" i="4"/>
  <c r="X267" i="4"/>
  <c r="AA267" i="4"/>
  <c r="X263" i="4"/>
  <c r="X259" i="4"/>
  <c r="X255" i="4"/>
  <c r="X247" i="4"/>
  <c r="X243" i="4"/>
  <c r="X239" i="4"/>
  <c r="X235" i="4"/>
  <c r="AA235" i="4"/>
  <c r="X231" i="4"/>
  <c r="X223" i="4"/>
  <c r="X184" i="4"/>
  <c r="X180" i="4"/>
  <c r="X176" i="4"/>
  <c r="X172" i="4"/>
  <c r="X168" i="4"/>
  <c r="X164" i="4"/>
  <c r="X160" i="4"/>
  <c r="X152" i="4"/>
  <c r="X148" i="4"/>
  <c r="X144" i="4"/>
  <c r="X140" i="4"/>
  <c r="X136" i="4"/>
  <c r="X132" i="4"/>
  <c r="X128" i="4"/>
  <c r="X120" i="4"/>
  <c r="X116" i="4"/>
  <c r="X112" i="4"/>
  <c r="X108" i="4"/>
  <c r="X104" i="4"/>
  <c r="X100" i="4"/>
  <c r="X96" i="4"/>
  <c r="X88" i="4"/>
  <c r="X84" i="4"/>
  <c r="X80" i="4"/>
  <c r="X76" i="4"/>
  <c r="X72" i="4"/>
  <c r="X68" i="4"/>
  <c r="X64" i="4"/>
  <c r="X60" i="4"/>
  <c r="X56" i="4"/>
  <c r="X52" i="4"/>
  <c r="X48" i="4"/>
  <c r="X40" i="4"/>
  <c r="X36" i="4"/>
  <c r="X32" i="4"/>
  <c r="X28" i="4"/>
  <c r="X24" i="4"/>
  <c r="AA24" i="4"/>
  <c r="X20" i="4"/>
  <c r="X12" i="4"/>
  <c r="X8" i="4"/>
  <c r="AA8" i="4"/>
  <c r="X4" i="4"/>
  <c r="AA251" i="4"/>
  <c r="AB399" i="4"/>
  <c r="AB92" i="4"/>
  <c r="AB569" i="4"/>
  <c r="AB541" i="4"/>
  <c r="AB533" i="4"/>
  <c r="AB473" i="4"/>
  <c r="AB465" i="4"/>
  <c r="AB459" i="4"/>
  <c r="AB394" i="4"/>
  <c r="AB314" i="4"/>
  <c r="AB286" i="4"/>
  <c r="X579" i="4"/>
  <c r="X571" i="4"/>
  <c r="AA571" i="4"/>
  <c r="X563" i="4"/>
  <c r="X555" i="4"/>
  <c r="X547" i="4"/>
  <c r="X539" i="4"/>
  <c r="X531" i="4"/>
  <c r="X523" i="4"/>
  <c r="X515" i="4"/>
  <c r="X507" i="4"/>
  <c r="X499" i="4"/>
  <c r="X491" i="4"/>
  <c r="X483" i="4"/>
  <c r="X475" i="4"/>
  <c r="X467" i="4"/>
  <c r="X459" i="4"/>
  <c r="AA459" i="4"/>
  <c r="X451" i="4"/>
  <c r="X443" i="4"/>
  <c r="X435" i="4"/>
  <c r="X427" i="4"/>
  <c r="X419" i="4"/>
  <c r="X410" i="4"/>
  <c r="X402" i="4"/>
  <c r="X394" i="4"/>
  <c r="X386" i="4"/>
  <c r="X378" i="4"/>
  <c r="X370" i="4"/>
  <c r="X362" i="4"/>
  <c r="X354" i="4"/>
  <c r="X346" i="4"/>
  <c r="X338" i="4"/>
  <c r="X330" i="4"/>
  <c r="X322" i="4"/>
  <c r="X318" i="4"/>
  <c r="X314" i="4"/>
  <c r="X310" i="4"/>
  <c r="X306" i="4"/>
  <c r="X302" i="4"/>
  <c r="X298" i="4"/>
  <c r="X290" i="4"/>
  <c r="X286" i="4"/>
  <c r="X282" i="4"/>
  <c r="AA282" i="4"/>
  <c r="X278" i="4"/>
  <c r="X274" i="4"/>
  <c r="X270" i="4"/>
  <c r="X266" i="4"/>
  <c r="X258" i="4"/>
  <c r="X254" i="4"/>
  <c r="X250" i="4"/>
  <c r="X246" i="4"/>
  <c r="X242" i="4"/>
  <c r="X238" i="4"/>
  <c r="X234" i="4"/>
  <c r="X222" i="4"/>
  <c r="X187" i="4"/>
  <c r="X183" i="4"/>
  <c r="X179" i="4"/>
  <c r="X175" i="4"/>
  <c r="X171" i="4"/>
  <c r="X163" i="4"/>
  <c r="X159" i="4"/>
  <c r="X155" i="4"/>
  <c r="X151" i="4"/>
  <c r="X147" i="4"/>
  <c r="X143" i="4"/>
  <c r="X139" i="4"/>
  <c r="X131" i="4"/>
  <c r="X127" i="4"/>
  <c r="X123" i="4"/>
  <c r="X119" i="4"/>
  <c r="X115" i="4"/>
  <c r="X111" i="4"/>
  <c r="X107" i="4"/>
  <c r="X99" i="4"/>
  <c r="X95" i="4"/>
  <c r="X91" i="4"/>
  <c r="X87" i="4"/>
  <c r="X83" i="4"/>
  <c r="X79" i="4"/>
  <c r="X75" i="4"/>
  <c r="X63" i="4"/>
  <c r="X55" i="4"/>
  <c r="X51" i="4"/>
  <c r="X47" i="4"/>
  <c r="X43" i="4"/>
  <c r="X39" i="4"/>
  <c r="X35" i="4"/>
  <c r="X27" i="4"/>
  <c r="X23" i="4"/>
  <c r="X19" i="4"/>
  <c r="X15" i="4"/>
  <c r="X11" i="4"/>
  <c r="X7" i="4"/>
  <c r="X643" i="4"/>
  <c r="AB557" i="4"/>
  <c r="AB565" i="4"/>
  <c r="AB678" i="4"/>
  <c r="AB670" i="4"/>
  <c r="AB630" i="4"/>
  <c r="AB598" i="4"/>
  <c r="AB590" i="4"/>
  <c r="AB502" i="4"/>
  <c r="AB413" i="4"/>
  <c r="AB333" i="4"/>
  <c r="AB325" i="4"/>
  <c r="AB289" i="4"/>
  <c r="AB269" i="4"/>
  <c r="AB174" i="4"/>
  <c r="AB166" i="4"/>
  <c r="AA142" i="4"/>
  <c r="X694" i="4"/>
  <c r="X690" i="4"/>
  <c r="X686" i="4"/>
  <c r="X682" i="4"/>
  <c r="X678" i="4"/>
  <c r="X674" i="4"/>
  <c r="X670" i="4"/>
  <c r="X666" i="4"/>
  <c r="X646" i="4"/>
  <c r="X642" i="4"/>
  <c r="X638" i="4"/>
  <c r="X634" i="4"/>
  <c r="X630" i="4"/>
  <c r="X626" i="4"/>
  <c r="X622" i="4"/>
  <c r="X618" i="4"/>
  <c r="X614" i="4"/>
  <c r="X610" i="4"/>
  <c r="X606" i="4"/>
  <c r="X602" i="4"/>
  <c r="X598" i="4"/>
  <c r="AA598" i="4"/>
  <c r="X594" i="4"/>
  <c r="X590" i="4"/>
  <c r="X586" i="4"/>
  <c r="X582" i="4"/>
  <c r="X578" i="4"/>
  <c r="X574" i="4"/>
  <c r="AA574" i="4"/>
  <c r="X570" i="4"/>
  <c r="X566" i="4"/>
  <c r="X562" i="4"/>
  <c r="X558" i="4"/>
  <c r="AA558" i="4"/>
  <c r="X554" i="4"/>
  <c r="X550" i="4"/>
  <c r="AA550" i="4"/>
  <c r="X546" i="4"/>
  <c r="X542" i="4"/>
  <c r="X538" i="4"/>
  <c r="X534" i="4"/>
  <c r="X530" i="4"/>
  <c r="X526" i="4"/>
  <c r="X522" i="4"/>
  <c r="X518" i="4"/>
  <c r="AA518" i="4"/>
  <c r="X514" i="4"/>
  <c r="X510" i="4"/>
  <c r="X506" i="4"/>
  <c r="X502" i="4"/>
  <c r="X498" i="4"/>
  <c r="X494" i="4"/>
  <c r="X490" i="4"/>
  <c r="X486" i="4"/>
  <c r="X482" i="4"/>
  <c r="X478" i="4"/>
  <c r="X474" i="4"/>
  <c r="X470" i="4"/>
  <c r="AA470" i="4"/>
  <c r="X466" i="4"/>
  <c r="X462" i="4"/>
  <c r="AA462" i="4"/>
  <c r="X458" i="4"/>
  <c r="X454" i="4"/>
  <c r="X450" i="4"/>
  <c r="X446" i="4"/>
  <c r="X442" i="4"/>
  <c r="X438" i="4"/>
  <c r="X434" i="4"/>
  <c r="X430" i="4"/>
  <c r="X426" i="4"/>
  <c r="X422" i="4"/>
  <c r="X418" i="4"/>
  <c r="X413" i="4"/>
  <c r="AA413" i="4"/>
  <c r="X409" i="4"/>
  <c r="X405" i="4"/>
  <c r="X401" i="4"/>
  <c r="X397" i="4"/>
  <c r="X393" i="4"/>
  <c r="X389" i="4"/>
  <c r="X385" i="4"/>
  <c r="X381" i="4"/>
  <c r="X377" i="4"/>
  <c r="X373" i="4"/>
  <c r="X369" i="4"/>
  <c r="AA575" i="4"/>
  <c r="X365" i="4"/>
  <c r="X361" i="4"/>
  <c r="X357" i="4"/>
  <c r="X353" i="4"/>
  <c r="X349" i="4"/>
  <c r="X345" i="4"/>
  <c r="X341" i="4"/>
  <c r="X337" i="4"/>
  <c r="X333" i="4"/>
  <c r="AA333" i="4"/>
  <c r="X329" i="4"/>
  <c r="X325" i="4"/>
  <c r="AA325" i="4"/>
  <c r="X313" i="4"/>
  <c r="X309" i="4"/>
  <c r="AA309" i="4"/>
  <c r="X297" i="4"/>
  <c r="X293" i="4"/>
  <c r="X281" i="4"/>
  <c r="X277" i="4"/>
  <c r="X265" i="4"/>
  <c r="X261" i="4"/>
  <c r="X249" i="4"/>
  <c r="X245" i="4"/>
  <c r="X233" i="4"/>
  <c r="X229" i="4"/>
  <c r="X186" i="4"/>
  <c r="X182" i="4"/>
  <c r="X170" i="4"/>
  <c r="X166" i="4"/>
  <c r="AA166" i="4"/>
  <c r="X154" i="4"/>
  <c r="X150" i="4"/>
  <c r="AA150" i="4"/>
  <c r="X138" i="4"/>
  <c r="X134" i="4"/>
  <c r="X122" i="4"/>
  <c r="X118" i="4"/>
  <c r="X106" i="4"/>
  <c r="X102" i="4"/>
  <c r="X90" i="4"/>
  <c r="X86" i="4"/>
  <c r="X74" i="4"/>
  <c r="X70" i="4"/>
  <c r="X62" i="4"/>
  <c r="X58" i="4"/>
  <c r="X50" i="4"/>
  <c r="X46" i="4"/>
  <c r="X42" i="4"/>
  <c r="X34" i="4"/>
  <c r="X30" i="4"/>
  <c r="X22" i="4"/>
  <c r="X14" i="4"/>
  <c r="X6" i="4"/>
  <c r="AA693" i="4"/>
  <c r="AA625" i="4"/>
  <c r="AA617" i="4"/>
  <c r="X581" i="4"/>
  <c r="X577" i="4"/>
  <c r="X573" i="4"/>
  <c r="X569" i="4"/>
  <c r="X565" i="4"/>
  <c r="X561" i="4"/>
  <c r="X557" i="4"/>
  <c r="X553" i="4"/>
  <c r="X549" i="4"/>
  <c r="X545" i="4"/>
  <c r="X541" i="4"/>
  <c r="X537" i="4"/>
  <c r="X533" i="4"/>
  <c r="X529" i="4"/>
  <c r="X525" i="4"/>
  <c r="X521" i="4"/>
  <c r="X517" i="4"/>
  <c r="X513" i="4"/>
  <c r="AA513" i="4"/>
  <c r="X509" i="4"/>
  <c r="X505" i="4"/>
  <c r="X501" i="4"/>
  <c r="X497" i="4"/>
  <c r="X493" i="4"/>
  <c r="X489" i="4"/>
  <c r="X485" i="4"/>
  <c r="X481" i="4"/>
  <c r="X477" i="4"/>
  <c r="X473" i="4"/>
  <c r="X469" i="4"/>
  <c r="X465" i="4"/>
  <c r="X461" i="4"/>
  <c r="X457" i="4"/>
  <c r="AA457" i="4"/>
  <c r="X453" i="4"/>
  <c r="X449" i="4"/>
  <c r="X445" i="4"/>
  <c r="X441" i="4"/>
  <c r="AA441" i="4"/>
  <c r="X437" i="4"/>
  <c r="X433" i="4"/>
  <c r="X429" i="4"/>
  <c r="X425" i="4"/>
  <c r="X421" i="4"/>
  <c r="X417" i="4"/>
  <c r="X412" i="4"/>
  <c r="X408" i="4"/>
  <c r="X404" i="4"/>
  <c r="X400" i="4"/>
  <c r="X396" i="4"/>
  <c r="X392" i="4"/>
  <c r="X388" i="4"/>
  <c r="X384" i="4"/>
  <c r="X380" i="4"/>
  <c r="X376" i="4"/>
  <c r="X372" i="4"/>
  <c r="X368" i="4"/>
  <c r="X364" i="4"/>
  <c r="X360" i="4"/>
  <c r="X356" i="4"/>
  <c r="X352" i="4"/>
  <c r="X348" i="4"/>
  <c r="X344" i="4"/>
  <c r="X340" i="4"/>
  <c r="X336" i="4"/>
  <c r="X332" i="4"/>
  <c r="X328" i="4"/>
  <c r="X324" i="4"/>
  <c r="X320" i="4"/>
  <c r="X316" i="4"/>
  <c r="X312" i="4"/>
  <c r="X308" i="4"/>
  <c r="X304" i="4"/>
  <c r="X300" i="4"/>
  <c r="X296" i="4"/>
  <c r="X292" i="4"/>
  <c r="X288" i="4"/>
  <c r="X284" i="4"/>
  <c r="X280" i="4"/>
  <c r="X276" i="4"/>
  <c r="X272" i="4"/>
  <c r="X268" i="4"/>
  <c r="X264" i="4"/>
  <c r="X260" i="4"/>
  <c r="X256" i="4"/>
  <c r="X252" i="4"/>
  <c r="X248" i="4"/>
  <c r="X244" i="4"/>
  <c r="X240" i="4"/>
  <c r="X236" i="4"/>
  <c r="X232" i="4"/>
  <c r="X228" i="4"/>
  <c r="X224" i="4"/>
  <c r="X220" i="4"/>
  <c r="X185" i="4"/>
  <c r="X181" i="4"/>
  <c r="X177" i="4"/>
  <c r="X173" i="4"/>
  <c r="X169" i="4"/>
  <c r="X165" i="4"/>
  <c r="X161" i="4"/>
  <c r="X157" i="4"/>
  <c r="X153" i="4"/>
  <c r="X149" i="4"/>
  <c r="X145" i="4"/>
  <c r="X141" i="4"/>
  <c r="X137" i="4"/>
  <c r="X133" i="4"/>
  <c r="X129" i="4"/>
  <c r="X125" i="4"/>
  <c r="X121" i="4"/>
  <c r="X117" i="4"/>
  <c r="X113" i="4"/>
  <c r="X109" i="4"/>
  <c r="X105" i="4"/>
  <c r="X101" i="4"/>
  <c r="X97" i="4"/>
  <c r="X93" i="4"/>
  <c r="X89" i="4"/>
  <c r="X85" i="4"/>
  <c r="X81" i="4"/>
  <c r="X77" i="4"/>
  <c r="X73" i="4"/>
  <c r="X69" i="4"/>
  <c r="X65" i="4"/>
  <c r="X61" i="4"/>
  <c r="X57" i="4"/>
  <c r="X53" i="4"/>
  <c r="X49" i="4"/>
  <c r="X45" i="4"/>
  <c r="X41" i="4"/>
  <c r="X37" i="4"/>
  <c r="X33" i="4"/>
  <c r="X29" i="4"/>
  <c r="X25" i="4"/>
  <c r="X21" i="4"/>
  <c r="X17" i="4"/>
  <c r="X13" i="4"/>
  <c r="X9" i="4"/>
  <c r="X5" i="4"/>
  <c r="AA253" i="4"/>
  <c r="U536" i="4" a="1"/>
  <c r="U536" i="4" s="1"/>
  <c r="U532" i="4" a="1"/>
  <c r="U532" i="4" s="1"/>
  <c r="U436" i="4" a="1"/>
  <c r="U436" i="4" s="1"/>
  <c r="U396" i="4" a="1"/>
  <c r="U396" i="4" s="1"/>
  <c r="U336" i="4" a="1"/>
  <c r="U336" i="4" s="1"/>
  <c r="U324" i="4" a="1"/>
  <c r="U324" i="4" s="1"/>
  <c r="U137" i="4" a="1"/>
  <c r="U137" i="4" s="1"/>
  <c r="U22" i="4" a="1"/>
  <c r="U22" i="4" s="1"/>
  <c r="U6" i="4" a="1"/>
  <c r="U6" i="4" s="1"/>
  <c r="U248" i="4" a="1"/>
  <c r="U248" i="4" s="1"/>
  <c r="U101" i="4" a="1"/>
  <c r="U101" i="4" s="1"/>
  <c r="Q24" i="3"/>
  <c r="R24" i="3" s="1" a="1"/>
  <c r="R24" i="3" s="1"/>
  <c r="Q4" i="3"/>
  <c r="R4" i="3" s="1" a="1"/>
  <c r="R4" i="3" s="1"/>
  <c r="Q5" i="3"/>
  <c r="R5" i="3" s="1" a="1"/>
  <c r="R5" i="3" s="1"/>
  <c r="Q6" i="3"/>
  <c r="R6" i="3" s="1" a="1"/>
  <c r="R6" i="3" s="1"/>
  <c r="Q7" i="3"/>
  <c r="R7" i="3" s="1" a="1"/>
  <c r="R7" i="3" s="1"/>
  <c r="Q8" i="3"/>
  <c r="R8" i="3" s="1" a="1"/>
  <c r="R8" i="3" s="1"/>
  <c r="Q9" i="3"/>
  <c r="R9" i="3" s="1" a="1"/>
  <c r="R9" i="3" s="1"/>
  <c r="Q10" i="3"/>
  <c r="R10" i="3" s="1" a="1"/>
  <c r="R10" i="3" s="1"/>
  <c r="Q11" i="3"/>
  <c r="R11" i="3" s="1" a="1"/>
  <c r="R11" i="3" s="1"/>
  <c r="Q12" i="3"/>
  <c r="R12" i="3" s="1" a="1"/>
  <c r="R12" i="3" s="1"/>
  <c r="Q13" i="3"/>
  <c r="R13" i="3" s="1" a="1"/>
  <c r="R13" i="3" s="1"/>
  <c r="Q14" i="3"/>
  <c r="R14" i="3" s="1" a="1"/>
  <c r="R14" i="3" s="1"/>
  <c r="Q15" i="3"/>
  <c r="R15" i="3" s="1" a="1"/>
  <c r="R15" i="3" s="1"/>
  <c r="Q16" i="3"/>
  <c r="R16" i="3" s="1" a="1"/>
  <c r="R16" i="3" s="1"/>
  <c r="Q17" i="3"/>
  <c r="R17" i="3" s="1" a="1"/>
  <c r="R17" i="3" s="1"/>
  <c r="Q18" i="3"/>
  <c r="R18" i="3" s="1" a="1"/>
  <c r="R18" i="3" s="1"/>
  <c r="Q19" i="3"/>
  <c r="R19" i="3" s="1" a="1"/>
  <c r="R19" i="3" s="1"/>
  <c r="Q20" i="3"/>
  <c r="R20" i="3" s="1" a="1"/>
  <c r="R20" i="3" s="1"/>
  <c r="Q21" i="3"/>
  <c r="R21" i="3" s="1" a="1"/>
  <c r="R21" i="3" s="1"/>
  <c r="Q22" i="3"/>
  <c r="R22" i="3" s="1" a="1"/>
  <c r="R22" i="3" s="1"/>
  <c r="Q23" i="3"/>
  <c r="R23" i="3" s="1" a="1"/>
  <c r="R23" i="3" s="1"/>
  <c r="Q25" i="3"/>
  <c r="R25" i="3" s="1" a="1"/>
  <c r="R25" i="3" s="1"/>
  <c r="Q26" i="3"/>
  <c r="R26" i="3" s="1" a="1"/>
  <c r="R26" i="3" s="1"/>
  <c r="Q27" i="3"/>
  <c r="R27" i="3" s="1" a="1"/>
  <c r="R27" i="3" s="1"/>
  <c r="Q28" i="3"/>
  <c r="R28" i="3" s="1" a="1"/>
  <c r="R28" i="3" s="1"/>
  <c r="Q29" i="3"/>
  <c r="R29" i="3" s="1" a="1"/>
  <c r="R29" i="3" s="1"/>
  <c r="Q30" i="3"/>
  <c r="R30" i="3" s="1" a="1"/>
  <c r="R30" i="3" s="1"/>
  <c r="Q31" i="3"/>
  <c r="R31" i="3" s="1" a="1"/>
  <c r="R31" i="3" s="1"/>
  <c r="Q32" i="3"/>
  <c r="R32" i="3" s="1" a="1"/>
  <c r="R32" i="3" s="1"/>
  <c r="Q33" i="3"/>
  <c r="R33" i="3" s="1" a="1"/>
  <c r="R33" i="3" s="1"/>
  <c r="Q34" i="3"/>
  <c r="R34" i="3" s="1" a="1"/>
  <c r="R34" i="3" s="1"/>
  <c r="Q35" i="3"/>
  <c r="R35" i="3" s="1" a="1"/>
  <c r="R35" i="3" s="1"/>
  <c r="Q36" i="3"/>
  <c r="R36" i="3" s="1" a="1"/>
  <c r="R36" i="3" s="1"/>
  <c r="Q37" i="3"/>
  <c r="R37" i="3" s="1" a="1"/>
  <c r="R37" i="3" s="1"/>
  <c r="Q38" i="3"/>
  <c r="R38" i="3" s="1" a="1"/>
  <c r="R38" i="3" s="1"/>
  <c r="Q39" i="3"/>
  <c r="R39" i="3" s="1" a="1"/>
  <c r="R39" i="3" s="1"/>
  <c r="Q40" i="3"/>
  <c r="R40" i="3" s="1" a="1"/>
  <c r="R40" i="3" s="1"/>
  <c r="Q41" i="3"/>
  <c r="R41" i="3" s="1" a="1"/>
  <c r="R41" i="3" s="1"/>
  <c r="Q42" i="3"/>
  <c r="R42" i="3" s="1" a="1"/>
  <c r="R42" i="3" s="1"/>
  <c r="Q43" i="3"/>
  <c r="R43" i="3" s="1" a="1"/>
  <c r="R43" i="3" s="1"/>
  <c r="Q44" i="3"/>
  <c r="R44" i="3" s="1" a="1"/>
  <c r="R44" i="3" s="1"/>
  <c r="Q45" i="3"/>
  <c r="R45" i="3" s="1" a="1"/>
  <c r="R45" i="3" s="1"/>
  <c r="Q46" i="3"/>
  <c r="R46" i="3" s="1" a="1"/>
  <c r="R46" i="3" s="1"/>
  <c r="Q47" i="3"/>
  <c r="R47" i="3" s="1" a="1"/>
  <c r="R47" i="3" s="1"/>
  <c r="Q48" i="3"/>
  <c r="R48" i="3" s="1" a="1"/>
  <c r="R48" i="3" s="1"/>
  <c r="Q49" i="3"/>
  <c r="R49" i="3" s="1" a="1"/>
  <c r="R49" i="3" s="1"/>
  <c r="Q50" i="3"/>
  <c r="R50" i="3" s="1" a="1"/>
  <c r="R50" i="3" s="1"/>
  <c r="Q51" i="3"/>
  <c r="R51" i="3" s="1" a="1"/>
  <c r="R51" i="3" s="1"/>
  <c r="Q52" i="3"/>
  <c r="R52" i="3" s="1" a="1"/>
  <c r="R52" i="3" s="1"/>
  <c r="Q53" i="3"/>
  <c r="R53" i="3" s="1" a="1"/>
  <c r="R53" i="3" s="1"/>
  <c r="Q54" i="3"/>
  <c r="R54" i="3" s="1" a="1"/>
  <c r="R54" i="3" s="1"/>
  <c r="Q55" i="3"/>
  <c r="R55" i="3" s="1" a="1"/>
  <c r="R55" i="3" s="1"/>
  <c r="Q56" i="3"/>
  <c r="R56" i="3" s="1" a="1"/>
  <c r="R56" i="3" s="1"/>
  <c r="Q57" i="3"/>
  <c r="R57" i="3" s="1" a="1"/>
  <c r="R57" i="3" s="1"/>
  <c r="Q58" i="3"/>
  <c r="R58" i="3" s="1" a="1"/>
  <c r="R58" i="3" s="1"/>
  <c r="Q59" i="3"/>
  <c r="R59" i="3" s="1" a="1"/>
  <c r="R59" i="3" s="1"/>
  <c r="Q60" i="3"/>
  <c r="R60" i="3" s="1" a="1"/>
  <c r="R60" i="3" s="1"/>
  <c r="Q61" i="3"/>
  <c r="R61" i="3" s="1" a="1"/>
  <c r="R61" i="3" s="1"/>
  <c r="Q62" i="3"/>
  <c r="R62" i="3" s="1" a="1"/>
  <c r="R62" i="3" s="1"/>
  <c r="Q63" i="3"/>
  <c r="R63" i="3" s="1" a="1"/>
  <c r="R63" i="3" s="1"/>
  <c r="Q64" i="3"/>
  <c r="R64" i="3" s="1" a="1"/>
  <c r="R64" i="3" s="1"/>
  <c r="Q65" i="3"/>
  <c r="R65" i="3" s="1" a="1"/>
  <c r="R65" i="3" s="1"/>
  <c r="Q66" i="3"/>
  <c r="R66" i="3" s="1" a="1"/>
  <c r="R66" i="3" s="1"/>
  <c r="Q67" i="3"/>
  <c r="R67" i="3" s="1" a="1"/>
  <c r="R67" i="3" s="1"/>
  <c r="Q68" i="3"/>
  <c r="R68" i="3" s="1" a="1"/>
  <c r="R68" i="3" s="1"/>
  <c r="Q69" i="3"/>
  <c r="R69" i="3" s="1" a="1"/>
  <c r="R69" i="3" s="1"/>
  <c r="Q70" i="3"/>
  <c r="R70" i="3" s="1" a="1"/>
  <c r="R70" i="3" s="1"/>
  <c r="Q71" i="3"/>
  <c r="R71" i="3" s="1" a="1"/>
  <c r="R71" i="3" s="1"/>
  <c r="Q72" i="3"/>
  <c r="R72" i="3" s="1" a="1"/>
  <c r="R72" i="3" s="1"/>
  <c r="Q73" i="3"/>
  <c r="R73" i="3" s="1" a="1"/>
  <c r="R73" i="3" s="1"/>
  <c r="Q74" i="3"/>
  <c r="R74" i="3" s="1" a="1"/>
  <c r="R74" i="3" s="1"/>
  <c r="Q75" i="3"/>
  <c r="R75" i="3" s="1" a="1"/>
  <c r="R75" i="3" s="1"/>
  <c r="Q76" i="3"/>
  <c r="R76" i="3" s="1" a="1"/>
  <c r="R76" i="3" s="1"/>
  <c r="Q77" i="3"/>
  <c r="R77" i="3" s="1" a="1"/>
  <c r="R77" i="3" s="1"/>
  <c r="Q78" i="3"/>
  <c r="R78" i="3" s="1" a="1"/>
  <c r="R78" i="3" s="1"/>
  <c r="Q79" i="3"/>
  <c r="R79" i="3" s="1" a="1"/>
  <c r="R79" i="3" s="1"/>
  <c r="Q80" i="3"/>
  <c r="R80" i="3" s="1" a="1"/>
  <c r="R80" i="3" s="1"/>
  <c r="Q81" i="3"/>
  <c r="R81" i="3" s="1" a="1"/>
  <c r="R81" i="3" s="1"/>
  <c r="Q82" i="3"/>
  <c r="R82" i="3" s="1" a="1"/>
  <c r="R82" i="3" s="1"/>
  <c r="Q83" i="3"/>
  <c r="R83" i="3" s="1" a="1"/>
  <c r="R83" i="3" s="1"/>
  <c r="Q84" i="3"/>
  <c r="R84" i="3" s="1" a="1"/>
  <c r="R84" i="3" s="1"/>
  <c r="Q85" i="3"/>
  <c r="R85" i="3" s="1" a="1"/>
  <c r="R85" i="3" s="1"/>
  <c r="Q86" i="3"/>
  <c r="R86" i="3" s="1" a="1"/>
  <c r="R86" i="3" s="1"/>
  <c r="Q87" i="3"/>
  <c r="R87" i="3" s="1" a="1"/>
  <c r="R87" i="3" s="1"/>
  <c r="Q88" i="3"/>
  <c r="R88" i="3" s="1" a="1"/>
  <c r="R88" i="3" s="1"/>
  <c r="Q89" i="3"/>
  <c r="R89" i="3" s="1" a="1"/>
  <c r="R89" i="3" s="1"/>
  <c r="Q90" i="3"/>
  <c r="R90" i="3" s="1" a="1"/>
  <c r="R90" i="3" s="1"/>
  <c r="Q91" i="3"/>
  <c r="R91" i="3" s="1" a="1"/>
  <c r="R91" i="3" s="1"/>
  <c r="Q92" i="3"/>
  <c r="R92" i="3" s="1" a="1"/>
  <c r="R92" i="3" s="1"/>
  <c r="Q93" i="3"/>
  <c r="R93" i="3" s="1" a="1"/>
  <c r="R93" i="3" s="1"/>
  <c r="Q94" i="3"/>
  <c r="R94" i="3" s="1" a="1"/>
  <c r="R94" i="3" s="1"/>
  <c r="Q95" i="3"/>
  <c r="R95" i="3" s="1" a="1"/>
  <c r="R95" i="3" s="1"/>
  <c r="Q96" i="3"/>
  <c r="R96" i="3" s="1" a="1"/>
  <c r="R96" i="3" s="1"/>
  <c r="Q97" i="3"/>
  <c r="R97" i="3" s="1" a="1"/>
  <c r="R97" i="3" s="1"/>
  <c r="Q98" i="3"/>
  <c r="R98" i="3" s="1" a="1"/>
  <c r="R98" i="3" s="1"/>
  <c r="Q99" i="3"/>
  <c r="R99" i="3" s="1" a="1"/>
  <c r="R99" i="3" s="1"/>
  <c r="Q100" i="3"/>
  <c r="R100" i="3" s="1" a="1"/>
  <c r="R100" i="3" s="1"/>
  <c r="Q101" i="3"/>
  <c r="R101" i="3" s="1" a="1"/>
  <c r="R101" i="3" s="1"/>
  <c r="Q102" i="3"/>
  <c r="R102" i="3" s="1" a="1"/>
  <c r="R102" i="3" s="1"/>
  <c r="Q103" i="3"/>
  <c r="R103" i="3" s="1" a="1"/>
  <c r="R103" i="3" s="1"/>
  <c r="Q104" i="3"/>
  <c r="R104" i="3" s="1" a="1"/>
  <c r="R104" i="3" s="1"/>
  <c r="Q105" i="3"/>
  <c r="R105" i="3" s="1" a="1"/>
  <c r="R105" i="3" s="1"/>
  <c r="Q106" i="3"/>
  <c r="R106" i="3" s="1" a="1"/>
  <c r="R106" i="3" s="1"/>
  <c r="Q107" i="3"/>
  <c r="R107" i="3" s="1" a="1"/>
  <c r="R107" i="3" s="1"/>
  <c r="Q108" i="3"/>
  <c r="R108" i="3" s="1" a="1"/>
  <c r="R108" i="3" s="1"/>
  <c r="Q109" i="3"/>
  <c r="R109" i="3" s="1" a="1"/>
  <c r="R109" i="3" s="1"/>
  <c r="Q110" i="3"/>
  <c r="R110" i="3" s="1" a="1"/>
  <c r="R110" i="3" s="1"/>
  <c r="Q111" i="3"/>
  <c r="R111" i="3" s="1" a="1"/>
  <c r="R111" i="3" s="1"/>
  <c r="Q112" i="3"/>
  <c r="R112" i="3" s="1" a="1"/>
  <c r="R112" i="3" s="1"/>
  <c r="Q113" i="3"/>
  <c r="R113" i="3" s="1" a="1"/>
  <c r="R113" i="3" s="1"/>
  <c r="Q114" i="3"/>
  <c r="R114" i="3" s="1" a="1"/>
  <c r="R114" i="3" s="1"/>
  <c r="Q115" i="3"/>
  <c r="R115" i="3" s="1" a="1"/>
  <c r="R115" i="3" s="1"/>
  <c r="Q116" i="3"/>
  <c r="R116" i="3" s="1" a="1"/>
  <c r="R116" i="3" s="1"/>
  <c r="Q117" i="3"/>
  <c r="R117" i="3" s="1" a="1"/>
  <c r="R117" i="3" s="1"/>
  <c r="Q118" i="3"/>
  <c r="R118" i="3" s="1" a="1"/>
  <c r="R118" i="3" s="1"/>
  <c r="Q119" i="3"/>
  <c r="R119" i="3" s="1" a="1"/>
  <c r="R119" i="3" s="1"/>
  <c r="Q120" i="3"/>
  <c r="R120" i="3" s="1" a="1"/>
  <c r="R120" i="3" s="1"/>
  <c r="Q121" i="3"/>
  <c r="R121" i="3" s="1" a="1"/>
  <c r="R121" i="3" s="1"/>
  <c r="Q122" i="3"/>
  <c r="R122" i="3" s="1" a="1"/>
  <c r="R122" i="3" s="1"/>
  <c r="Q123" i="3"/>
  <c r="R123" i="3" s="1" a="1"/>
  <c r="R123" i="3" s="1"/>
  <c r="Q124" i="3"/>
  <c r="R124" i="3" s="1" a="1"/>
  <c r="R124" i="3" s="1"/>
  <c r="Q125" i="3"/>
  <c r="R125" i="3" s="1" a="1"/>
  <c r="R125" i="3" s="1"/>
  <c r="Q126" i="3"/>
  <c r="R126" i="3" s="1" a="1"/>
  <c r="R126" i="3" s="1"/>
  <c r="Q127" i="3"/>
  <c r="R127" i="3" s="1" a="1"/>
  <c r="R127" i="3" s="1"/>
  <c r="Q128" i="3"/>
  <c r="R128" i="3" s="1" a="1"/>
  <c r="R128" i="3" s="1"/>
  <c r="Q129" i="3"/>
  <c r="R129" i="3" s="1" a="1"/>
  <c r="R129" i="3" s="1"/>
  <c r="Q130" i="3"/>
  <c r="R130" i="3" s="1" a="1"/>
  <c r="R130" i="3" s="1"/>
  <c r="Q131" i="3"/>
  <c r="R131" i="3" s="1" a="1"/>
  <c r="R131" i="3" s="1"/>
  <c r="Q132" i="3"/>
  <c r="R132" i="3" s="1" a="1"/>
  <c r="R132" i="3" s="1"/>
  <c r="Q133" i="3"/>
  <c r="R133" i="3" s="1" a="1"/>
  <c r="R133" i="3" s="1"/>
  <c r="Q134" i="3"/>
  <c r="R134" i="3" s="1" a="1"/>
  <c r="R134" i="3" s="1"/>
  <c r="Q135" i="3"/>
  <c r="R135" i="3" s="1" a="1"/>
  <c r="R135" i="3" s="1"/>
  <c r="Q136" i="3"/>
  <c r="R136" i="3" s="1" a="1"/>
  <c r="R136" i="3" s="1"/>
  <c r="Q137" i="3"/>
  <c r="R137" i="3" s="1" a="1"/>
  <c r="R137" i="3" s="1"/>
  <c r="Q138" i="3"/>
  <c r="R138" i="3" s="1" a="1"/>
  <c r="R138" i="3" s="1"/>
  <c r="Q139" i="3"/>
  <c r="R139" i="3" s="1" a="1"/>
  <c r="R139" i="3" s="1"/>
  <c r="Q140" i="3"/>
  <c r="R140" i="3" s="1" a="1"/>
  <c r="R140" i="3" s="1"/>
  <c r="Q141" i="3"/>
  <c r="R141" i="3" s="1" a="1"/>
  <c r="R141" i="3" s="1"/>
  <c r="Q142" i="3"/>
  <c r="R142" i="3" s="1" a="1"/>
  <c r="R142" i="3" s="1"/>
  <c r="Q143" i="3"/>
  <c r="R143" i="3" s="1" a="1"/>
  <c r="R143" i="3" s="1"/>
  <c r="Q144" i="3"/>
  <c r="R144" i="3" s="1" a="1"/>
  <c r="R144" i="3" s="1"/>
  <c r="Q145" i="3"/>
  <c r="R145" i="3" s="1" a="1"/>
  <c r="R145" i="3" s="1"/>
  <c r="Q146" i="3"/>
  <c r="R146" i="3" s="1" a="1"/>
  <c r="R146" i="3" s="1"/>
  <c r="Q147" i="3"/>
  <c r="R147" i="3" s="1" a="1"/>
  <c r="R147" i="3" s="1"/>
  <c r="Q148" i="3"/>
  <c r="R148" i="3" s="1" a="1"/>
  <c r="R148" i="3" s="1"/>
  <c r="Q149" i="3"/>
  <c r="R149" i="3" s="1" a="1"/>
  <c r="R149" i="3" s="1"/>
  <c r="Q150" i="3"/>
  <c r="R150" i="3" s="1" a="1"/>
  <c r="R150" i="3" s="1"/>
  <c r="Q151" i="3"/>
  <c r="R151" i="3" s="1" a="1"/>
  <c r="R151" i="3" s="1"/>
  <c r="Q152" i="3"/>
  <c r="R152" i="3" s="1" a="1"/>
  <c r="R152" i="3" s="1"/>
  <c r="Q153" i="3"/>
  <c r="R153" i="3" s="1" a="1"/>
  <c r="R153" i="3" s="1"/>
  <c r="Q154" i="3"/>
  <c r="R154" i="3" s="1" a="1"/>
  <c r="R154" i="3" s="1"/>
  <c r="Q155" i="3"/>
  <c r="R155" i="3" s="1" a="1"/>
  <c r="R155" i="3" s="1"/>
  <c r="Q156" i="3"/>
  <c r="R156" i="3" s="1" a="1"/>
  <c r="R156" i="3" s="1"/>
  <c r="Q157" i="3"/>
  <c r="R157" i="3" s="1" a="1"/>
  <c r="R157" i="3" s="1"/>
  <c r="Q158" i="3"/>
  <c r="R158" i="3" s="1" a="1"/>
  <c r="R158" i="3" s="1"/>
  <c r="Q159" i="3"/>
  <c r="R159" i="3" s="1" a="1"/>
  <c r="R159" i="3" s="1"/>
  <c r="Q160" i="3"/>
  <c r="R160" i="3" s="1" a="1"/>
  <c r="R160" i="3" s="1"/>
  <c r="Q161" i="3"/>
  <c r="R161" i="3" s="1" a="1"/>
  <c r="R161" i="3" s="1"/>
  <c r="Q162" i="3"/>
  <c r="R162" i="3" s="1" a="1"/>
  <c r="R162" i="3" s="1"/>
  <c r="Q163" i="3"/>
  <c r="R163" i="3" s="1" a="1"/>
  <c r="R163" i="3" s="1"/>
  <c r="Q164" i="3"/>
  <c r="R164" i="3" s="1" a="1"/>
  <c r="R164" i="3" s="1"/>
  <c r="Q165" i="3"/>
  <c r="R165" i="3" s="1" a="1"/>
  <c r="R165" i="3" s="1"/>
  <c r="Q166" i="3"/>
  <c r="R166" i="3" s="1" a="1"/>
  <c r="R166" i="3" s="1"/>
  <c r="Q167" i="3"/>
  <c r="R167" i="3" s="1" a="1"/>
  <c r="R167" i="3" s="1"/>
  <c r="Q168" i="3"/>
  <c r="R168" i="3" s="1" a="1"/>
  <c r="R168" i="3" s="1"/>
  <c r="Q169" i="3"/>
  <c r="R169" i="3" s="1" a="1"/>
  <c r="R169" i="3" s="1"/>
  <c r="Q170" i="3"/>
  <c r="R170" i="3" s="1" a="1"/>
  <c r="R170" i="3" s="1"/>
  <c r="Q171" i="3"/>
  <c r="R171" i="3" s="1" a="1"/>
  <c r="R171" i="3" s="1"/>
  <c r="Q172" i="3"/>
  <c r="R172" i="3" s="1" a="1"/>
  <c r="R172" i="3" s="1"/>
  <c r="Q173" i="3"/>
  <c r="R173" i="3" s="1" a="1"/>
  <c r="R173" i="3" s="1"/>
  <c r="Q174" i="3"/>
  <c r="R174" i="3" s="1" a="1"/>
  <c r="R174" i="3" s="1"/>
  <c r="Q175" i="3"/>
  <c r="R175" i="3" s="1" a="1"/>
  <c r="R175" i="3" s="1"/>
  <c r="Q176" i="3"/>
  <c r="R176" i="3" s="1" a="1"/>
  <c r="R176" i="3" s="1"/>
  <c r="Q177" i="3"/>
  <c r="R177" i="3" s="1" a="1"/>
  <c r="R177" i="3" s="1"/>
  <c r="Q178" i="3"/>
  <c r="R178" i="3" s="1" a="1"/>
  <c r="R178" i="3" s="1"/>
  <c r="Q179" i="3"/>
  <c r="R179" i="3" s="1" a="1"/>
  <c r="R179" i="3" s="1"/>
  <c r="Q180" i="3"/>
  <c r="R180" i="3" s="1" a="1"/>
  <c r="R180" i="3" s="1"/>
  <c r="Q181" i="3"/>
  <c r="R181" i="3" s="1" a="1"/>
  <c r="R181" i="3" s="1"/>
  <c r="Q182" i="3"/>
  <c r="R182" i="3" s="1" a="1"/>
  <c r="R182" i="3" s="1"/>
  <c r="Q183" i="3"/>
  <c r="R183" i="3" s="1" a="1"/>
  <c r="R183" i="3" s="1"/>
  <c r="Q184" i="3"/>
  <c r="R184" i="3" s="1" a="1"/>
  <c r="R184" i="3" s="1"/>
  <c r="Q185" i="3"/>
  <c r="R185" i="3" s="1" a="1"/>
  <c r="R185" i="3" s="1"/>
  <c r="Q186" i="3"/>
  <c r="R186" i="3" s="1" a="1"/>
  <c r="R186" i="3" s="1"/>
  <c r="Q187" i="3"/>
  <c r="R187" i="3" s="1" a="1"/>
  <c r="R187" i="3" s="1"/>
  <c r="Q188" i="3"/>
  <c r="R188" i="3" s="1" a="1"/>
  <c r="R188" i="3" s="1"/>
  <c r="Q189" i="3"/>
  <c r="R189" i="3" s="1" a="1"/>
  <c r="R189" i="3" s="1"/>
  <c r="Q190" i="3"/>
  <c r="R190" i="3" s="1" a="1"/>
  <c r="R190" i="3" s="1"/>
  <c r="Q191" i="3"/>
  <c r="R191" i="3" s="1" a="1"/>
  <c r="R191" i="3" s="1"/>
  <c r="Q192" i="3"/>
  <c r="R192" i="3" s="1" a="1"/>
  <c r="R192" i="3" s="1"/>
  <c r="Q193" i="3"/>
  <c r="R193" i="3" s="1" a="1"/>
  <c r="R193" i="3" s="1"/>
  <c r="Q194" i="3"/>
  <c r="R194" i="3" s="1" a="1"/>
  <c r="R194" i="3" s="1"/>
  <c r="Q195" i="3"/>
  <c r="R195" i="3" s="1" a="1"/>
  <c r="R195" i="3" s="1"/>
  <c r="Q196" i="3"/>
  <c r="R196" i="3" s="1" a="1"/>
  <c r="R196" i="3" s="1"/>
  <c r="Q197" i="3"/>
  <c r="R197" i="3" s="1" a="1"/>
  <c r="R197" i="3" s="1"/>
  <c r="Q198" i="3"/>
  <c r="R198" i="3" s="1" a="1"/>
  <c r="R198" i="3" s="1"/>
  <c r="Q199" i="3"/>
  <c r="R199" i="3" s="1" a="1"/>
  <c r="R199" i="3" s="1"/>
  <c r="Q200" i="3"/>
  <c r="R200" i="3" s="1" a="1"/>
  <c r="R200" i="3" s="1"/>
  <c r="Q201" i="3"/>
  <c r="R201" i="3" s="1" a="1"/>
  <c r="R201" i="3" s="1"/>
  <c r="Q202" i="3"/>
  <c r="R202" i="3" s="1" a="1"/>
  <c r="R202" i="3" s="1"/>
  <c r="Q203" i="3"/>
  <c r="R203" i="3" s="1" a="1"/>
  <c r="R203" i="3" s="1"/>
  <c r="Q204" i="3"/>
  <c r="R204" i="3" s="1" a="1"/>
  <c r="R204" i="3" s="1"/>
  <c r="Q205" i="3"/>
  <c r="R205" i="3" s="1" a="1"/>
  <c r="R205" i="3" s="1"/>
  <c r="Q206" i="3"/>
  <c r="R206" i="3" s="1" a="1"/>
  <c r="R206" i="3" s="1"/>
  <c r="Q207" i="3"/>
  <c r="R207" i="3" s="1" a="1"/>
  <c r="R207" i="3" s="1"/>
  <c r="Q208" i="3"/>
  <c r="R208" i="3" s="1" a="1"/>
  <c r="R208" i="3" s="1"/>
  <c r="Q209" i="3"/>
  <c r="R209" i="3" s="1" a="1"/>
  <c r="R209" i="3" s="1"/>
  <c r="Q210" i="3"/>
  <c r="R210" i="3" s="1" a="1"/>
  <c r="R210" i="3" s="1"/>
  <c r="Q211" i="3"/>
  <c r="R211" i="3" s="1" a="1"/>
  <c r="R211" i="3" s="1"/>
  <c r="Q212" i="3"/>
  <c r="R212" i="3" s="1" a="1"/>
  <c r="R212" i="3" s="1"/>
  <c r="Q213" i="3"/>
  <c r="R213" i="3" s="1" a="1"/>
  <c r="R213" i="3" s="1"/>
  <c r="Q214" i="3"/>
  <c r="R214" i="3" s="1" a="1"/>
  <c r="R214" i="3" s="1"/>
  <c r="Q215" i="3"/>
  <c r="R215" i="3" s="1" a="1"/>
  <c r="R215" i="3" s="1"/>
  <c r="Q216" i="3"/>
  <c r="R216" i="3" s="1" a="1"/>
  <c r="R216" i="3" s="1"/>
  <c r="Q217" i="3"/>
  <c r="R217" i="3" s="1" a="1"/>
  <c r="R217" i="3" s="1"/>
  <c r="Q218" i="3"/>
  <c r="R218" i="3" s="1" a="1"/>
  <c r="R218" i="3" s="1"/>
  <c r="Q219" i="3"/>
  <c r="R219" i="3" s="1" a="1"/>
  <c r="R219" i="3" s="1"/>
  <c r="Q220" i="3"/>
  <c r="R220" i="3" s="1" a="1"/>
  <c r="R220" i="3" s="1"/>
  <c r="Q221" i="3"/>
  <c r="R221" i="3" s="1" a="1"/>
  <c r="R221" i="3" s="1"/>
  <c r="Q222" i="3"/>
  <c r="R222" i="3" s="1" a="1"/>
  <c r="R222" i="3" s="1"/>
  <c r="Q223" i="3"/>
  <c r="R223" i="3" s="1" a="1"/>
  <c r="R223" i="3" s="1"/>
  <c r="Q224" i="3"/>
  <c r="R224" i="3" s="1" a="1"/>
  <c r="R224" i="3" s="1"/>
  <c r="Q225" i="3"/>
  <c r="R225" i="3" s="1" a="1"/>
  <c r="R225" i="3" s="1"/>
  <c r="Q226" i="3"/>
  <c r="R226" i="3" s="1" a="1"/>
  <c r="R226" i="3" s="1"/>
  <c r="Q227" i="3"/>
  <c r="R227" i="3" s="1" a="1"/>
  <c r="R227" i="3" s="1"/>
  <c r="Q228" i="3"/>
  <c r="R228" i="3" s="1" a="1"/>
  <c r="R228" i="3" s="1"/>
  <c r="Q229" i="3"/>
  <c r="R229" i="3" s="1" a="1"/>
  <c r="R229" i="3" s="1"/>
  <c r="Q230" i="3"/>
  <c r="R230" i="3" s="1" a="1"/>
  <c r="R230" i="3" s="1"/>
  <c r="Q231" i="3"/>
  <c r="R231" i="3" s="1" a="1"/>
  <c r="R231" i="3" s="1"/>
  <c r="Q232" i="3"/>
  <c r="R232" i="3" s="1" a="1"/>
  <c r="R232" i="3" s="1"/>
  <c r="Q233" i="3"/>
  <c r="R233" i="3" s="1" a="1"/>
  <c r="R233" i="3" s="1"/>
  <c r="Q234" i="3"/>
  <c r="R234" i="3" s="1" a="1"/>
  <c r="R234" i="3" s="1"/>
  <c r="Q235" i="3"/>
  <c r="R235" i="3" s="1" a="1"/>
  <c r="R235" i="3" s="1"/>
  <c r="Q236" i="3"/>
  <c r="R236" i="3" s="1" a="1"/>
  <c r="R236" i="3" s="1"/>
  <c r="Q237" i="3"/>
  <c r="R237" i="3" s="1" a="1"/>
  <c r="R237" i="3" s="1"/>
  <c r="Q238" i="3"/>
  <c r="R238" i="3" s="1" a="1"/>
  <c r="R238" i="3" s="1"/>
  <c r="Q239" i="3"/>
  <c r="R239" i="3" s="1" a="1"/>
  <c r="R239" i="3" s="1"/>
  <c r="Q240" i="3"/>
  <c r="R240" i="3" s="1" a="1"/>
  <c r="R240" i="3" s="1"/>
  <c r="Q241" i="3"/>
  <c r="R241" i="3" s="1" a="1"/>
  <c r="R241" i="3" s="1"/>
  <c r="Q242" i="3"/>
  <c r="R242" i="3" s="1" a="1"/>
  <c r="R242" i="3" s="1"/>
  <c r="Q243" i="3"/>
  <c r="R243" i="3" s="1" a="1"/>
  <c r="R243" i="3" s="1"/>
  <c r="Q244" i="3"/>
  <c r="R244" i="3" s="1" a="1"/>
  <c r="R244" i="3" s="1"/>
  <c r="Q245" i="3"/>
  <c r="R245" i="3" s="1" a="1"/>
  <c r="R245" i="3" s="1"/>
  <c r="Q246" i="3"/>
  <c r="R246" i="3" s="1" a="1"/>
  <c r="R246" i="3" s="1"/>
  <c r="Q247" i="3"/>
  <c r="R247" i="3" s="1" a="1"/>
  <c r="R247" i="3" s="1"/>
  <c r="Q248" i="3"/>
  <c r="R248" i="3" s="1" a="1"/>
  <c r="R248" i="3" s="1"/>
  <c r="Q249" i="3"/>
  <c r="R249" i="3" s="1" a="1"/>
  <c r="R249" i="3" s="1"/>
  <c r="Q250" i="3"/>
  <c r="R250" i="3" s="1" a="1"/>
  <c r="R250" i="3" s="1"/>
  <c r="Q251" i="3"/>
  <c r="R251" i="3" s="1" a="1"/>
  <c r="R251" i="3" s="1"/>
  <c r="Q252" i="3"/>
  <c r="R252" i="3" s="1" a="1"/>
  <c r="R252" i="3" s="1"/>
  <c r="Q253" i="3"/>
  <c r="R253" i="3" s="1" a="1"/>
  <c r="R253" i="3" s="1"/>
  <c r="Q254" i="3"/>
  <c r="R254" i="3" s="1" a="1"/>
  <c r="R254" i="3" s="1"/>
  <c r="Q255" i="3"/>
  <c r="R255" i="3" s="1" a="1"/>
  <c r="R255" i="3" s="1"/>
  <c r="Q256" i="3"/>
  <c r="R256" i="3" s="1" a="1"/>
  <c r="R256" i="3" s="1"/>
  <c r="Q257" i="3"/>
  <c r="R257" i="3" s="1" a="1"/>
  <c r="R257" i="3" s="1"/>
  <c r="Q258" i="3"/>
  <c r="R258" i="3" s="1" a="1"/>
  <c r="R258" i="3" s="1"/>
  <c r="Q259" i="3"/>
  <c r="R259" i="3" s="1" a="1"/>
  <c r="R259" i="3" s="1"/>
  <c r="Q260" i="3"/>
  <c r="R260" i="3" s="1" a="1"/>
  <c r="R260" i="3" s="1"/>
  <c r="Q261" i="3"/>
  <c r="R261" i="3" s="1" a="1"/>
  <c r="R261" i="3" s="1"/>
  <c r="Q262" i="3"/>
  <c r="R262" i="3" s="1" a="1"/>
  <c r="R262" i="3" s="1"/>
  <c r="Q263" i="3"/>
  <c r="R263" i="3" s="1" a="1"/>
  <c r="R263" i="3" s="1"/>
  <c r="Q264" i="3"/>
  <c r="R264" i="3" s="1" a="1"/>
  <c r="R264" i="3" s="1"/>
  <c r="Q265" i="3"/>
  <c r="R265" i="3" s="1" a="1"/>
  <c r="R265" i="3" s="1"/>
  <c r="Q266" i="3"/>
  <c r="R266" i="3" s="1" a="1"/>
  <c r="R266" i="3" s="1"/>
  <c r="Q267" i="3"/>
  <c r="R267" i="3" s="1" a="1"/>
  <c r="R267" i="3" s="1"/>
  <c r="Q268" i="3"/>
  <c r="R268" i="3" s="1" a="1"/>
  <c r="R268" i="3" s="1"/>
  <c r="Q269" i="3"/>
  <c r="R269" i="3" s="1" a="1"/>
  <c r="R269" i="3" s="1"/>
  <c r="Q270" i="3"/>
  <c r="R270" i="3" s="1" a="1"/>
  <c r="R270" i="3" s="1"/>
  <c r="Q271" i="3"/>
  <c r="R271" i="3" s="1" a="1"/>
  <c r="R271" i="3" s="1"/>
  <c r="Q272" i="3"/>
  <c r="R272" i="3" s="1" a="1"/>
  <c r="R272" i="3" s="1"/>
  <c r="Q273" i="3"/>
  <c r="R273" i="3" s="1" a="1"/>
  <c r="R273" i="3" s="1"/>
  <c r="Q274" i="3"/>
  <c r="R274" i="3" s="1" a="1"/>
  <c r="R274" i="3" s="1"/>
  <c r="Q275" i="3"/>
  <c r="R275" i="3" s="1" a="1"/>
  <c r="R275" i="3" s="1"/>
  <c r="Q276" i="3"/>
  <c r="R276" i="3" s="1" a="1"/>
  <c r="R276" i="3" s="1"/>
  <c r="Q277" i="3"/>
  <c r="R277" i="3" s="1" a="1"/>
  <c r="R277" i="3" s="1"/>
  <c r="Q278" i="3"/>
  <c r="R278" i="3" s="1" a="1"/>
  <c r="R278" i="3" s="1"/>
  <c r="Q279" i="3"/>
  <c r="R279" i="3" s="1" a="1"/>
  <c r="R279" i="3" s="1"/>
  <c r="Q280" i="3"/>
  <c r="R280" i="3" s="1" a="1"/>
  <c r="R280" i="3" s="1"/>
  <c r="Q281" i="3"/>
  <c r="R281" i="3" s="1" a="1"/>
  <c r="R281" i="3" s="1"/>
  <c r="Q282" i="3"/>
  <c r="R282" i="3" s="1" a="1"/>
  <c r="R282" i="3" s="1"/>
  <c r="Q283" i="3"/>
  <c r="R283" i="3" s="1" a="1"/>
  <c r="R283" i="3" s="1"/>
  <c r="Q284" i="3"/>
  <c r="R284" i="3" s="1" a="1"/>
  <c r="R284" i="3" s="1"/>
  <c r="Q285" i="3"/>
  <c r="R285" i="3" s="1" a="1"/>
  <c r="R285" i="3" s="1"/>
  <c r="Q286" i="3"/>
  <c r="R286" i="3" s="1" a="1"/>
  <c r="R286" i="3" s="1"/>
  <c r="Q287" i="3"/>
  <c r="R287" i="3" s="1" a="1"/>
  <c r="R287" i="3" s="1"/>
  <c r="Q288" i="3"/>
  <c r="R288" i="3" s="1" a="1"/>
  <c r="R288" i="3" s="1"/>
  <c r="Q289" i="3"/>
  <c r="R289" i="3" s="1" a="1"/>
  <c r="R289" i="3" s="1"/>
  <c r="Q290" i="3"/>
  <c r="R290" i="3" s="1" a="1"/>
  <c r="R290" i="3" s="1"/>
  <c r="Q291" i="3"/>
  <c r="R291" i="3" s="1" a="1"/>
  <c r="R291" i="3" s="1"/>
  <c r="Q292" i="3"/>
  <c r="R292" i="3" s="1" a="1"/>
  <c r="R292" i="3" s="1"/>
  <c r="Q293" i="3"/>
  <c r="R293" i="3" s="1" a="1"/>
  <c r="R293" i="3" s="1"/>
  <c r="Q294" i="3"/>
  <c r="R294" i="3" s="1" a="1"/>
  <c r="R294" i="3" s="1"/>
  <c r="Q295" i="3"/>
  <c r="R295" i="3" s="1" a="1"/>
  <c r="R295" i="3" s="1"/>
  <c r="Q296" i="3"/>
  <c r="R296" i="3" s="1" a="1"/>
  <c r="R296" i="3" s="1"/>
  <c r="Q297" i="3"/>
  <c r="R297" i="3" s="1" a="1"/>
  <c r="R297" i="3" s="1"/>
  <c r="Q298" i="3"/>
  <c r="R298" i="3" s="1" a="1"/>
  <c r="R298" i="3" s="1"/>
  <c r="Q299" i="3"/>
  <c r="R299" i="3" s="1" a="1"/>
  <c r="R299" i="3" s="1"/>
  <c r="Q300" i="3"/>
  <c r="R300" i="3" s="1" a="1"/>
  <c r="R300" i="3" s="1"/>
  <c r="Q301" i="3"/>
  <c r="R301" i="3" s="1" a="1"/>
  <c r="R301" i="3" s="1"/>
  <c r="Q302" i="3"/>
  <c r="R302" i="3" s="1" a="1"/>
  <c r="R302" i="3" s="1"/>
  <c r="Q303" i="3"/>
  <c r="R303" i="3" s="1" a="1"/>
  <c r="R303" i="3" s="1"/>
  <c r="Q304" i="3"/>
  <c r="R304" i="3" s="1" a="1"/>
  <c r="R304" i="3" s="1"/>
  <c r="Q305" i="3"/>
  <c r="R305" i="3" s="1" a="1"/>
  <c r="R305" i="3" s="1"/>
  <c r="Q306" i="3"/>
  <c r="R306" i="3" s="1" a="1"/>
  <c r="R306" i="3" s="1"/>
  <c r="Q307" i="3"/>
  <c r="R307" i="3" s="1" a="1"/>
  <c r="R307" i="3" s="1"/>
  <c r="Q308" i="3"/>
  <c r="R308" i="3" s="1" a="1"/>
  <c r="R308" i="3" s="1"/>
  <c r="Q309" i="3"/>
  <c r="R309" i="3" s="1" a="1"/>
  <c r="R309" i="3" s="1"/>
  <c r="Q310" i="3"/>
  <c r="R310" i="3" s="1" a="1"/>
  <c r="R310" i="3" s="1"/>
  <c r="Q311" i="3"/>
  <c r="R311" i="3" s="1" a="1"/>
  <c r="R311" i="3" s="1"/>
  <c r="Q312" i="3"/>
  <c r="R312" i="3" s="1" a="1"/>
  <c r="R312" i="3" s="1"/>
  <c r="Q313" i="3"/>
  <c r="R313" i="3" s="1" a="1"/>
  <c r="R313" i="3" s="1"/>
  <c r="Q314" i="3"/>
  <c r="R314" i="3" s="1" a="1"/>
  <c r="R314" i="3" s="1"/>
  <c r="Q315" i="3"/>
  <c r="R315" i="3" s="1" a="1"/>
  <c r="R315" i="3" s="1"/>
  <c r="Q316" i="3"/>
  <c r="R316" i="3" s="1" a="1"/>
  <c r="R316" i="3" s="1"/>
  <c r="Q317" i="3"/>
  <c r="R317" i="3" s="1" a="1"/>
  <c r="R317" i="3" s="1"/>
  <c r="Q318" i="3"/>
  <c r="R318" i="3" s="1" a="1"/>
  <c r="R318" i="3" s="1"/>
  <c r="Q319" i="3"/>
  <c r="R319" i="3" s="1" a="1"/>
  <c r="R319" i="3" s="1"/>
  <c r="Q320" i="3"/>
  <c r="R320" i="3" s="1" a="1"/>
  <c r="R320" i="3" s="1"/>
  <c r="Q321" i="3"/>
  <c r="R321" i="3" s="1" a="1"/>
  <c r="R321" i="3" s="1"/>
  <c r="Q322" i="3"/>
  <c r="R322" i="3" s="1" a="1"/>
  <c r="R322" i="3" s="1"/>
  <c r="Q323" i="3"/>
  <c r="R323" i="3" s="1" a="1"/>
  <c r="R323" i="3" s="1"/>
  <c r="Q324" i="3"/>
  <c r="R324" i="3" s="1" a="1"/>
  <c r="R324" i="3" s="1"/>
  <c r="Q325" i="3"/>
  <c r="R325" i="3" s="1" a="1"/>
  <c r="R325" i="3" s="1"/>
  <c r="Q326" i="3"/>
  <c r="R326" i="3" s="1" a="1"/>
  <c r="R326" i="3" s="1"/>
  <c r="Q327" i="3"/>
  <c r="R327" i="3" s="1" a="1"/>
  <c r="R327" i="3" s="1"/>
  <c r="Q328" i="3"/>
  <c r="R328" i="3" s="1" a="1"/>
  <c r="R328" i="3" s="1"/>
  <c r="Q329" i="3"/>
  <c r="R329" i="3" s="1" a="1"/>
  <c r="R329" i="3" s="1"/>
  <c r="Q330" i="3"/>
  <c r="R330" i="3" s="1" a="1"/>
  <c r="R330" i="3" s="1"/>
  <c r="Q331" i="3"/>
  <c r="R331" i="3" s="1" a="1"/>
  <c r="R331" i="3" s="1"/>
  <c r="Q332" i="3"/>
  <c r="R332" i="3" s="1" a="1"/>
  <c r="R332" i="3" s="1"/>
  <c r="Q333" i="3"/>
  <c r="R333" i="3" s="1" a="1"/>
  <c r="R333" i="3" s="1"/>
  <c r="Q334" i="3"/>
  <c r="R334" i="3" s="1" a="1"/>
  <c r="R334" i="3" s="1"/>
  <c r="Q335" i="3"/>
  <c r="R335" i="3" s="1" a="1"/>
  <c r="R335" i="3" s="1"/>
  <c r="Q336" i="3"/>
  <c r="R336" i="3" s="1" a="1"/>
  <c r="R336" i="3" s="1"/>
  <c r="Q337" i="3"/>
  <c r="R337" i="3" s="1" a="1"/>
  <c r="R337" i="3" s="1"/>
  <c r="Q338" i="3"/>
  <c r="R338" i="3" s="1" a="1"/>
  <c r="R338" i="3" s="1"/>
  <c r="Q339" i="3"/>
  <c r="R339" i="3" s="1" a="1"/>
  <c r="R339" i="3" s="1"/>
  <c r="Q340" i="3"/>
  <c r="R340" i="3" s="1" a="1"/>
  <c r="R340" i="3" s="1"/>
  <c r="Q341" i="3"/>
  <c r="R341" i="3" s="1" a="1"/>
  <c r="R341" i="3" s="1"/>
  <c r="Q342" i="3"/>
  <c r="R342" i="3" s="1" a="1"/>
  <c r="R342" i="3" s="1"/>
  <c r="Q343" i="3"/>
  <c r="R343" i="3" s="1" a="1"/>
  <c r="R343" i="3" s="1"/>
  <c r="Q344" i="3"/>
  <c r="R344" i="3" s="1" a="1"/>
  <c r="R344" i="3" s="1"/>
  <c r="Q345" i="3"/>
  <c r="R345" i="3" s="1" a="1"/>
  <c r="R345" i="3" s="1"/>
  <c r="Q346" i="3"/>
  <c r="R346" i="3" s="1" a="1"/>
  <c r="R346" i="3" s="1"/>
  <c r="Q347" i="3"/>
  <c r="R347" i="3" s="1" a="1"/>
  <c r="R347" i="3" s="1"/>
  <c r="Q348" i="3"/>
  <c r="R348" i="3" s="1" a="1"/>
  <c r="R348" i="3" s="1"/>
  <c r="Q349" i="3"/>
  <c r="R349" i="3" s="1" a="1"/>
  <c r="R349" i="3" s="1"/>
  <c r="Q350" i="3"/>
  <c r="R350" i="3" s="1" a="1"/>
  <c r="R350" i="3" s="1"/>
  <c r="Q351" i="3"/>
  <c r="R351" i="3" s="1" a="1"/>
  <c r="R351" i="3" s="1"/>
  <c r="Q352" i="3"/>
  <c r="R352" i="3" s="1" a="1"/>
  <c r="R352" i="3" s="1"/>
  <c r="Q353" i="3"/>
  <c r="R353" i="3" s="1" a="1"/>
  <c r="R353" i="3" s="1"/>
  <c r="Q354" i="3"/>
  <c r="R354" i="3" s="1" a="1"/>
  <c r="R354" i="3" s="1"/>
  <c r="Q355" i="3"/>
  <c r="R355" i="3" s="1" a="1"/>
  <c r="R355" i="3" s="1"/>
  <c r="Q356" i="3"/>
  <c r="R356" i="3" s="1" a="1"/>
  <c r="R356" i="3" s="1"/>
  <c r="Q357" i="3"/>
  <c r="R357" i="3" s="1" a="1"/>
  <c r="R357" i="3" s="1"/>
  <c r="Q358" i="3"/>
  <c r="R358" i="3" s="1" a="1"/>
  <c r="R358" i="3" s="1"/>
  <c r="Q359" i="3"/>
  <c r="R359" i="3" s="1" a="1"/>
  <c r="R359" i="3" s="1"/>
  <c r="Q360" i="3"/>
  <c r="R360" i="3" s="1" a="1"/>
  <c r="R360" i="3" s="1"/>
  <c r="Q361" i="3"/>
  <c r="R361" i="3" s="1" a="1"/>
  <c r="R361" i="3" s="1"/>
  <c r="Q362" i="3"/>
  <c r="R362" i="3" s="1" a="1"/>
  <c r="R362" i="3" s="1"/>
  <c r="Q363" i="3"/>
  <c r="R363" i="3" s="1" a="1"/>
  <c r="R363" i="3" s="1"/>
  <c r="Q364" i="3"/>
  <c r="R364" i="3" s="1" a="1"/>
  <c r="R364" i="3" s="1"/>
  <c r="Q365" i="3"/>
  <c r="R365" i="3" s="1" a="1"/>
  <c r="R365" i="3" s="1"/>
  <c r="Q366" i="3"/>
  <c r="R366" i="3" s="1" a="1"/>
  <c r="R366" i="3" s="1"/>
  <c r="Q367" i="3"/>
  <c r="R367" i="3" s="1" a="1"/>
  <c r="R367" i="3" s="1"/>
  <c r="Q368" i="3"/>
  <c r="R368" i="3" s="1" a="1"/>
  <c r="R368" i="3" s="1"/>
  <c r="Q369" i="3"/>
  <c r="R369" i="3" s="1" a="1"/>
  <c r="R369" i="3" s="1"/>
  <c r="Q370" i="3"/>
  <c r="R370" i="3" s="1" a="1"/>
  <c r="R370" i="3" s="1"/>
  <c r="Q371" i="3"/>
  <c r="R371" i="3" s="1" a="1"/>
  <c r="R371" i="3" s="1"/>
  <c r="Q372" i="3"/>
  <c r="R372" i="3" s="1" a="1"/>
  <c r="R372" i="3" s="1"/>
  <c r="Q373" i="3"/>
  <c r="R373" i="3" s="1" a="1"/>
  <c r="R373" i="3" s="1"/>
  <c r="Q374" i="3"/>
  <c r="R374" i="3" s="1" a="1"/>
  <c r="R374" i="3" s="1"/>
  <c r="Q375" i="3"/>
  <c r="R375" i="3" s="1" a="1"/>
  <c r="R375" i="3" s="1"/>
  <c r="Q376" i="3"/>
  <c r="R376" i="3" s="1" a="1"/>
  <c r="R376" i="3" s="1"/>
  <c r="Q377" i="3"/>
  <c r="R377" i="3" s="1" a="1"/>
  <c r="R377" i="3" s="1"/>
  <c r="Q378" i="3"/>
  <c r="R378" i="3" s="1" a="1"/>
  <c r="R378" i="3" s="1"/>
  <c r="Q379" i="3"/>
  <c r="R379" i="3" s="1" a="1"/>
  <c r="R379" i="3" s="1"/>
  <c r="Q380" i="3"/>
  <c r="R380" i="3" s="1" a="1"/>
  <c r="R380" i="3" s="1"/>
  <c r="Q381" i="3"/>
  <c r="R381" i="3" s="1" a="1"/>
  <c r="R381" i="3" s="1"/>
  <c r="Q382" i="3"/>
  <c r="R382" i="3" s="1" a="1"/>
  <c r="R382" i="3" s="1"/>
  <c r="Q383" i="3"/>
  <c r="R383" i="3" s="1" a="1"/>
  <c r="R383" i="3" s="1"/>
  <c r="Q384" i="3"/>
  <c r="R384" i="3" s="1" a="1"/>
  <c r="R384" i="3" s="1"/>
  <c r="Q385" i="3"/>
  <c r="R385" i="3" s="1" a="1"/>
  <c r="R385" i="3" s="1"/>
  <c r="Q386" i="3"/>
  <c r="R386" i="3" s="1" a="1"/>
  <c r="R386" i="3" s="1"/>
  <c r="Q387" i="3"/>
  <c r="R387" i="3" s="1" a="1"/>
  <c r="R387" i="3" s="1"/>
  <c r="Q388" i="3"/>
  <c r="R388" i="3" s="1" a="1"/>
  <c r="R388" i="3" s="1"/>
  <c r="Q389" i="3"/>
  <c r="R389" i="3" s="1" a="1"/>
  <c r="R389" i="3" s="1"/>
  <c r="Q390" i="3"/>
  <c r="R390" i="3" s="1" a="1"/>
  <c r="R390" i="3" s="1"/>
  <c r="Q391" i="3"/>
  <c r="R391" i="3" s="1" a="1"/>
  <c r="R391" i="3" s="1"/>
  <c r="Q392" i="3"/>
  <c r="R392" i="3" s="1" a="1"/>
  <c r="R392" i="3" s="1"/>
  <c r="Q393" i="3"/>
  <c r="R393" i="3" s="1" a="1"/>
  <c r="R393" i="3" s="1"/>
  <c r="Q394" i="3"/>
  <c r="R394" i="3" s="1" a="1"/>
  <c r="R394" i="3" s="1"/>
  <c r="Q395" i="3"/>
  <c r="R395" i="3" s="1" a="1"/>
  <c r="R395" i="3" s="1"/>
  <c r="Q396" i="3"/>
  <c r="R396" i="3" s="1" a="1"/>
  <c r="R396" i="3" s="1"/>
  <c r="Q397" i="3"/>
  <c r="R397" i="3" s="1" a="1"/>
  <c r="R397" i="3" s="1"/>
  <c r="Q398" i="3"/>
  <c r="R398" i="3" s="1" a="1"/>
  <c r="R398" i="3" s="1"/>
  <c r="Q399" i="3"/>
  <c r="R399" i="3" s="1" a="1"/>
  <c r="R399" i="3" s="1"/>
  <c r="Q400" i="3"/>
  <c r="R400" i="3" s="1" a="1"/>
  <c r="R400" i="3" s="1"/>
  <c r="Q401" i="3"/>
  <c r="R401" i="3" s="1" a="1"/>
  <c r="R401" i="3" s="1"/>
  <c r="Q402" i="3"/>
  <c r="R402" i="3" s="1" a="1"/>
  <c r="R402" i="3" s="1"/>
  <c r="Q403" i="3"/>
  <c r="R403" i="3" s="1" a="1"/>
  <c r="R403" i="3" s="1"/>
  <c r="Q404" i="3"/>
  <c r="R404" i="3" s="1" a="1"/>
  <c r="R404" i="3" s="1"/>
  <c r="Q405" i="3"/>
  <c r="R405" i="3" s="1" a="1"/>
  <c r="R405" i="3" s="1"/>
  <c r="Q406" i="3"/>
  <c r="R406" i="3" s="1" a="1"/>
  <c r="R406" i="3" s="1"/>
  <c r="Q407" i="3"/>
  <c r="R407" i="3" s="1" a="1"/>
  <c r="R407" i="3" s="1"/>
  <c r="Q408" i="3"/>
  <c r="R408" i="3" s="1" a="1"/>
  <c r="R408" i="3" s="1"/>
  <c r="Q409" i="3"/>
  <c r="R409" i="3" s="1" a="1"/>
  <c r="R409" i="3" s="1"/>
  <c r="Q410" i="3"/>
  <c r="R410" i="3" s="1" a="1"/>
  <c r="R410" i="3" s="1"/>
  <c r="Q411" i="3"/>
  <c r="R411" i="3" s="1" a="1"/>
  <c r="R411" i="3" s="1"/>
  <c r="Q412" i="3"/>
  <c r="R412" i="3" s="1" a="1"/>
  <c r="R412" i="3" s="1"/>
  <c r="Q413" i="3"/>
  <c r="R413" i="3" s="1" a="1"/>
  <c r="R413" i="3" s="1"/>
  <c r="Q414" i="3"/>
  <c r="R414" i="3" s="1" a="1"/>
  <c r="R414" i="3" s="1"/>
  <c r="Q415" i="3"/>
  <c r="R415" i="3" s="1" a="1"/>
  <c r="R415" i="3" s="1"/>
  <c r="Q416" i="3"/>
  <c r="R416" i="3" s="1" a="1"/>
  <c r="R416" i="3" s="1"/>
  <c r="Q417" i="3"/>
  <c r="R417" i="3" s="1" a="1"/>
  <c r="R417" i="3" s="1"/>
  <c r="Q418" i="3"/>
  <c r="R418" i="3" s="1" a="1"/>
  <c r="R418" i="3" s="1"/>
  <c r="Q419" i="3"/>
  <c r="R419" i="3" s="1" a="1"/>
  <c r="R419" i="3" s="1"/>
  <c r="Q420" i="3"/>
  <c r="R420" i="3" s="1" a="1"/>
  <c r="R420" i="3" s="1"/>
  <c r="Q421" i="3"/>
  <c r="R421" i="3" s="1" a="1"/>
  <c r="R421" i="3" s="1"/>
  <c r="Q422" i="3"/>
  <c r="R422" i="3" s="1" a="1"/>
  <c r="R422" i="3" s="1"/>
  <c r="Q423" i="3"/>
  <c r="R423" i="3" s="1" a="1"/>
  <c r="R423" i="3" s="1"/>
  <c r="Q424" i="3"/>
  <c r="R424" i="3" s="1" a="1"/>
  <c r="R424" i="3" s="1"/>
  <c r="Q425" i="3"/>
  <c r="R425" i="3" s="1" a="1"/>
  <c r="R425" i="3" s="1"/>
  <c r="Q426" i="3"/>
  <c r="R426" i="3" s="1" a="1"/>
  <c r="R426" i="3" s="1"/>
  <c r="Q427" i="3"/>
  <c r="R427" i="3" s="1" a="1"/>
  <c r="R427" i="3" s="1"/>
  <c r="Q428" i="3"/>
  <c r="R428" i="3" s="1" a="1"/>
  <c r="R428" i="3" s="1"/>
  <c r="Q429" i="3"/>
  <c r="R429" i="3" s="1" a="1"/>
  <c r="R429" i="3" s="1"/>
  <c r="Q430" i="3"/>
  <c r="R430" i="3" s="1" a="1"/>
  <c r="R430" i="3" s="1"/>
  <c r="Q431" i="3"/>
  <c r="R431" i="3" s="1" a="1"/>
  <c r="R431" i="3" s="1"/>
  <c r="Q432" i="3"/>
  <c r="R432" i="3" s="1" a="1"/>
  <c r="R432" i="3" s="1"/>
  <c r="Q433" i="3"/>
  <c r="R433" i="3" s="1" a="1"/>
  <c r="R433" i="3" s="1"/>
  <c r="Q434" i="3"/>
  <c r="R434" i="3" s="1" a="1"/>
  <c r="R434" i="3" s="1"/>
  <c r="Q435" i="3"/>
  <c r="R435" i="3" s="1" a="1"/>
  <c r="R435" i="3" s="1"/>
  <c r="Q436" i="3"/>
  <c r="R436" i="3" s="1" a="1"/>
  <c r="R436" i="3" s="1"/>
  <c r="Q437" i="3"/>
  <c r="R437" i="3" s="1" a="1"/>
  <c r="R437" i="3" s="1"/>
  <c r="Q438" i="3"/>
  <c r="R438" i="3" s="1" a="1"/>
  <c r="R438" i="3" s="1"/>
  <c r="Q439" i="3"/>
  <c r="R439" i="3" s="1" a="1"/>
  <c r="R439" i="3" s="1"/>
  <c r="Q440" i="3"/>
  <c r="R440" i="3" s="1" a="1"/>
  <c r="R440" i="3" s="1"/>
  <c r="Q441" i="3"/>
  <c r="R441" i="3" s="1" a="1"/>
  <c r="R441" i="3" s="1"/>
  <c r="Q442" i="3"/>
  <c r="R442" i="3" s="1" a="1"/>
  <c r="R442" i="3" s="1"/>
  <c r="Q443" i="3"/>
  <c r="R443" i="3" s="1" a="1"/>
  <c r="R443" i="3" s="1"/>
  <c r="Q444" i="3"/>
  <c r="R444" i="3" s="1" a="1"/>
  <c r="R444" i="3" s="1"/>
  <c r="Q445" i="3"/>
  <c r="R445" i="3" s="1" a="1"/>
  <c r="R445" i="3" s="1"/>
  <c r="Q446" i="3"/>
  <c r="R446" i="3" s="1" a="1"/>
  <c r="R446" i="3" s="1"/>
  <c r="Q447" i="3"/>
  <c r="R447" i="3" s="1" a="1"/>
  <c r="R447" i="3" s="1"/>
  <c r="Q448" i="3"/>
  <c r="R448" i="3" s="1" a="1"/>
  <c r="R448" i="3" s="1"/>
  <c r="Q449" i="3"/>
  <c r="R449" i="3" s="1" a="1"/>
  <c r="R449" i="3" s="1"/>
  <c r="Q450" i="3"/>
  <c r="R450" i="3" s="1" a="1"/>
  <c r="R450" i="3" s="1"/>
  <c r="Q451" i="3"/>
  <c r="R451" i="3" s="1" a="1"/>
  <c r="R451" i="3" s="1"/>
  <c r="Q452" i="3"/>
  <c r="R452" i="3" s="1" a="1"/>
  <c r="R452" i="3" s="1"/>
  <c r="Q453" i="3"/>
  <c r="R453" i="3" s="1" a="1"/>
  <c r="R453" i="3" s="1"/>
  <c r="Q454" i="3"/>
  <c r="R454" i="3" s="1" a="1"/>
  <c r="R454" i="3" s="1"/>
  <c r="Q455" i="3"/>
  <c r="R455" i="3" s="1" a="1"/>
  <c r="R455" i="3" s="1"/>
  <c r="Q456" i="3"/>
  <c r="R456" i="3" s="1" a="1"/>
  <c r="R456" i="3" s="1"/>
  <c r="Q457" i="3"/>
  <c r="R457" i="3" s="1" a="1"/>
  <c r="R457" i="3" s="1"/>
  <c r="Q458" i="3"/>
  <c r="R458" i="3" s="1" a="1"/>
  <c r="R458" i="3" s="1"/>
  <c r="Q459" i="3"/>
  <c r="R459" i="3" s="1" a="1"/>
  <c r="R459" i="3" s="1"/>
  <c r="Q460" i="3"/>
  <c r="R460" i="3" s="1" a="1"/>
  <c r="R460" i="3" s="1"/>
  <c r="Q461" i="3"/>
  <c r="R461" i="3" s="1" a="1"/>
  <c r="R461" i="3" s="1"/>
  <c r="Q462" i="3"/>
  <c r="R462" i="3" s="1" a="1"/>
  <c r="R462" i="3" s="1"/>
  <c r="Q463" i="3"/>
  <c r="R463" i="3" s="1" a="1"/>
  <c r="R463" i="3" s="1"/>
  <c r="Q464" i="3"/>
  <c r="R464" i="3" s="1" a="1"/>
  <c r="R464" i="3" s="1"/>
  <c r="Q465" i="3"/>
  <c r="R465" i="3" s="1" a="1"/>
  <c r="R465" i="3" s="1"/>
  <c r="Q466" i="3"/>
  <c r="R466" i="3" s="1" a="1"/>
  <c r="R466" i="3" s="1"/>
  <c r="Q467" i="3"/>
  <c r="R467" i="3" s="1" a="1"/>
  <c r="R467" i="3" s="1"/>
  <c r="Q468" i="3"/>
  <c r="R468" i="3" s="1" a="1"/>
  <c r="R468" i="3" s="1"/>
  <c r="Q469" i="3"/>
  <c r="R469" i="3" s="1" a="1"/>
  <c r="R469" i="3" s="1"/>
  <c r="Q470" i="3"/>
  <c r="R470" i="3" s="1" a="1"/>
  <c r="R470" i="3" s="1"/>
  <c r="Q471" i="3"/>
  <c r="R471" i="3" s="1" a="1"/>
  <c r="R471" i="3" s="1"/>
  <c r="Q472" i="3"/>
  <c r="R472" i="3" s="1" a="1"/>
  <c r="R472" i="3" s="1"/>
  <c r="Q473" i="3"/>
  <c r="R473" i="3" s="1" a="1"/>
  <c r="R473" i="3" s="1"/>
  <c r="Q474" i="3"/>
  <c r="R474" i="3" s="1" a="1"/>
  <c r="R474" i="3" s="1"/>
  <c r="Q475" i="3"/>
  <c r="R475" i="3" s="1" a="1"/>
  <c r="R475" i="3" s="1"/>
  <c r="Q476" i="3"/>
  <c r="R476" i="3" s="1" a="1"/>
  <c r="R476" i="3" s="1"/>
  <c r="Q477" i="3"/>
  <c r="R477" i="3" s="1" a="1"/>
  <c r="R477" i="3" s="1"/>
  <c r="Q478" i="3"/>
  <c r="R478" i="3" s="1" a="1"/>
  <c r="R478" i="3" s="1"/>
  <c r="Q479" i="3"/>
  <c r="R479" i="3" s="1" a="1"/>
  <c r="R479" i="3" s="1"/>
  <c r="Q480" i="3"/>
  <c r="R480" i="3" s="1" a="1"/>
  <c r="R480" i="3" s="1"/>
  <c r="Q481" i="3"/>
  <c r="R481" i="3" s="1" a="1"/>
  <c r="R481" i="3" s="1"/>
  <c r="Q482" i="3"/>
  <c r="R482" i="3" s="1" a="1"/>
  <c r="R482" i="3" s="1"/>
  <c r="Q483" i="3"/>
  <c r="R483" i="3" s="1" a="1"/>
  <c r="R483" i="3" s="1"/>
  <c r="Q484" i="3"/>
  <c r="R484" i="3" s="1" a="1"/>
  <c r="R484" i="3" s="1"/>
  <c r="Q485" i="3"/>
  <c r="R485" i="3" s="1" a="1"/>
  <c r="R485" i="3" s="1"/>
  <c r="Q486" i="3"/>
  <c r="R486" i="3" s="1" a="1"/>
  <c r="R486" i="3" s="1"/>
  <c r="Q487" i="3"/>
  <c r="R487" i="3" s="1" a="1"/>
  <c r="R487" i="3" s="1"/>
  <c r="Q488" i="3"/>
  <c r="R488" i="3" s="1" a="1"/>
  <c r="R488" i="3" s="1"/>
  <c r="Q489" i="3"/>
  <c r="R489" i="3" s="1" a="1"/>
  <c r="R489" i="3" s="1"/>
  <c r="Q490" i="3"/>
  <c r="R490" i="3" s="1" a="1"/>
  <c r="R490" i="3" s="1"/>
  <c r="Q491" i="3"/>
  <c r="R491" i="3" s="1" a="1"/>
  <c r="R491" i="3" s="1"/>
  <c r="Q492" i="3"/>
  <c r="R492" i="3" s="1" a="1"/>
  <c r="R492" i="3" s="1"/>
  <c r="Q493" i="3"/>
  <c r="R493" i="3" s="1" a="1"/>
  <c r="R493" i="3" s="1"/>
  <c r="Q494" i="3"/>
  <c r="R494" i="3" s="1" a="1"/>
  <c r="R494" i="3" s="1"/>
  <c r="Q495" i="3"/>
  <c r="R495" i="3" s="1" a="1"/>
  <c r="R495" i="3" s="1"/>
  <c r="Q496" i="3"/>
  <c r="R496" i="3" s="1" a="1"/>
  <c r="R496" i="3" s="1"/>
  <c r="Q497" i="3"/>
  <c r="R497" i="3" s="1" a="1"/>
  <c r="R497" i="3" s="1"/>
  <c r="Q498" i="3"/>
  <c r="R498" i="3" s="1" a="1"/>
  <c r="R498" i="3" s="1"/>
  <c r="Q499" i="3"/>
  <c r="R499" i="3" s="1" a="1"/>
  <c r="R499" i="3" s="1"/>
  <c r="Q500" i="3"/>
  <c r="R500" i="3" s="1" a="1"/>
  <c r="R500" i="3" s="1"/>
  <c r="Q501" i="3"/>
  <c r="R501" i="3" s="1" a="1"/>
  <c r="R501" i="3" s="1"/>
  <c r="Q502" i="3"/>
  <c r="R502" i="3" s="1" a="1"/>
  <c r="R502" i="3" s="1"/>
  <c r="Q503" i="3"/>
  <c r="R503" i="3" s="1" a="1"/>
  <c r="R503" i="3" s="1"/>
  <c r="Q504" i="3"/>
  <c r="R504" i="3" s="1" a="1"/>
  <c r="R504" i="3" s="1"/>
  <c r="Q505" i="3"/>
  <c r="R505" i="3" s="1" a="1"/>
  <c r="R505" i="3" s="1"/>
  <c r="Q506" i="3"/>
  <c r="R506" i="3" s="1" a="1"/>
  <c r="R506" i="3" s="1"/>
  <c r="Q507" i="3"/>
  <c r="R507" i="3" s="1" a="1"/>
  <c r="R507" i="3" s="1"/>
  <c r="Q508" i="3"/>
  <c r="R508" i="3" s="1" a="1"/>
  <c r="R508" i="3" s="1"/>
  <c r="Q509" i="3"/>
  <c r="R509" i="3" s="1" a="1"/>
  <c r="R509" i="3" s="1"/>
  <c r="Q510" i="3"/>
  <c r="R510" i="3" s="1" a="1"/>
  <c r="R510" i="3" s="1"/>
  <c r="Q511" i="3"/>
  <c r="R511" i="3" s="1" a="1"/>
  <c r="R511" i="3" s="1"/>
  <c r="Q512" i="3"/>
  <c r="R512" i="3" s="1" a="1"/>
  <c r="R512" i="3" s="1"/>
  <c r="Q513" i="3"/>
  <c r="R513" i="3" s="1" a="1"/>
  <c r="R513" i="3" s="1"/>
  <c r="Q514" i="3"/>
  <c r="R514" i="3" s="1" a="1"/>
  <c r="R514" i="3" s="1"/>
  <c r="Q515" i="3"/>
  <c r="R515" i="3" s="1" a="1"/>
  <c r="R515" i="3" s="1"/>
  <c r="Q516" i="3"/>
  <c r="R516" i="3" s="1" a="1"/>
  <c r="R516" i="3" s="1"/>
  <c r="Q517" i="3"/>
  <c r="R517" i="3" s="1" a="1"/>
  <c r="R517" i="3" s="1"/>
  <c r="Q518" i="3"/>
  <c r="R518" i="3" s="1" a="1"/>
  <c r="R518" i="3" s="1"/>
  <c r="Q519" i="3"/>
  <c r="R519" i="3" s="1" a="1"/>
  <c r="R519" i="3" s="1"/>
  <c r="Q520" i="3"/>
  <c r="R520" i="3" s="1" a="1"/>
  <c r="R520" i="3" s="1"/>
  <c r="Q521" i="3"/>
  <c r="R521" i="3" s="1" a="1"/>
  <c r="R521" i="3" s="1"/>
  <c r="Q522" i="3"/>
  <c r="R522" i="3" s="1" a="1"/>
  <c r="R522" i="3" s="1"/>
  <c r="Q523" i="3"/>
  <c r="R523" i="3" s="1" a="1"/>
  <c r="R523" i="3" s="1"/>
  <c r="Q524" i="3"/>
  <c r="R524" i="3" s="1" a="1"/>
  <c r="R524" i="3" s="1"/>
  <c r="Q525" i="3"/>
  <c r="R525" i="3" s="1" a="1"/>
  <c r="R525" i="3" s="1"/>
  <c r="Q526" i="3"/>
  <c r="R526" i="3" s="1" a="1"/>
  <c r="R526" i="3" s="1"/>
  <c r="Q527" i="3"/>
  <c r="R527" i="3" s="1" a="1"/>
  <c r="R527" i="3" s="1"/>
  <c r="Q528" i="3"/>
  <c r="R528" i="3" s="1" a="1"/>
  <c r="R528" i="3" s="1"/>
  <c r="Q529" i="3"/>
  <c r="R529" i="3" s="1" a="1"/>
  <c r="R529" i="3" s="1"/>
  <c r="Q530" i="3"/>
  <c r="R530" i="3" s="1" a="1"/>
  <c r="R530" i="3" s="1"/>
  <c r="Q531" i="3"/>
  <c r="R531" i="3" s="1" a="1"/>
  <c r="R531" i="3" s="1"/>
  <c r="Q532" i="3"/>
  <c r="R532" i="3" s="1" a="1"/>
  <c r="R532" i="3" s="1"/>
  <c r="Q533" i="3"/>
  <c r="R533" i="3" s="1" a="1"/>
  <c r="R533" i="3" s="1"/>
  <c r="Q534" i="3"/>
  <c r="R534" i="3" s="1" a="1"/>
  <c r="R534" i="3" s="1"/>
  <c r="Q535" i="3"/>
  <c r="R535" i="3" s="1" a="1"/>
  <c r="R535" i="3" s="1"/>
  <c r="Q536" i="3"/>
  <c r="R536" i="3" s="1" a="1"/>
  <c r="R536" i="3" s="1"/>
  <c r="Q537" i="3"/>
  <c r="R537" i="3" s="1" a="1"/>
  <c r="R537" i="3" s="1"/>
  <c r="Q538" i="3"/>
  <c r="R538" i="3" s="1" a="1"/>
  <c r="R538" i="3" s="1"/>
  <c r="Q539" i="3"/>
  <c r="R539" i="3" s="1" a="1"/>
  <c r="R539" i="3" s="1"/>
  <c r="Q540" i="3"/>
  <c r="R540" i="3" s="1" a="1"/>
  <c r="R540" i="3" s="1"/>
  <c r="Q541" i="3"/>
  <c r="R541" i="3" s="1" a="1"/>
  <c r="R541" i="3" s="1"/>
  <c r="Q542" i="3"/>
  <c r="R542" i="3" s="1" a="1"/>
  <c r="R542" i="3" s="1"/>
  <c r="Q543" i="3"/>
  <c r="R543" i="3" s="1" a="1"/>
  <c r="R543" i="3" s="1"/>
  <c r="Q544" i="3"/>
  <c r="R544" i="3" s="1" a="1"/>
  <c r="R544" i="3" s="1"/>
  <c r="Q545" i="3"/>
  <c r="R545" i="3" s="1" a="1"/>
  <c r="R545" i="3" s="1"/>
  <c r="Q546" i="3"/>
  <c r="R546" i="3" s="1" a="1"/>
  <c r="R546" i="3" s="1"/>
  <c r="Q547" i="3"/>
  <c r="R547" i="3" s="1" a="1"/>
  <c r="R547" i="3" s="1"/>
  <c r="Q548" i="3"/>
  <c r="R548" i="3" s="1" a="1"/>
  <c r="R548" i="3" s="1"/>
  <c r="Q549" i="3"/>
  <c r="R549" i="3" s="1" a="1"/>
  <c r="R549" i="3" s="1"/>
  <c r="Q550" i="3"/>
  <c r="R550" i="3" s="1" a="1"/>
  <c r="R550" i="3" s="1"/>
  <c r="Q551" i="3"/>
  <c r="R551" i="3" s="1" a="1"/>
  <c r="R551" i="3" s="1"/>
  <c r="Q552" i="3"/>
  <c r="R552" i="3" s="1" a="1"/>
  <c r="R552" i="3" s="1"/>
  <c r="Q553" i="3"/>
  <c r="R553" i="3" s="1" a="1"/>
  <c r="R553" i="3" s="1"/>
  <c r="Q554" i="3"/>
  <c r="R554" i="3" s="1" a="1"/>
  <c r="R554" i="3" s="1"/>
  <c r="Q555" i="3"/>
  <c r="R555" i="3" s="1" a="1"/>
  <c r="R555" i="3" s="1"/>
  <c r="Q556" i="3"/>
  <c r="R556" i="3" s="1" a="1"/>
  <c r="R556" i="3" s="1"/>
  <c r="Q557" i="3"/>
  <c r="R557" i="3" s="1" a="1"/>
  <c r="R557" i="3" s="1"/>
  <c r="Q558" i="3"/>
  <c r="R558" i="3" s="1" a="1"/>
  <c r="R558" i="3" s="1"/>
  <c r="Q559" i="3"/>
  <c r="R559" i="3" s="1" a="1"/>
  <c r="R559" i="3" s="1"/>
  <c r="Q560" i="3"/>
  <c r="R560" i="3" s="1" a="1"/>
  <c r="R560" i="3" s="1"/>
  <c r="Q561" i="3"/>
  <c r="R561" i="3" s="1" a="1"/>
  <c r="R561" i="3" s="1"/>
  <c r="Q562" i="3"/>
  <c r="R562" i="3" s="1" a="1"/>
  <c r="R562" i="3" s="1"/>
  <c r="Q563" i="3"/>
  <c r="R563" i="3" s="1" a="1"/>
  <c r="R563" i="3" s="1"/>
  <c r="Q564" i="3"/>
  <c r="R564" i="3" s="1" a="1"/>
  <c r="R564" i="3" s="1"/>
  <c r="Q565" i="3"/>
  <c r="R565" i="3" s="1" a="1"/>
  <c r="R565" i="3" s="1"/>
  <c r="Q566" i="3"/>
  <c r="R566" i="3" s="1" a="1"/>
  <c r="R566" i="3" s="1"/>
  <c r="Q567" i="3"/>
  <c r="R567" i="3" s="1" a="1"/>
  <c r="R567" i="3" s="1"/>
  <c r="Q568" i="3"/>
  <c r="R568" i="3" s="1" a="1"/>
  <c r="R568" i="3" s="1"/>
  <c r="Q569" i="3"/>
  <c r="R569" i="3" s="1" a="1"/>
  <c r="R569" i="3" s="1"/>
  <c r="Q570" i="3"/>
  <c r="R570" i="3" s="1" a="1"/>
  <c r="R570" i="3" s="1"/>
  <c r="Q571" i="3"/>
  <c r="R571" i="3" s="1" a="1"/>
  <c r="R571" i="3" s="1"/>
  <c r="Q572" i="3"/>
  <c r="R572" i="3" s="1" a="1"/>
  <c r="R572" i="3" s="1"/>
  <c r="Q573" i="3"/>
  <c r="R573" i="3" s="1" a="1"/>
  <c r="R573" i="3" s="1"/>
  <c r="Q574" i="3"/>
  <c r="R574" i="3" s="1" a="1"/>
  <c r="R574" i="3" s="1"/>
  <c r="Q575" i="3"/>
  <c r="R575" i="3" s="1" a="1"/>
  <c r="R575" i="3" s="1"/>
  <c r="Q576" i="3"/>
  <c r="R576" i="3" s="1" a="1"/>
  <c r="R576" i="3" s="1"/>
  <c r="Q577" i="3"/>
  <c r="R577" i="3" s="1" a="1"/>
  <c r="R577" i="3" s="1"/>
  <c r="Q578" i="3"/>
  <c r="R578" i="3" s="1" a="1"/>
  <c r="R578" i="3" s="1"/>
  <c r="Q579" i="3"/>
  <c r="R579" i="3" s="1" a="1"/>
  <c r="R579" i="3" s="1"/>
  <c r="Q580" i="3"/>
  <c r="R580" i="3" s="1" a="1"/>
  <c r="R580" i="3" s="1"/>
  <c r="Q581" i="3"/>
  <c r="R581" i="3" s="1" a="1"/>
  <c r="R581" i="3" s="1"/>
  <c r="Q582" i="3"/>
  <c r="R582" i="3" s="1" a="1"/>
  <c r="R582" i="3" s="1"/>
  <c r="Q583" i="3"/>
  <c r="R583" i="3" s="1" a="1"/>
  <c r="R583" i="3" s="1"/>
  <c r="Q584" i="3"/>
  <c r="R584" i="3" s="1" a="1"/>
  <c r="R584" i="3" s="1"/>
  <c r="Q585" i="3"/>
  <c r="R585" i="3" s="1" a="1"/>
  <c r="R585" i="3" s="1"/>
  <c r="Q586" i="3"/>
  <c r="R586" i="3" s="1" a="1"/>
  <c r="R586" i="3" s="1"/>
  <c r="Q587" i="3"/>
  <c r="R587" i="3" s="1" a="1"/>
  <c r="R587" i="3" s="1"/>
  <c r="Q588" i="3"/>
  <c r="R588" i="3" s="1" a="1"/>
  <c r="R588" i="3" s="1"/>
  <c r="Q589" i="3"/>
  <c r="R589" i="3" s="1" a="1"/>
  <c r="R589" i="3" s="1"/>
  <c r="Q590" i="3"/>
  <c r="R590" i="3" s="1" a="1"/>
  <c r="R590" i="3" s="1"/>
  <c r="Q591" i="3"/>
  <c r="R591" i="3" s="1" a="1"/>
  <c r="R591" i="3" s="1"/>
  <c r="Q592" i="3"/>
  <c r="R592" i="3" s="1" a="1"/>
  <c r="R592" i="3" s="1"/>
  <c r="Q593" i="3"/>
  <c r="R593" i="3" s="1" a="1"/>
  <c r="R593" i="3" s="1"/>
  <c r="Q594" i="3"/>
  <c r="R594" i="3" s="1" a="1"/>
  <c r="R594" i="3" s="1"/>
  <c r="Q595" i="3"/>
  <c r="R595" i="3" s="1" a="1"/>
  <c r="R595" i="3" s="1"/>
  <c r="Q596" i="3"/>
  <c r="R596" i="3" s="1" a="1"/>
  <c r="R596" i="3" s="1"/>
  <c r="Q597" i="3"/>
  <c r="R597" i="3" s="1" a="1"/>
  <c r="R597" i="3" s="1"/>
  <c r="Q598" i="3"/>
  <c r="R598" i="3" s="1" a="1"/>
  <c r="R598" i="3" s="1"/>
  <c r="Q599" i="3"/>
  <c r="R599" i="3" s="1" a="1"/>
  <c r="R599" i="3" s="1"/>
  <c r="Q600" i="3"/>
  <c r="R600" i="3" s="1" a="1"/>
  <c r="R600" i="3" s="1"/>
  <c r="Q601" i="3"/>
  <c r="R601" i="3" s="1" a="1"/>
  <c r="R601" i="3" s="1"/>
  <c r="Q602" i="3"/>
  <c r="R602" i="3" s="1" a="1"/>
  <c r="R602" i="3" s="1"/>
  <c r="Q603" i="3"/>
  <c r="R603" i="3" s="1" a="1"/>
  <c r="R603" i="3" s="1"/>
  <c r="Q604" i="3"/>
  <c r="R604" i="3" s="1" a="1"/>
  <c r="R604" i="3" s="1"/>
  <c r="Q605" i="3"/>
  <c r="R605" i="3" s="1" a="1"/>
  <c r="R605" i="3" s="1"/>
  <c r="Q606" i="3"/>
  <c r="R606" i="3" s="1" a="1"/>
  <c r="R606" i="3" s="1"/>
  <c r="Q607" i="3"/>
  <c r="R607" i="3" s="1" a="1"/>
  <c r="R607" i="3" s="1"/>
  <c r="Q608" i="3"/>
  <c r="R608" i="3" s="1" a="1"/>
  <c r="R608" i="3" s="1"/>
  <c r="Q609" i="3"/>
  <c r="R609" i="3" s="1" a="1"/>
  <c r="R609" i="3" s="1"/>
  <c r="Q610" i="3"/>
  <c r="R610" i="3" s="1" a="1"/>
  <c r="R610" i="3" s="1"/>
  <c r="Q611" i="3"/>
  <c r="R611" i="3" s="1" a="1"/>
  <c r="R611" i="3" s="1"/>
  <c r="Q612" i="3"/>
  <c r="R612" i="3" s="1" a="1"/>
  <c r="R612" i="3" s="1"/>
  <c r="Q613" i="3"/>
  <c r="R613" i="3" s="1" a="1"/>
  <c r="R613" i="3" s="1"/>
  <c r="Q614" i="3"/>
  <c r="R614" i="3" s="1" a="1"/>
  <c r="R614" i="3" s="1"/>
  <c r="Q615" i="3"/>
  <c r="R615" i="3" s="1" a="1"/>
  <c r="R615" i="3" s="1"/>
  <c r="Q616" i="3"/>
  <c r="R616" i="3" s="1" a="1"/>
  <c r="R616" i="3" s="1"/>
  <c r="Q617" i="3"/>
  <c r="R617" i="3" s="1" a="1"/>
  <c r="R617" i="3" s="1"/>
  <c r="Q618" i="3"/>
  <c r="R618" i="3" s="1" a="1"/>
  <c r="R618" i="3" s="1"/>
  <c r="Q619" i="3"/>
  <c r="R619" i="3" s="1" a="1"/>
  <c r="R619" i="3" s="1"/>
  <c r="Q620" i="3"/>
  <c r="R620" i="3" s="1" a="1"/>
  <c r="R620" i="3" s="1"/>
  <c r="Q621" i="3"/>
  <c r="R621" i="3" s="1" a="1"/>
  <c r="R621" i="3" s="1"/>
  <c r="Q622" i="3"/>
  <c r="R622" i="3" s="1" a="1"/>
  <c r="R622" i="3" s="1"/>
  <c r="Q623" i="3"/>
  <c r="R623" i="3" s="1" a="1"/>
  <c r="R623" i="3" s="1"/>
  <c r="Q624" i="3"/>
  <c r="R624" i="3" s="1" a="1"/>
  <c r="R624" i="3" s="1"/>
  <c r="Q625" i="3"/>
  <c r="R625" i="3" s="1" a="1"/>
  <c r="R625" i="3" s="1"/>
  <c r="Q626" i="3"/>
  <c r="R626" i="3" s="1" a="1"/>
  <c r="R626" i="3" s="1"/>
  <c r="Q627" i="3"/>
  <c r="R627" i="3" s="1" a="1"/>
  <c r="R627" i="3" s="1"/>
  <c r="Q628" i="3"/>
  <c r="R628" i="3" s="1" a="1"/>
  <c r="R628" i="3" s="1"/>
  <c r="Q629" i="3"/>
  <c r="R629" i="3" s="1" a="1"/>
  <c r="R629" i="3" s="1"/>
  <c r="Q630" i="3"/>
  <c r="R630" i="3" s="1" a="1"/>
  <c r="R630" i="3" s="1"/>
  <c r="Q631" i="3"/>
  <c r="R631" i="3" s="1" a="1"/>
  <c r="R631" i="3" s="1"/>
  <c r="Q632" i="3"/>
  <c r="R632" i="3" s="1" a="1"/>
  <c r="R632" i="3" s="1"/>
  <c r="Q633" i="3"/>
  <c r="R633" i="3" s="1" a="1"/>
  <c r="R633" i="3" s="1"/>
  <c r="Q634" i="3"/>
  <c r="R634" i="3" s="1" a="1"/>
  <c r="R634" i="3" s="1"/>
  <c r="Q635" i="3"/>
  <c r="R635" i="3" s="1" a="1"/>
  <c r="R635" i="3" s="1"/>
  <c r="Q636" i="3"/>
  <c r="R636" i="3" s="1" a="1"/>
  <c r="R636" i="3" s="1"/>
  <c r="Q637" i="3"/>
  <c r="R637" i="3" s="1" a="1"/>
  <c r="R637" i="3" s="1"/>
  <c r="Q638" i="3"/>
  <c r="R638" i="3" s="1" a="1"/>
  <c r="R638" i="3" s="1"/>
  <c r="Q639" i="3"/>
  <c r="R639" i="3" s="1" a="1"/>
  <c r="R639" i="3" s="1"/>
  <c r="Q640" i="3"/>
  <c r="R640" i="3" s="1" a="1"/>
  <c r="R640" i="3" s="1"/>
  <c r="Q641" i="3"/>
  <c r="R641" i="3" s="1" a="1"/>
  <c r="R641" i="3" s="1"/>
  <c r="Q642" i="3"/>
  <c r="R642" i="3" s="1" a="1"/>
  <c r="R642" i="3" s="1"/>
  <c r="Q643" i="3"/>
  <c r="R643" i="3" s="1" a="1"/>
  <c r="R643" i="3" s="1"/>
  <c r="Q644" i="3"/>
  <c r="R644" i="3" s="1" a="1"/>
  <c r="R644" i="3" s="1"/>
  <c r="Q645" i="3"/>
  <c r="R645" i="3" s="1" a="1"/>
  <c r="R645" i="3" s="1"/>
  <c r="Q646" i="3"/>
  <c r="R646" i="3" s="1" a="1"/>
  <c r="R646" i="3" s="1"/>
  <c r="Q647" i="3"/>
  <c r="R647" i="3" s="1" a="1"/>
  <c r="R647" i="3" s="1"/>
  <c r="Q3" i="3"/>
  <c r="R3" i="3" s="1" a="1"/>
  <c r="R3" i="3" s="1"/>
  <c r="AB12" i="3"/>
  <c r="AB11" i="3"/>
  <c r="X647" i="3"/>
  <c r="U647" i="3"/>
  <c r="X646" i="3"/>
  <c r="U646" i="3"/>
  <c r="X645" i="3"/>
  <c r="U645" i="3"/>
  <c r="X644" i="3"/>
  <c r="U644" i="3"/>
  <c r="X643" i="3"/>
  <c r="U643" i="3"/>
  <c r="X642" i="3"/>
  <c r="U642" i="3"/>
  <c r="X641" i="3"/>
  <c r="U641" i="3"/>
  <c r="X640" i="3"/>
  <c r="U640" i="3"/>
  <c r="X639" i="3"/>
  <c r="U639" i="3"/>
  <c r="X638" i="3"/>
  <c r="U638" i="3"/>
  <c r="X637" i="3"/>
  <c r="U637" i="3"/>
  <c r="X636" i="3"/>
  <c r="U636" i="3"/>
  <c r="X635" i="3"/>
  <c r="U635" i="3"/>
  <c r="X634" i="3"/>
  <c r="U634" i="3"/>
  <c r="X633" i="3"/>
  <c r="U633" i="3"/>
  <c r="X632" i="3"/>
  <c r="U632" i="3"/>
  <c r="X631" i="3"/>
  <c r="U631" i="3"/>
  <c r="X630" i="3"/>
  <c r="U630" i="3"/>
  <c r="X629" i="3"/>
  <c r="U629" i="3"/>
  <c r="X628" i="3"/>
  <c r="U628" i="3"/>
  <c r="X627" i="3"/>
  <c r="U627" i="3"/>
  <c r="X626" i="3"/>
  <c r="U626" i="3"/>
  <c r="X625" i="3"/>
  <c r="U625" i="3"/>
  <c r="X624" i="3"/>
  <c r="U624" i="3"/>
  <c r="X623" i="3"/>
  <c r="U623" i="3"/>
  <c r="X622" i="3"/>
  <c r="U622" i="3"/>
  <c r="X621" i="3"/>
  <c r="U621" i="3"/>
  <c r="X620" i="3"/>
  <c r="U620" i="3"/>
  <c r="X619" i="3"/>
  <c r="U619" i="3"/>
  <c r="X618" i="3"/>
  <c r="U618" i="3"/>
  <c r="X617" i="3"/>
  <c r="U617" i="3"/>
  <c r="X616" i="3"/>
  <c r="U616" i="3"/>
  <c r="X615" i="3"/>
  <c r="U615" i="3"/>
  <c r="X614" i="3"/>
  <c r="U614" i="3"/>
  <c r="X613" i="3"/>
  <c r="U613" i="3"/>
  <c r="X612" i="3"/>
  <c r="U612" i="3"/>
  <c r="X611" i="3"/>
  <c r="U611" i="3"/>
  <c r="X610" i="3"/>
  <c r="U610" i="3"/>
  <c r="X609" i="3"/>
  <c r="U609" i="3"/>
  <c r="X608" i="3"/>
  <c r="U608" i="3"/>
  <c r="X607" i="3"/>
  <c r="U607" i="3"/>
  <c r="X606" i="3"/>
  <c r="U606" i="3"/>
  <c r="X605" i="3"/>
  <c r="U605" i="3"/>
  <c r="X604" i="3"/>
  <c r="U604" i="3"/>
  <c r="X603" i="3"/>
  <c r="U603" i="3"/>
  <c r="X602" i="3"/>
  <c r="U602" i="3"/>
  <c r="X601" i="3"/>
  <c r="U601" i="3"/>
  <c r="X600" i="3"/>
  <c r="U600" i="3"/>
  <c r="X599" i="3"/>
  <c r="U599" i="3"/>
  <c r="X598" i="3"/>
  <c r="U598" i="3"/>
  <c r="X597" i="3"/>
  <c r="U597" i="3"/>
  <c r="X596" i="3"/>
  <c r="U596" i="3"/>
  <c r="X595" i="3"/>
  <c r="U595" i="3"/>
  <c r="X594" i="3"/>
  <c r="U594" i="3"/>
  <c r="X593" i="3"/>
  <c r="U593" i="3"/>
  <c r="X592" i="3"/>
  <c r="U592" i="3"/>
  <c r="X591" i="3"/>
  <c r="U591" i="3"/>
  <c r="X590" i="3"/>
  <c r="U590" i="3"/>
  <c r="X589" i="3"/>
  <c r="U589" i="3"/>
  <c r="X588" i="3"/>
  <c r="U588" i="3"/>
  <c r="X587" i="3"/>
  <c r="U587" i="3"/>
  <c r="X586" i="3"/>
  <c r="U586" i="3"/>
  <c r="X585" i="3"/>
  <c r="U585" i="3"/>
  <c r="X584" i="3"/>
  <c r="U584" i="3"/>
  <c r="X583" i="3"/>
  <c r="U583" i="3"/>
  <c r="X582" i="3"/>
  <c r="U582" i="3"/>
  <c r="X581" i="3"/>
  <c r="U581" i="3"/>
  <c r="X580" i="3"/>
  <c r="U580" i="3"/>
  <c r="X579" i="3"/>
  <c r="U579" i="3"/>
  <c r="X578" i="3"/>
  <c r="U578" i="3"/>
  <c r="X577" i="3"/>
  <c r="U577" i="3"/>
  <c r="X576" i="3"/>
  <c r="U576" i="3"/>
  <c r="X575" i="3"/>
  <c r="U575" i="3"/>
  <c r="X574" i="3"/>
  <c r="U574" i="3"/>
  <c r="X573" i="3"/>
  <c r="U573" i="3"/>
  <c r="X572" i="3"/>
  <c r="U572" i="3"/>
  <c r="X571" i="3"/>
  <c r="U571" i="3"/>
  <c r="X570" i="3"/>
  <c r="U570" i="3"/>
  <c r="X569" i="3"/>
  <c r="U569" i="3"/>
  <c r="X568" i="3"/>
  <c r="U568" i="3"/>
  <c r="X567" i="3"/>
  <c r="U567" i="3"/>
  <c r="X566" i="3"/>
  <c r="U566" i="3"/>
  <c r="X565" i="3"/>
  <c r="U565" i="3"/>
  <c r="X564" i="3"/>
  <c r="U564" i="3"/>
  <c r="X563" i="3"/>
  <c r="U563" i="3"/>
  <c r="X562" i="3"/>
  <c r="U562" i="3"/>
  <c r="X561" i="3"/>
  <c r="U561" i="3"/>
  <c r="X560" i="3"/>
  <c r="U560" i="3"/>
  <c r="X559" i="3"/>
  <c r="U559" i="3"/>
  <c r="X558" i="3"/>
  <c r="U558" i="3"/>
  <c r="X557" i="3"/>
  <c r="U557" i="3"/>
  <c r="X556" i="3"/>
  <c r="U556" i="3"/>
  <c r="X555" i="3"/>
  <c r="U555" i="3"/>
  <c r="X554" i="3"/>
  <c r="U554" i="3"/>
  <c r="X553" i="3"/>
  <c r="U553" i="3"/>
  <c r="X552" i="3"/>
  <c r="U552" i="3"/>
  <c r="X551" i="3"/>
  <c r="U551" i="3"/>
  <c r="X550" i="3"/>
  <c r="U550" i="3"/>
  <c r="X549" i="3"/>
  <c r="U549" i="3"/>
  <c r="X548" i="3"/>
  <c r="U548" i="3"/>
  <c r="X547" i="3"/>
  <c r="U547" i="3"/>
  <c r="X546" i="3"/>
  <c r="U546" i="3"/>
  <c r="X545" i="3"/>
  <c r="U545" i="3"/>
  <c r="X544" i="3"/>
  <c r="U544" i="3"/>
  <c r="X543" i="3"/>
  <c r="U543" i="3"/>
  <c r="X542" i="3"/>
  <c r="U542" i="3"/>
  <c r="X541" i="3"/>
  <c r="U541" i="3"/>
  <c r="X540" i="3"/>
  <c r="U540" i="3"/>
  <c r="X539" i="3"/>
  <c r="U539" i="3"/>
  <c r="X538" i="3"/>
  <c r="U538" i="3"/>
  <c r="X537" i="3"/>
  <c r="U537" i="3"/>
  <c r="X536" i="3"/>
  <c r="U536" i="3"/>
  <c r="X535" i="3"/>
  <c r="U535" i="3"/>
  <c r="X534" i="3"/>
  <c r="U534" i="3"/>
  <c r="X533" i="3"/>
  <c r="U533" i="3"/>
  <c r="X532" i="3"/>
  <c r="U532" i="3"/>
  <c r="X531" i="3"/>
  <c r="U531" i="3"/>
  <c r="X530" i="3"/>
  <c r="U530" i="3"/>
  <c r="X529" i="3"/>
  <c r="U529" i="3"/>
  <c r="X528" i="3"/>
  <c r="U528" i="3"/>
  <c r="X527" i="3"/>
  <c r="U527" i="3"/>
  <c r="X526" i="3"/>
  <c r="U526" i="3"/>
  <c r="X525" i="3"/>
  <c r="U525" i="3"/>
  <c r="X524" i="3"/>
  <c r="U524" i="3"/>
  <c r="X523" i="3"/>
  <c r="U523" i="3"/>
  <c r="X522" i="3"/>
  <c r="U522" i="3"/>
  <c r="X521" i="3"/>
  <c r="U521" i="3"/>
  <c r="X520" i="3"/>
  <c r="U520" i="3"/>
  <c r="X519" i="3"/>
  <c r="U519" i="3"/>
  <c r="X518" i="3"/>
  <c r="U518" i="3"/>
  <c r="X517" i="3"/>
  <c r="U517" i="3"/>
  <c r="X516" i="3"/>
  <c r="U516" i="3"/>
  <c r="X515" i="3"/>
  <c r="U515" i="3"/>
  <c r="X514" i="3"/>
  <c r="U514" i="3"/>
  <c r="X513" i="3"/>
  <c r="U513" i="3"/>
  <c r="X512" i="3"/>
  <c r="U512" i="3"/>
  <c r="X511" i="3"/>
  <c r="U511" i="3"/>
  <c r="X510" i="3"/>
  <c r="U510" i="3"/>
  <c r="X509" i="3"/>
  <c r="U509" i="3"/>
  <c r="X508" i="3"/>
  <c r="U508" i="3"/>
  <c r="X507" i="3"/>
  <c r="U507" i="3"/>
  <c r="X506" i="3"/>
  <c r="U506" i="3"/>
  <c r="X505" i="3"/>
  <c r="U505" i="3"/>
  <c r="X504" i="3"/>
  <c r="U504" i="3"/>
  <c r="X503" i="3"/>
  <c r="U503" i="3"/>
  <c r="X502" i="3"/>
  <c r="U502" i="3"/>
  <c r="X501" i="3"/>
  <c r="U501" i="3"/>
  <c r="X500" i="3"/>
  <c r="U500" i="3"/>
  <c r="X499" i="3"/>
  <c r="U499" i="3"/>
  <c r="X498" i="3"/>
  <c r="U498" i="3"/>
  <c r="X497" i="3"/>
  <c r="U497" i="3"/>
  <c r="X496" i="3"/>
  <c r="U496" i="3"/>
  <c r="X495" i="3"/>
  <c r="U495" i="3"/>
  <c r="X494" i="3"/>
  <c r="U494" i="3"/>
  <c r="X493" i="3"/>
  <c r="U493" i="3"/>
  <c r="X492" i="3"/>
  <c r="U492" i="3"/>
  <c r="X491" i="3"/>
  <c r="U491" i="3"/>
  <c r="X490" i="3"/>
  <c r="U490" i="3"/>
  <c r="X489" i="3"/>
  <c r="U489" i="3"/>
  <c r="X488" i="3"/>
  <c r="U488" i="3"/>
  <c r="X487" i="3"/>
  <c r="U487" i="3"/>
  <c r="X486" i="3"/>
  <c r="U486" i="3"/>
  <c r="X485" i="3"/>
  <c r="U485" i="3"/>
  <c r="X484" i="3"/>
  <c r="U484" i="3"/>
  <c r="X483" i="3"/>
  <c r="U483" i="3"/>
  <c r="X482" i="3"/>
  <c r="U482" i="3"/>
  <c r="X481" i="3"/>
  <c r="U481" i="3"/>
  <c r="X480" i="3"/>
  <c r="U480" i="3"/>
  <c r="X479" i="3"/>
  <c r="U479" i="3"/>
  <c r="X478" i="3"/>
  <c r="U478" i="3"/>
  <c r="X477" i="3"/>
  <c r="U477" i="3"/>
  <c r="X476" i="3"/>
  <c r="U476" i="3"/>
  <c r="X475" i="3"/>
  <c r="U475" i="3"/>
  <c r="X474" i="3"/>
  <c r="U474" i="3"/>
  <c r="X473" i="3"/>
  <c r="U473" i="3"/>
  <c r="X472" i="3"/>
  <c r="U472" i="3"/>
  <c r="X471" i="3"/>
  <c r="U471" i="3"/>
  <c r="X470" i="3"/>
  <c r="U470" i="3"/>
  <c r="X469" i="3"/>
  <c r="U469" i="3"/>
  <c r="X468" i="3"/>
  <c r="U468" i="3"/>
  <c r="X467" i="3"/>
  <c r="U467" i="3"/>
  <c r="X466" i="3"/>
  <c r="U466" i="3"/>
  <c r="X465" i="3"/>
  <c r="U465" i="3"/>
  <c r="X464" i="3"/>
  <c r="U464" i="3"/>
  <c r="X463" i="3"/>
  <c r="U463" i="3"/>
  <c r="X462" i="3"/>
  <c r="U462" i="3"/>
  <c r="X461" i="3"/>
  <c r="U461" i="3"/>
  <c r="X460" i="3"/>
  <c r="U460" i="3"/>
  <c r="X459" i="3"/>
  <c r="U459" i="3"/>
  <c r="X458" i="3"/>
  <c r="U458" i="3"/>
  <c r="X457" i="3"/>
  <c r="U457" i="3"/>
  <c r="X456" i="3"/>
  <c r="U456" i="3"/>
  <c r="X455" i="3"/>
  <c r="U455" i="3"/>
  <c r="X454" i="3"/>
  <c r="U454" i="3"/>
  <c r="X453" i="3"/>
  <c r="U453" i="3"/>
  <c r="X452" i="3"/>
  <c r="U452" i="3"/>
  <c r="X451" i="3"/>
  <c r="U451" i="3"/>
  <c r="X450" i="3"/>
  <c r="U450" i="3"/>
  <c r="X449" i="3"/>
  <c r="U449" i="3"/>
  <c r="X448" i="3"/>
  <c r="U448" i="3"/>
  <c r="X447" i="3"/>
  <c r="U447" i="3"/>
  <c r="X446" i="3"/>
  <c r="U446" i="3"/>
  <c r="X445" i="3"/>
  <c r="U445" i="3"/>
  <c r="X444" i="3"/>
  <c r="U444" i="3"/>
  <c r="X443" i="3"/>
  <c r="U443" i="3"/>
  <c r="X442" i="3"/>
  <c r="U442" i="3"/>
  <c r="X441" i="3"/>
  <c r="U441" i="3"/>
  <c r="X440" i="3"/>
  <c r="U440" i="3"/>
  <c r="X439" i="3"/>
  <c r="U439" i="3"/>
  <c r="X438" i="3"/>
  <c r="U438" i="3"/>
  <c r="X437" i="3"/>
  <c r="U437" i="3"/>
  <c r="X436" i="3"/>
  <c r="U436" i="3"/>
  <c r="X435" i="3"/>
  <c r="U435" i="3"/>
  <c r="X434" i="3"/>
  <c r="U434" i="3"/>
  <c r="X433" i="3"/>
  <c r="U433" i="3"/>
  <c r="X432" i="3"/>
  <c r="U432" i="3"/>
  <c r="X431" i="3"/>
  <c r="U431" i="3"/>
  <c r="X430" i="3"/>
  <c r="U430" i="3"/>
  <c r="X429" i="3"/>
  <c r="U429" i="3"/>
  <c r="X428" i="3"/>
  <c r="U428" i="3"/>
  <c r="X427" i="3"/>
  <c r="U427" i="3"/>
  <c r="X426" i="3"/>
  <c r="U426" i="3"/>
  <c r="X425" i="3"/>
  <c r="U425" i="3"/>
  <c r="X424" i="3"/>
  <c r="U424" i="3"/>
  <c r="X423" i="3"/>
  <c r="U423" i="3"/>
  <c r="X422" i="3"/>
  <c r="U422" i="3"/>
  <c r="X421" i="3"/>
  <c r="U421" i="3"/>
  <c r="X420" i="3"/>
  <c r="U420" i="3"/>
  <c r="X419" i="3"/>
  <c r="U419" i="3"/>
  <c r="X418" i="3"/>
  <c r="U418" i="3"/>
  <c r="X417" i="3"/>
  <c r="U417" i="3"/>
  <c r="X416" i="3"/>
  <c r="U416" i="3"/>
  <c r="X415" i="3"/>
  <c r="U415" i="3"/>
  <c r="X414" i="3"/>
  <c r="U414" i="3"/>
  <c r="X413" i="3"/>
  <c r="U413" i="3"/>
  <c r="X412" i="3"/>
  <c r="U412" i="3"/>
  <c r="X411" i="3"/>
  <c r="U411" i="3"/>
  <c r="X410" i="3"/>
  <c r="U410" i="3"/>
  <c r="X409" i="3"/>
  <c r="U409" i="3"/>
  <c r="X408" i="3"/>
  <c r="U408" i="3"/>
  <c r="X407" i="3"/>
  <c r="U407" i="3"/>
  <c r="X406" i="3"/>
  <c r="U406" i="3"/>
  <c r="X405" i="3"/>
  <c r="U405" i="3"/>
  <c r="X404" i="3"/>
  <c r="U404" i="3"/>
  <c r="X403" i="3"/>
  <c r="U403" i="3"/>
  <c r="X402" i="3"/>
  <c r="U402" i="3"/>
  <c r="X401" i="3"/>
  <c r="U401" i="3"/>
  <c r="X400" i="3"/>
  <c r="U400" i="3"/>
  <c r="X399" i="3"/>
  <c r="U399" i="3"/>
  <c r="X398" i="3"/>
  <c r="U398" i="3"/>
  <c r="X397" i="3"/>
  <c r="U397" i="3"/>
  <c r="X396" i="3"/>
  <c r="U396" i="3"/>
  <c r="X395" i="3"/>
  <c r="U395" i="3"/>
  <c r="X394" i="3"/>
  <c r="U394" i="3"/>
  <c r="X393" i="3"/>
  <c r="U393" i="3"/>
  <c r="X392" i="3"/>
  <c r="U392" i="3"/>
  <c r="X391" i="3"/>
  <c r="U391" i="3"/>
  <c r="X390" i="3"/>
  <c r="U390" i="3"/>
  <c r="X389" i="3"/>
  <c r="U389" i="3"/>
  <c r="X388" i="3"/>
  <c r="U388" i="3"/>
  <c r="X387" i="3"/>
  <c r="U387" i="3"/>
  <c r="X386" i="3"/>
  <c r="U386" i="3"/>
  <c r="X385" i="3"/>
  <c r="U385" i="3"/>
  <c r="X384" i="3"/>
  <c r="U384" i="3"/>
  <c r="X383" i="3"/>
  <c r="U383" i="3"/>
  <c r="X382" i="3"/>
  <c r="U382" i="3"/>
  <c r="X381" i="3"/>
  <c r="U381" i="3"/>
  <c r="X380" i="3"/>
  <c r="U380" i="3"/>
  <c r="X379" i="3"/>
  <c r="U379" i="3"/>
  <c r="X378" i="3"/>
  <c r="U378" i="3"/>
  <c r="X377" i="3"/>
  <c r="U377" i="3"/>
  <c r="X376" i="3"/>
  <c r="U376" i="3"/>
  <c r="X375" i="3"/>
  <c r="U375" i="3"/>
  <c r="X374" i="3"/>
  <c r="U374" i="3"/>
  <c r="X373" i="3"/>
  <c r="U373" i="3"/>
  <c r="X372" i="3"/>
  <c r="U372" i="3"/>
  <c r="X371" i="3"/>
  <c r="U371" i="3"/>
  <c r="X370" i="3"/>
  <c r="U370" i="3"/>
  <c r="X369" i="3"/>
  <c r="U369" i="3"/>
  <c r="X368" i="3"/>
  <c r="U368" i="3"/>
  <c r="X367" i="3"/>
  <c r="U367" i="3"/>
  <c r="X366" i="3"/>
  <c r="U366" i="3"/>
  <c r="X365" i="3"/>
  <c r="U365" i="3"/>
  <c r="X364" i="3"/>
  <c r="U364" i="3"/>
  <c r="X363" i="3"/>
  <c r="U363" i="3"/>
  <c r="X362" i="3"/>
  <c r="U362" i="3"/>
  <c r="X361" i="3"/>
  <c r="U361" i="3"/>
  <c r="X360" i="3"/>
  <c r="U360" i="3"/>
  <c r="X359" i="3"/>
  <c r="U359" i="3"/>
  <c r="X358" i="3"/>
  <c r="U358" i="3"/>
  <c r="X357" i="3"/>
  <c r="U357" i="3"/>
  <c r="X356" i="3"/>
  <c r="U356" i="3"/>
  <c r="X355" i="3"/>
  <c r="U355" i="3"/>
  <c r="X354" i="3"/>
  <c r="U354" i="3"/>
  <c r="X353" i="3"/>
  <c r="U353" i="3"/>
  <c r="X352" i="3"/>
  <c r="U352" i="3"/>
  <c r="X351" i="3"/>
  <c r="U351" i="3"/>
  <c r="X350" i="3"/>
  <c r="U350" i="3"/>
  <c r="X349" i="3"/>
  <c r="U349" i="3"/>
  <c r="X348" i="3"/>
  <c r="U348" i="3"/>
  <c r="X347" i="3"/>
  <c r="U347" i="3"/>
  <c r="X346" i="3"/>
  <c r="U346" i="3"/>
  <c r="X345" i="3"/>
  <c r="U345" i="3"/>
  <c r="X344" i="3"/>
  <c r="U344" i="3"/>
  <c r="X343" i="3"/>
  <c r="U343" i="3"/>
  <c r="X342" i="3"/>
  <c r="U342" i="3"/>
  <c r="X341" i="3"/>
  <c r="U341" i="3"/>
  <c r="X340" i="3"/>
  <c r="U340" i="3"/>
  <c r="X339" i="3"/>
  <c r="U339" i="3"/>
  <c r="X338" i="3"/>
  <c r="U338" i="3"/>
  <c r="X337" i="3"/>
  <c r="U337" i="3"/>
  <c r="X336" i="3"/>
  <c r="U336" i="3"/>
  <c r="X335" i="3"/>
  <c r="U335" i="3"/>
  <c r="X334" i="3"/>
  <c r="U334" i="3"/>
  <c r="X333" i="3"/>
  <c r="U333" i="3"/>
  <c r="X332" i="3"/>
  <c r="U332" i="3"/>
  <c r="X331" i="3"/>
  <c r="U331" i="3"/>
  <c r="X330" i="3"/>
  <c r="U330" i="3"/>
  <c r="X329" i="3"/>
  <c r="U329" i="3"/>
  <c r="X328" i="3"/>
  <c r="U328" i="3"/>
  <c r="X327" i="3"/>
  <c r="U327" i="3"/>
  <c r="X326" i="3"/>
  <c r="U326" i="3"/>
  <c r="X325" i="3"/>
  <c r="U325" i="3"/>
  <c r="X324" i="3"/>
  <c r="U324" i="3"/>
  <c r="X323" i="3"/>
  <c r="U323" i="3"/>
  <c r="X322" i="3"/>
  <c r="U322" i="3"/>
  <c r="X321" i="3"/>
  <c r="U321" i="3"/>
  <c r="X320" i="3"/>
  <c r="U320" i="3"/>
  <c r="X319" i="3"/>
  <c r="U319" i="3"/>
  <c r="X318" i="3"/>
  <c r="U318" i="3"/>
  <c r="X317" i="3"/>
  <c r="U317" i="3"/>
  <c r="X316" i="3"/>
  <c r="U316" i="3"/>
  <c r="X315" i="3"/>
  <c r="U315" i="3"/>
  <c r="X314" i="3"/>
  <c r="U314" i="3"/>
  <c r="X313" i="3"/>
  <c r="U313" i="3"/>
  <c r="X312" i="3"/>
  <c r="U312" i="3"/>
  <c r="X311" i="3"/>
  <c r="U311" i="3"/>
  <c r="X310" i="3"/>
  <c r="U310" i="3"/>
  <c r="X309" i="3"/>
  <c r="U309" i="3"/>
  <c r="X308" i="3"/>
  <c r="U308" i="3"/>
  <c r="X307" i="3"/>
  <c r="U307" i="3"/>
  <c r="X306" i="3"/>
  <c r="U306" i="3"/>
  <c r="X305" i="3"/>
  <c r="U305" i="3"/>
  <c r="X304" i="3"/>
  <c r="U304" i="3"/>
  <c r="X303" i="3"/>
  <c r="U303" i="3"/>
  <c r="X302" i="3"/>
  <c r="U302" i="3"/>
  <c r="X301" i="3"/>
  <c r="U301" i="3"/>
  <c r="X300" i="3"/>
  <c r="U300" i="3"/>
  <c r="X299" i="3"/>
  <c r="U299" i="3"/>
  <c r="X298" i="3"/>
  <c r="U298" i="3"/>
  <c r="X297" i="3"/>
  <c r="U297" i="3"/>
  <c r="X296" i="3"/>
  <c r="U296" i="3"/>
  <c r="X295" i="3"/>
  <c r="U295" i="3"/>
  <c r="X294" i="3"/>
  <c r="U294" i="3"/>
  <c r="X293" i="3"/>
  <c r="U293" i="3"/>
  <c r="X292" i="3"/>
  <c r="U292" i="3"/>
  <c r="X291" i="3"/>
  <c r="U291" i="3"/>
  <c r="X290" i="3"/>
  <c r="U290" i="3"/>
  <c r="X289" i="3"/>
  <c r="U289" i="3"/>
  <c r="X288" i="3"/>
  <c r="U288" i="3"/>
  <c r="X287" i="3"/>
  <c r="U287" i="3"/>
  <c r="X286" i="3"/>
  <c r="U286" i="3"/>
  <c r="X285" i="3"/>
  <c r="U285" i="3"/>
  <c r="X284" i="3"/>
  <c r="U284" i="3"/>
  <c r="X283" i="3"/>
  <c r="U283" i="3"/>
  <c r="X282" i="3"/>
  <c r="U282" i="3"/>
  <c r="X281" i="3"/>
  <c r="U281" i="3"/>
  <c r="X280" i="3"/>
  <c r="U280" i="3"/>
  <c r="X279" i="3"/>
  <c r="U279" i="3"/>
  <c r="X278" i="3"/>
  <c r="U278" i="3"/>
  <c r="X277" i="3"/>
  <c r="U277" i="3"/>
  <c r="X276" i="3"/>
  <c r="U276" i="3"/>
  <c r="X275" i="3"/>
  <c r="U275" i="3"/>
  <c r="X274" i="3"/>
  <c r="U274" i="3"/>
  <c r="X273" i="3"/>
  <c r="U273" i="3"/>
  <c r="X272" i="3"/>
  <c r="U272" i="3"/>
  <c r="X271" i="3"/>
  <c r="U271" i="3"/>
  <c r="X270" i="3"/>
  <c r="U270" i="3"/>
  <c r="X269" i="3"/>
  <c r="U269" i="3"/>
  <c r="X268" i="3"/>
  <c r="U268" i="3"/>
  <c r="X267" i="3"/>
  <c r="U267" i="3"/>
  <c r="X266" i="3"/>
  <c r="U266" i="3"/>
  <c r="X265" i="3"/>
  <c r="U265" i="3"/>
  <c r="X264" i="3"/>
  <c r="U264" i="3"/>
  <c r="X263" i="3"/>
  <c r="U263" i="3"/>
  <c r="X262" i="3"/>
  <c r="U262" i="3"/>
  <c r="X261" i="3"/>
  <c r="U261" i="3"/>
  <c r="X260" i="3"/>
  <c r="U260" i="3"/>
  <c r="X259" i="3"/>
  <c r="U259" i="3"/>
  <c r="X258" i="3"/>
  <c r="U258" i="3"/>
  <c r="X257" i="3"/>
  <c r="U257" i="3"/>
  <c r="X256" i="3"/>
  <c r="U256" i="3"/>
  <c r="X255" i="3"/>
  <c r="U255" i="3"/>
  <c r="X254" i="3"/>
  <c r="U254" i="3"/>
  <c r="X253" i="3"/>
  <c r="U253" i="3"/>
  <c r="X252" i="3"/>
  <c r="U252" i="3"/>
  <c r="X251" i="3"/>
  <c r="U251" i="3"/>
  <c r="X250" i="3"/>
  <c r="U250" i="3"/>
  <c r="X249" i="3"/>
  <c r="U249" i="3"/>
  <c r="X248" i="3"/>
  <c r="U248" i="3"/>
  <c r="X247" i="3"/>
  <c r="U247" i="3"/>
  <c r="X246" i="3"/>
  <c r="U246" i="3"/>
  <c r="X245" i="3"/>
  <c r="U245" i="3"/>
  <c r="X244" i="3"/>
  <c r="U244" i="3"/>
  <c r="X243" i="3"/>
  <c r="U243" i="3"/>
  <c r="X242" i="3"/>
  <c r="U242" i="3"/>
  <c r="X241" i="3"/>
  <c r="U241" i="3"/>
  <c r="X240" i="3"/>
  <c r="U240" i="3"/>
  <c r="X239" i="3"/>
  <c r="U239" i="3"/>
  <c r="X238" i="3"/>
  <c r="U238" i="3"/>
  <c r="X237" i="3"/>
  <c r="U237" i="3"/>
  <c r="X236" i="3"/>
  <c r="U236" i="3"/>
  <c r="X235" i="3"/>
  <c r="U235" i="3"/>
  <c r="X234" i="3"/>
  <c r="U234" i="3"/>
  <c r="X233" i="3"/>
  <c r="U233" i="3"/>
  <c r="X232" i="3"/>
  <c r="U232" i="3"/>
  <c r="X231" i="3"/>
  <c r="U231" i="3"/>
  <c r="X230" i="3"/>
  <c r="U230" i="3"/>
  <c r="X229" i="3"/>
  <c r="U229" i="3"/>
  <c r="X228" i="3"/>
  <c r="U228" i="3"/>
  <c r="X227" i="3"/>
  <c r="U227" i="3"/>
  <c r="X226" i="3"/>
  <c r="U226" i="3"/>
  <c r="X225" i="3"/>
  <c r="U225" i="3"/>
  <c r="X224" i="3"/>
  <c r="U224" i="3"/>
  <c r="X223" i="3"/>
  <c r="U223" i="3"/>
  <c r="X222" i="3"/>
  <c r="U222" i="3"/>
  <c r="X221" i="3"/>
  <c r="U221" i="3"/>
  <c r="X220" i="3"/>
  <c r="U220" i="3"/>
  <c r="X219" i="3"/>
  <c r="U219" i="3"/>
  <c r="X218" i="3"/>
  <c r="U218" i="3"/>
  <c r="X217" i="3"/>
  <c r="U217" i="3"/>
  <c r="X216" i="3"/>
  <c r="U216" i="3"/>
  <c r="X215" i="3"/>
  <c r="U215" i="3"/>
  <c r="X214" i="3"/>
  <c r="U214" i="3"/>
  <c r="X213" i="3"/>
  <c r="U213" i="3"/>
  <c r="X212" i="3"/>
  <c r="U212" i="3"/>
  <c r="X211" i="3"/>
  <c r="U211" i="3"/>
  <c r="X210" i="3"/>
  <c r="U210" i="3"/>
  <c r="X209" i="3"/>
  <c r="U209" i="3"/>
  <c r="X208" i="3"/>
  <c r="U208" i="3"/>
  <c r="X207" i="3"/>
  <c r="U207" i="3"/>
  <c r="X206" i="3"/>
  <c r="U206" i="3"/>
  <c r="X205" i="3"/>
  <c r="U205" i="3"/>
  <c r="X204" i="3"/>
  <c r="U204" i="3"/>
  <c r="X203" i="3"/>
  <c r="U203" i="3"/>
  <c r="X202" i="3"/>
  <c r="U202" i="3"/>
  <c r="X201" i="3"/>
  <c r="U201" i="3"/>
  <c r="X200" i="3"/>
  <c r="U200" i="3"/>
  <c r="X199" i="3"/>
  <c r="U199" i="3"/>
  <c r="X198" i="3"/>
  <c r="U198" i="3"/>
  <c r="X197" i="3"/>
  <c r="U197" i="3"/>
  <c r="X196" i="3"/>
  <c r="U196" i="3"/>
  <c r="X195" i="3"/>
  <c r="U195" i="3"/>
  <c r="X194" i="3"/>
  <c r="U194" i="3"/>
  <c r="X193" i="3"/>
  <c r="U193" i="3"/>
  <c r="X192" i="3"/>
  <c r="U192" i="3"/>
  <c r="X191" i="3"/>
  <c r="U191" i="3"/>
  <c r="X190" i="3"/>
  <c r="U190" i="3"/>
  <c r="X189" i="3"/>
  <c r="U189" i="3"/>
  <c r="X188" i="3"/>
  <c r="U188" i="3"/>
  <c r="X187" i="3"/>
  <c r="U187" i="3"/>
  <c r="X186" i="3"/>
  <c r="U186" i="3"/>
  <c r="X185" i="3"/>
  <c r="U185" i="3"/>
  <c r="X184" i="3"/>
  <c r="U184" i="3"/>
  <c r="X183" i="3"/>
  <c r="U183" i="3"/>
  <c r="X182" i="3"/>
  <c r="U182" i="3"/>
  <c r="X181" i="3"/>
  <c r="U181" i="3"/>
  <c r="X180" i="3"/>
  <c r="U180" i="3"/>
  <c r="X179" i="3"/>
  <c r="U179" i="3"/>
  <c r="X178" i="3"/>
  <c r="U178" i="3"/>
  <c r="X177" i="3"/>
  <c r="U177" i="3"/>
  <c r="X176" i="3"/>
  <c r="U176" i="3"/>
  <c r="X175" i="3"/>
  <c r="U175" i="3"/>
  <c r="X174" i="3"/>
  <c r="U174" i="3"/>
  <c r="X173" i="3"/>
  <c r="U173" i="3"/>
  <c r="X172" i="3"/>
  <c r="U172" i="3"/>
  <c r="X171" i="3"/>
  <c r="U171" i="3"/>
  <c r="X170" i="3"/>
  <c r="U170" i="3"/>
  <c r="X169" i="3"/>
  <c r="U169" i="3"/>
  <c r="X168" i="3"/>
  <c r="U168" i="3"/>
  <c r="X167" i="3"/>
  <c r="U167" i="3"/>
  <c r="X166" i="3"/>
  <c r="U166" i="3"/>
  <c r="X165" i="3"/>
  <c r="U165" i="3"/>
  <c r="X164" i="3"/>
  <c r="U164" i="3"/>
  <c r="X163" i="3"/>
  <c r="U163" i="3"/>
  <c r="X162" i="3"/>
  <c r="U162" i="3"/>
  <c r="X161" i="3"/>
  <c r="U161" i="3"/>
  <c r="X160" i="3"/>
  <c r="U160" i="3"/>
  <c r="X159" i="3"/>
  <c r="U159" i="3"/>
  <c r="X158" i="3"/>
  <c r="U158" i="3"/>
  <c r="X157" i="3"/>
  <c r="U157" i="3"/>
  <c r="X156" i="3"/>
  <c r="U156" i="3"/>
  <c r="X155" i="3"/>
  <c r="U155" i="3"/>
  <c r="X154" i="3"/>
  <c r="U154" i="3"/>
  <c r="X153" i="3"/>
  <c r="U153" i="3"/>
  <c r="X152" i="3"/>
  <c r="U152" i="3"/>
  <c r="X151" i="3"/>
  <c r="U151" i="3"/>
  <c r="X150" i="3"/>
  <c r="U150" i="3"/>
  <c r="X149" i="3"/>
  <c r="U149" i="3"/>
  <c r="X148" i="3"/>
  <c r="U148" i="3"/>
  <c r="X147" i="3"/>
  <c r="U147" i="3"/>
  <c r="X146" i="3"/>
  <c r="U146" i="3"/>
  <c r="X145" i="3"/>
  <c r="U145" i="3"/>
  <c r="X144" i="3"/>
  <c r="U144" i="3"/>
  <c r="X143" i="3"/>
  <c r="U143" i="3"/>
  <c r="X142" i="3"/>
  <c r="U142" i="3"/>
  <c r="X141" i="3"/>
  <c r="U141" i="3"/>
  <c r="X140" i="3"/>
  <c r="U140" i="3"/>
  <c r="X139" i="3"/>
  <c r="U139" i="3"/>
  <c r="X138" i="3"/>
  <c r="U138" i="3"/>
  <c r="X137" i="3"/>
  <c r="U137" i="3"/>
  <c r="X136" i="3"/>
  <c r="U136" i="3"/>
  <c r="X135" i="3"/>
  <c r="U135" i="3"/>
  <c r="X134" i="3"/>
  <c r="U134" i="3"/>
  <c r="X133" i="3"/>
  <c r="U133" i="3"/>
  <c r="X132" i="3"/>
  <c r="U132" i="3"/>
  <c r="X131" i="3"/>
  <c r="U131" i="3"/>
  <c r="X130" i="3"/>
  <c r="U130" i="3"/>
  <c r="X129" i="3"/>
  <c r="U129" i="3"/>
  <c r="X128" i="3"/>
  <c r="U128" i="3"/>
  <c r="X127" i="3"/>
  <c r="U127" i="3"/>
  <c r="X126" i="3"/>
  <c r="U126" i="3"/>
  <c r="X125" i="3"/>
  <c r="U125" i="3"/>
  <c r="X124" i="3"/>
  <c r="U124" i="3"/>
  <c r="X123" i="3"/>
  <c r="U123" i="3"/>
  <c r="X122" i="3"/>
  <c r="U122" i="3"/>
  <c r="X121" i="3"/>
  <c r="U121" i="3"/>
  <c r="X120" i="3"/>
  <c r="U120" i="3"/>
  <c r="X119" i="3"/>
  <c r="U119" i="3"/>
  <c r="X118" i="3"/>
  <c r="U118" i="3"/>
  <c r="X117" i="3"/>
  <c r="U117" i="3"/>
  <c r="X116" i="3"/>
  <c r="U116" i="3"/>
  <c r="X115" i="3"/>
  <c r="U115" i="3"/>
  <c r="X114" i="3"/>
  <c r="U114" i="3"/>
  <c r="X113" i="3"/>
  <c r="U113" i="3"/>
  <c r="X112" i="3"/>
  <c r="U112" i="3"/>
  <c r="X111" i="3"/>
  <c r="U111" i="3"/>
  <c r="X110" i="3"/>
  <c r="U110" i="3"/>
  <c r="X109" i="3"/>
  <c r="U109" i="3"/>
  <c r="X108" i="3"/>
  <c r="U108" i="3"/>
  <c r="X107" i="3"/>
  <c r="U107" i="3"/>
  <c r="X106" i="3"/>
  <c r="U106" i="3"/>
  <c r="X105" i="3"/>
  <c r="U105" i="3"/>
  <c r="X104" i="3"/>
  <c r="U104" i="3"/>
  <c r="X103" i="3"/>
  <c r="U103" i="3"/>
  <c r="X102" i="3"/>
  <c r="U102" i="3"/>
  <c r="X101" i="3"/>
  <c r="U101" i="3"/>
  <c r="X100" i="3"/>
  <c r="U100" i="3"/>
  <c r="X99" i="3"/>
  <c r="U99" i="3"/>
  <c r="X98" i="3"/>
  <c r="U98" i="3"/>
  <c r="X97" i="3"/>
  <c r="U97" i="3"/>
  <c r="X96" i="3"/>
  <c r="U96" i="3"/>
  <c r="X95" i="3"/>
  <c r="U95" i="3"/>
  <c r="X94" i="3"/>
  <c r="U94" i="3"/>
  <c r="X93" i="3"/>
  <c r="U93" i="3"/>
  <c r="X92" i="3"/>
  <c r="U92" i="3"/>
  <c r="X91" i="3"/>
  <c r="U91" i="3"/>
  <c r="X90" i="3"/>
  <c r="U90" i="3"/>
  <c r="X89" i="3"/>
  <c r="U89" i="3"/>
  <c r="X88" i="3"/>
  <c r="U88" i="3"/>
  <c r="X87" i="3"/>
  <c r="U87" i="3"/>
  <c r="X86" i="3"/>
  <c r="U86" i="3"/>
  <c r="X85" i="3"/>
  <c r="U85" i="3"/>
  <c r="X84" i="3"/>
  <c r="U84" i="3"/>
  <c r="X83" i="3"/>
  <c r="U83" i="3"/>
  <c r="X82" i="3"/>
  <c r="U82" i="3"/>
  <c r="X81" i="3"/>
  <c r="U81" i="3"/>
  <c r="X80" i="3"/>
  <c r="U80" i="3"/>
  <c r="X79" i="3"/>
  <c r="U79" i="3"/>
  <c r="X78" i="3"/>
  <c r="U78" i="3"/>
  <c r="X77" i="3"/>
  <c r="U77" i="3"/>
  <c r="X76" i="3"/>
  <c r="U76" i="3"/>
  <c r="X75" i="3"/>
  <c r="U75" i="3"/>
  <c r="X74" i="3"/>
  <c r="U74" i="3"/>
  <c r="X73" i="3"/>
  <c r="U73" i="3"/>
  <c r="X72" i="3"/>
  <c r="U72" i="3"/>
  <c r="X71" i="3"/>
  <c r="U71" i="3"/>
  <c r="X70" i="3"/>
  <c r="U70" i="3"/>
  <c r="X69" i="3"/>
  <c r="U69" i="3"/>
  <c r="X68" i="3"/>
  <c r="U68" i="3"/>
  <c r="X67" i="3"/>
  <c r="U67" i="3"/>
  <c r="X66" i="3"/>
  <c r="U66" i="3"/>
  <c r="X65" i="3"/>
  <c r="U65" i="3"/>
  <c r="X64" i="3"/>
  <c r="U64" i="3"/>
  <c r="X63" i="3"/>
  <c r="U63" i="3"/>
  <c r="X62" i="3"/>
  <c r="U62" i="3"/>
  <c r="X61" i="3"/>
  <c r="U61" i="3"/>
  <c r="X60" i="3"/>
  <c r="U60" i="3"/>
  <c r="X59" i="3"/>
  <c r="U59" i="3"/>
  <c r="X58" i="3"/>
  <c r="U58" i="3"/>
  <c r="X57" i="3"/>
  <c r="U57" i="3"/>
  <c r="X56" i="3"/>
  <c r="U56" i="3"/>
  <c r="X55" i="3"/>
  <c r="U55" i="3"/>
  <c r="X54" i="3"/>
  <c r="U54" i="3"/>
  <c r="X53" i="3"/>
  <c r="U53" i="3"/>
  <c r="X52" i="3"/>
  <c r="U52" i="3"/>
  <c r="X51" i="3"/>
  <c r="U51" i="3"/>
  <c r="X50" i="3"/>
  <c r="U50" i="3"/>
  <c r="X49" i="3"/>
  <c r="U49" i="3"/>
  <c r="X48" i="3"/>
  <c r="U48" i="3"/>
  <c r="X47" i="3"/>
  <c r="U47" i="3"/>
  <c r="X46" i="3"/>
  <c r="U46" i="3"/>
  <c r="X45" i="3"/>
  <c r="U45" i="3"/>
  <c r="X44" i="3"/>
  <c r="U44" i="3"/>
  <c r="X43" i="3"/>
  <c r="U43" i="3"/>
  <c r="X42" i="3"/>
  <c r="U42" i="3"/>
  <c r="X41" i="3"/>
  <c r="U41" i="3"/>
  <c r="X40" i="3"/>
  <c r="U40" i="3"/>
  <c r="X39" i="3"/>
  <c r="U39" i="3"/>
  <c r="X38" i="3"/>
  <c r="U38" i="3"/>
  <c r="X37" i="3"/>
  <c r="U37" i="3"/>
  <c r="X36" i="3"/>
  <c r="U36" i="3"/>
  <c r="X35" i="3"/>
  <c r="U35" i="3"/>
  <c r="X34" i="3"/>
  <c r="U34" i="3"/>
  <c r="X33" i="3"/>
  <c r="U33" i="3"/>
  <c r="X32" i="3"/>
  <c r="U32" i="3"/>
  <c r="X31" i="3"/>
  <c r="U31" i="3"/>
  <c r="X30" i="3"/>
  <c r="U30" i="3"/>
  <c r="X29" i="3"/>
  <c r="U29" i="3"/>
  <c r="X28" i="3"/>
  <c r="U28" i="3"/>
  <c r="X27" i="3"/>
  <c r="U27" i="3"/>
  <c r="X26" i="3"/>
  <c r="U26" i="3"/>
  <c r="X25" i="3"/>
  <c r="U25" i="3"/>
  <c r="X24" i="3"/>
  <c r="U24" i="3"/>
  <c r="X23" i="3"/>
  <c r="U23" i="3"/>
  <c r="X22" i="3"/>
  <c r="U22" i="3"/>
  <c r="X21" i="3"/>
  <c r="U21" i="3"/>
  <c r="X20" i="3"/>
  <c r="U20" i="3"/>
  <c r="X19" i="3"/>
  <c r="U19" i="3"/>
  <c r="X18" i="3"/>
  <c r="U18" i="3"/>
  <c r="X17" i="3"/>
  <c r="U17" i="3"/>
  <c r="X16" i="3"/>
  <c r="U16" i="3"/>
  <c r="X15" i="3"/>
  <c r="U15" i="3"/>
  <c r="X14" i="3"/>
  <c r="U14" i="3"/>
  <c r="X13" i="3"/>
  <c r="U13" i="3"/>
  <c r="X12" i="3"/>
  <c r="U12" i="3"/>
  <c r="X11" i="3"/>
  <c r="U11" i="3"/>
  <c r="X10" i="3"/>
  <c r="U10" i="3"/>
  <c r="X9" i="3"/>
  <c r="U9" i="3"/>
  <c r="X8" i="3"/>
  <c r="U8" i="3"/>
  <c r="X7" i="3"/>
  <c r="U7" i="3"/>
  <c r="X6" i="3"/>
  <c r="U6" i="3"/>
  <c r="X5" i="3"/>
  <c r="U5" i="3"/>
  <c r="X4" i="3"/>
  <c r="U4" i="3"/>
  <c r="X3" i="3"/>
  <c r="U3" i="3"/>
  <c r="Z656" i="4" l="1"/>
  <c r="Z662" i="4"/>
  <c r="Z653" i="4"/>
  <c r="Z659" i="4"/>
  <c r="Z664" i="4"/>
  <c r="Z663" i="4"/>
  <c r="Z661" i="4"/>
  <c r="Z658" i="4"/>
  <c r="Z652" i="4"/>
  <c r="Z660" i="4"/>
  <c r="Z654" i="4"/>
  <c r="Z655" i="4"/>
  <c r="Z649" i="4"/>
  <c r="Z657" i="4"/>
  <c r="Z650" i="4"/>
  <c r="Z651" i="4"/>
  <c r="AA369" i="4"/>
  <c r="AA482" i="4"/>
  <c r="AB401" i="4"/>
  <c r="U562" i="4" a="1"/>
  <c r="U562" i="4" s="1"/>
  <c r="AA433" i="4"/>
  <c r="AA585" i="4"/>
  <c r="AA261" i="4"/>
  <c r="AA357" i="4"/>
  <c r="AA273" i="4"/>
  <c r="AA422" i="4"/>
  <c r="AA630" i="4"/>
  <c r="AB150" i="4"/>
  <c r="AB454" i="4"/>
  <c r="AB593" i="4"/>
  <c r="AB79" i="4"/>
  <c r="AB585" i="4"/>
  <c r="AB684" i="4"/>
  <c r="U438" i="4" a="1"/>
  <c r="U438" i="4" s="1"/>
  <c r="U305" i="4" a="1"/>
  <c r="U305" i="4" s="1"/>
  <c r="U582" i="4" a="1"/>
  <c r="U582" i="4" s="1"/>
  <c r="U465" i="4" a="1"/>
  <c r="U465" i="4" s="1"/>
  <c r="U569" i="4" a="1"/>
  <c r="U569" i="4" s="1"/>
  <c r="AB578" i="4"/>
  <c r="AA473" i="4"/>
  <c r="AA565" i="4"/>
  <c r="AA245" i="4"/>
  <c r="AA389" i="4"/>
  <c r="AA401" i="4"/>
  <c r="AB182" i="4"/>
  <c r="AB341" i="4"/>
  <c r="AB389" i="4"/>
  <c r="AB418" i="4"/>
  <c r="AB482" i="4"/>
  <c r="AB614" i="4"/>
  <c r="AB640" i="4"/>
  <c r="AB159" i="4"/>
  <c r="AB625" i="4"/>
  <c r="AA366" i="4"/>
  <c r="AA146" i="4"/>
  <c r="U162" i="4" a="1"/>
  <c r="U162" i="4" s="1"/>
  <c r="U479" i="4" a="1"/>
  <c r="U479" i="4" s="1"/>
  <c r="U512" i="4" a="1"/>
  <c r="U512" i="4" s="1"/>
  <c r="U572" i="4" a="1"/>
  <c r="U572" i="4" s="1"/>
  <c r="AB572" i="4"/>
  <c r="U588" i="4" a="1"/>
  <c r="U588" i="4" s="1"/>
  <c r="AA588" i="4"/>
  <c r="U620" i="4" a="1"/>
  <c r="U620" i="4" s="1"/>
  <c r="AA620" i="4"/>
  <c r="U668" i="4" a="1"/>
  <c r="U668" i="4" s="1"/>
  <c r="AA668" i="4"/>
  <c r="AB668" i="4"/>
  <c r="AA15" i="4"/>
  <c r="U15" i="4" a="1"/>
  <c r="U15" i="4" s="1"/>
  <c r="U63" i="4" a="1"/>
  <c r="U63" i="4" s="1"/>
  <c r="AA63" i="4"/>
  <c r="U222" i="4" a="1"/>
  <c r="U222" i="4" s="1"/>
  <c r="AA222" i="4"/>
  <c r="U254" i="4" a="1"/>
  <c r="U254" i="4" s="1"/>
  <c r="AB254" i="4"/>
  <c r="AA254" i="4"/>
  <c r="U286" i="4" a="1"/>
  <c r="U286" i="4" s="1"/>
  <c r="U318" i="4" a="1"/>
  <c r="U318" i="4" s="1"/>
  <c r="AB318" i="4"/>
  <c r="U350" i="4" a="1"/>
  <c r="U350" i="4" s="1"/>
  <c r="U398" i="4" a="1"/>
  <c r="U398" i="4" s="1"/>
  <c r="AA398" i="4"/>
  <c r="U431" i="4" a="1"/>
  <c r="U431" i="4" s="1"/>
  <c r="AB431" i="4"/>
  <c r="AA431" i="4"/>
  <c r="U463" i="4" a="1"/>
  <c r="U463" i="4" s="1"/>
  <c r="AA463" i="4"/>
  <c r="U495" i="4" a="1"/>
  <c r="U495" i="4" s="1"/>
  <c r="U543" i="4" a="1"/>
  <c r="U543" i="4" s="1"/>
  <c r="AB543" i="4"/>
  <c r="AB575" i="4"/>
  <c r="U607" i="4" a="1"/>
  <c r="U607" i="4" s="1"/>
  <c r="AB607" i="4"/>
  <c r="U687" i="4" a="1"/>
  <c r="U687" i="4" s="1"/>
  <c r="AA687" i="4"/>
  <c r="AB687" i="4"/>
  <c r="AB178" i="4"/>
  <c r="U178" i="4" a="1"/>
  <c r="U178" i="4" s="1"/>
  <c r="U225" i="4" a="1"/>
  <c r="U225" i="4" s="1"/>
  <c r="AB225" i="4"/>
  <c r="U241" i="4" a="1"/>
  <c r="U241" i="4" s="1"/>
  <c r="AB241" i="4"/>
  <c r="U321" i="4" a="1"/>
  <c r="U321" i="4" s="1"/>
  <c r="U610" i="4" a="1"/>
  <c r="U610" i="4" s="1"/>
  <c r="AB610" i="4"/>
  <c r="U642" i="4" a="1"/>
  <c r="U642" i="4" s="1"/>
  <c r="AB642" i="4"/>
  <c r="U553" i="4" a="1"/>
  <c r="U553" i="4" s="1"/>
  <c r="U645" i="4" a="1"/>
  <c r="U645" i="4" s="1"/>
  <c r="AB645" i="4"/>
  <c r="AB295" i="4"/>
  <c r="U411" i="4" a="1"/>
  <c r="U411" i="4" s="1"/>
  <c r="AB411" i="4"/>
  <c r="AA576" i="4"/>
  <c r="AB576" i="4"/>
  <c r="AA608" i="4"/>
  <c r="AB608" i="4"/>
  <c r="AB624" i="4"/>
  <c r="AA672" i="4"/>
  <c r="AB672" i="4"/>
  <c r="U469" i="4" a="1"/>
  <c r="U469" i="4" s="1"/>
  <c r="AB469" i="4"/>
  <c r="U525" i="4" a="1"/>
  <c r="U525" i="4" s="1"/>
  <c r="U593" i="4" a="1"/>
  <c r="U593" i="4" s="1"/>
  <c r="AB669" i="4"/>
  <c r="U669" i="4" a="1"/>
  <c r="U669" i="4" s="1"/>
  <c r="U509" i="4" a="1"/>
  <c r="U509" i="4" s="1"/>
  <c r="U541" i="4" a="1"/>
  <c r="U541" i="4" s="1"/>
  <c r="U605" i="4" a="1"/>
  <c r="U605" i="4" s="1"/>
  <c r="U641" i="4" a="1"/>
  <c r="U641" i="4" s="1"/>
  <c r="U693" i="4" a="1"/>
  <c r="U693" i="4" s="1"/>
  <c r="AB693" i="4"/>
  <c r="AA89" i="4"/>
  <c r="AA429" i="4"/>
  <c r="AA509" i="4"/>
  <c r="AA517" i="4"/>
  <c r="AA569" i="4"/>
  <c r="AA289" i="4"/>
  <c r="AA597" i="4"/>
  <c r="AA685" i="4"/>
  <c r="AA229" i="4"/>
  <c r="AA293" i="4"/>
  <c r="AB438" i="4"/>
  <c r="AA382" i="4"/>
  <c r="AA511" i="4"/>
  <c r="AA373" i="4"/>
  <c r="AA405" i="4"/>
  <c r="AA466" i="4"/>
  <c r="AA486" i="4"/>
  <c r="AA498" i="4"/>
  <c r="AA562" i="4"/>
  <c r="AB146" i="4"/>
  <c r="AB162" i="4"/>
  <c r="AB245" i="4"/>
  <c r="AB373" i="4"/>
  <c r="AB450" i="4"/>
  <c r="AB486" i="4"/>
  <c r="AB518" i="4"/>
  <c r="AB546" i="4"/>
  <c r="AB674" i="4"/>
  <c r="AB690" i="4"/>
  <c r="AB605" i="4"/>
  <c r="AB685" i="4"/>
  <c r="AA318" i="4"/>
  <c r="AB463" i="4"/>
  <c r="AB89" i="4"/>
  <c r="AB429" i="4"/>
  <c r="AB641" i="4"/>
  <c r="AB512" i="4"/>
  <c r="AB620" i="4"/>
  <c r="AB495" i="4"/>
  <c r="U369" i="4" a="1"/>
  <c r="U369" i="4" s="1"/>
  <c r="U486" i="4" a="1"/>
  <c r="U486" i="4" s="1"/>
  <c r="U626" i="4" a="1"/>
  <c r="U626" i="4" s="1"/>
  <c r="U517" i="4" a="1"/>
  <c r="U517" i="4" s="1"/>
  <c r="AA512" i="4"/>
  <c r="AA572" i="4"/>
  <c r="U604" i="4" a="1"/>
  <c r="U604" i="4" s="1"/>
  <c r="AB604" i="4"/>
  <c r="AA604" i="4"/>
  <c r="U636" i="4" a="1"/>
  <c r="U636" i="4" s="1"/>
  <c r="U684" i="4" a="1"/>
  <c r="U684" i="4" s="1"/>
  <c r="U31" i="4" a="1"/>
  <c r="U31" i="4" s="1"/>
  <c r="U47" i="4" a="1"/>
  <c r="U47" i="4" s="1"/>
  <c r="AA47" i="4"/>
  <c r="AB47" i="4"/>
  <c r="U79" i="4" a="1"/>
  <c r="U79" i="4" s="1"/>
  <c r="U95" i="4" a="1"/>
  <c r="U95" i="4" s="1"/>
  <c r="AA95" i="4"/>
  <c r="U111" i="4" a="1"/>
  <c r="U111" i="4" s="1"/>
  <c r="AA111" i="4"/>
  <c r="AB127" i="4"/>
  <c r="U143" i="4" a="1"/>
  <c r="U143" i="4" s="1"/>
  <c r="AB143" i="4"/>
  <c r="U175" i="4" a="1"/>
  <c r="U175" i="4" s="1"/>
  <c r="AB175" i="4"/>
  <c r="AB238" i="4"/>
  <c r="U238" i="4" a="1"/>
  <c r="U238" i="4" s="1"/>
  <c r="U270" i="4" a="1"/>
  <c r="U270" i="4" s="1"/>
  <c r="AB270" i="4"/>
  <c r="AA270" i="4"/>
  <c r="U366" i="4" a="1"/>
  <c r="U366" i="4" s="1"/>
  <c r="AB447" i="4"/>
  <c r="U447" i="4" a="1"/>
  <c r="U447" i="4" s="1"/>
  <c r="U511" i="4" a="1"/>
  <c r="U511" i="4" s="1"/>
  <c r="AB511" i="4"/>
  <c r="U527" i="4" a="1"/>
  <c r="U527" i="4" s="1"/>
  <c r="AA527" i="4"/>
  <c r="AB527" i="4"/>
  <c r="AB559" i="4"/>
  <c r="U591" i="4" a="1"/>
  <c r="U591" i="4" s="1"/>
  <c r="AB591" i="4"/>
  <c r="U671" i="4" a="1"/>
  <c r="U671" i="4" s="1"/>
  <c r="AA671" i="4"/>
  <c r="U7" i="4" a="1"/>
  <c r="U7" i="4" s="1"/>
  <c r="AB7" i="4"/>
  <c r="AB337" i="4"/>
  <c r="U337" i="4" a="1"/>
  <c r="U337" i="4" s="1"/>
  <c r="U353" i="4" a="1"/>
  <c r="U353" i="4" s="1"/>
  <c r="AB353" i="4"/>
  <c r="U385" i="4" a="1"/>
  <c r="U385" i="4" s="1"/>
  <c r="AB385" i="4"/>
  <c r="U530" i="4" a="1"/>
  <c r="U530" i="4" s="1"/>
  <c r="U594" i="4" a="1"/>
  <c r="U594" i="4" s="1"/>
  <c r="U288" i="4" a="1"/>
  <c r="U288" i="4" s="1"/>
  <c r="AB433" i="4"/>
  <c r="U433" i="4" a="1"/>
  <c r="U433" i="4" s="1"/>
  <c r="AB489" i="4"/>
  <c r="U489" i="4" a="1"/>
  <c r="U489" i="4" s="1"/>
  <c r="U617" i="4" a="1"/>
  <c r="U617" i="4" s="1"/>
  <c r="AB617" i="4"/>
  <c r="U689" i="4" a="1"/>
  <c r="U689" i="4" s="1"/>
  <c r="U533" i="4" a="1"/>
  <c r="U533" i="4" s="1"/>
  <c r="U597" i="4" a="1"/>
  <c r="U597" i="4" s="1"/>
  <c r="U633" i="4" a="1"/>
  <c r="U633" i="4" s="1"/>
  <c r="AA288" i="4"/>
  <c r="AA465" i="4"/>
  <c r="AA257" i="4"/>
  <c r="AA337" i="4"/>
  <c r="AB350" i="4"/>
  <c r="AA350" i="4"/>
  <c r="AA479" i="4"/>
  <c r="AA434" i="4"/>
  <c r="AA530" i="4"/>
  <c r="AA578" i="4"/>
  <c r="AA610" i="4"/>
  <c r="AA642" i="4"/>
  <c r="AA690" i="4"/>
  <c r="AB257" i="4"/>
  <c r="AB273" i="4"/>
  <c r="AB466" i="4"/>
  <c r="AA31" i="4"/>
  <c r="AA7" i="4"/>
  <c r="AA159" i="4"/>
  <c r="AA175" i="4"/>
  <c r="AA286" i="4"/>
  <c r="AA302" i="4"/>
  <c r="AB31" i="4"/>
  <c r="AB95" i="4"/>
  <c r="AB398" i="4"/>
  <c r="AB671" i="4"/>
  <c r="AB633" i="4"/>
  <c r="AA495" i="4"/>
  <c r="AA636" i="4"/>
  <c r="AA241" i="4"/>
  <c r="U639" i="4" a="1"/>
  <c r="U639" i="4" s="1"/>
  <c r="U450" i="4" a="1"/>
  <c r="U450" i="4" s="1"/>
  <c r="U391" i="4" a="1"/>
  <c r="U391" i="4" s="1"/>
  <c r="AB391" i="4"/>
  <c r="AB592" i="4"/>
  <c r="U277" i="4" a="1"/>
  <c r="U277" i="4" s="1"/>
  <c r="AB277" i="4"/>
  <c r="U293" i="4" a="1"/>
  <c r="U293" i="4" s="1"/>
  <c r="AB293" i="4"/>
  <c r="U309" i="4" a="1"/>
  <c r="U309" i="4" s="1"/>
  <c r="AB309" i="4"/>
  <c r="U405" i="4" a="1"/>
  <c r="U405" i="4" s="1"/>
  <c r="U422" i="4" a="1"/>
  <c r="U422" i="4" s="1"/>
  <c r="AB422" i="4"/>
  <c r="U454" i="4" a="1"/>
  <c r="U454" i="4" s="1"/>
  <c r="U470" i="4" a="1"/>
  <c r="U470" i="4" s="1"/>
  <c r="U502" i="4" a="1"/>
  <c r="U502" i="4" s="1"/>
  <c r="U534" i="4" a="1"/>
  <c r="U534" i="4" s="1"/>
  <c r="U550" i="4" a="1"/>
  <c r="U550" i="4" s="1"/>
  <c r="AB550" i="4"/>
  <c r="U566" i="4" a="1"/>
  <c r="U566" i="4" s="1"/>
  <c r="AB566" i="4"/>
  <c r="U678" i="4" a="1"/>
  <c r="U678" i="4" s="1"/>
  <c r="U694" i="4" a="1"/>
  <c r="U694" i="4" s="1"/>
  <c r="AB694" i="4"/>
  <c r="U399" i="4" a="1"/>
  <c r="U399" i="4" s="1"/>
  <c r="U352" i="4" a="1"/>
  <c r="U352" i="4" s="1"/>
  <c r="AB352" i="4"/>
  <c r="U437" i="4" a="1"/>
  <c r="U437" i="4" s="1"/>
  <c r="AB437" i="4"/>
  <c r="U497" i="4" a="1"/>
  <c r="U497" i="4" s="1"/>
  <c r="U561" i="4" a="1"/>
  <c r="U561" i="4" s="1"/>
  <c r="AB561" i="4"/>
  <c r="U441" i="4" a="1"/>
  <c r="U441" i="4" s="1"/>
  <c r="AA461" i="4"/>
  <c r="AA469" i="4"/>
  <c r="AA501" i="4"/>
  <c r="AA541" i="4"/>
  <c r="AA553" i="4"/>
  <c r="AA162" i="4"/>
  <c r="AA321" i="4"/>
  <c r="AA605" i="4"/>
  <c r="AA641" i="4"/>
  <c r="AA689" i="4"/>
  <c r="AA182" i="4"/>
  <c r="AA277" i="4"/>
  <c r="AA341" i="4"/>
  <c r="AA353" i="4"/>
  <c r="AB636" i="4"/>
  <c r="AA415" i="4"/>
  <c r="AA543" i="4"/>
  <c r="AA418" i="4"/>
  <c r="AA438" i="4"/>
  <c r="AA450" i="4"/>
  <c r="AA534" i="4"/>
  <c r="AA546" i="4"/>
  <c r="AA582" i="4"/>
  <c r="AA594" i="4"/>
  <c r="AA614" i="4"/>
  <c r="AA626" i="4"/>
  <c r="AA646" i="4"/>
  <c r="AA674" i="4"/>
  <c r="AA694" i="4"/>
  <c r="AB229" i="4"/>
  <c r="AB261" i="4"/>
  <c r="AB305" i="4"/>
  <c r="AB321" i="4"/>
  <c r="AB357" i="4"/>
  <c r="AB434" i="4"/>
  <c r="AB470" i="4"/>
  <c r="AB498" i="4"/>
  <c r="AB646" i="4"/>
  <c r="AB461" i="4"/>
  <c r="AB497" i="4"/>
  <c r="AB534" i="4"/>
  <c r="AB15" i="4"/>
  <c r="AB63" i="4"/>
  <c r="AB334" i="4"/>
  <c r="AB415" i="4"/>
  <c r="AB441" i="4"/>
  <c r="AB501" i="4"/>
  <c r="AB525" i="4"/>
  <c r="AB553" i="4"/>
  <c r="AB689" i="4"/>
  <c r="AA334" i="4"/>
  <c r="AA343" i="4"/>
  <c r="AA399" i="4"/>
  <c r="AB560" i="4"/>
  <c r="U382" i="4" a="1"/>
  <c r="U382" i="4" s="1"/>
  <c r="U92" i="4" a="1"/>
  <c r="U92" i="4" s="1"/>
  <c r="U261" i="4" a="1"/>
  <c r="U261" i="4" s="1"/>
  <c r="U429" i="4" a="1"/>
  <c r="U429" i="4" s="1"/>
  <c r="U625" i="4" a="1"/>
  <c r="U625" i="4" s="1"/>
  <c r="U283" i="4" a="1"/>
  <c r="U283" i="4" s="1"/>
  <c r="AA283" i="4"/>
  <c r="AA315" i="4"/>
  <c r="U315" i="4" a="1"/>
  <c r="U315" i="4" s="1"/>
  <c r="AB315" i="4"/>
  <c r="AA285" i="4"/>
  <c r="AA545" i="4"/>
  <c r="AA673" i="4"/>
  <c r="AA397" i="4"/>
  <c r="AA638" i="4"/>
  <c r="AB462" i="4"/>
  <c r="AB558" i="4"/>
  <c r="AB622" i="4"/>
  <c r="AB581" i="4"/>
  <c r="AA155" i="4"/>
  <c r="AA443" i="4"/>
  <c r="U590" i="4" a="1"/>
  <c r="U590" i="4" s="1"/>
  <c r="AA425" i="4"/>
  <c r="AA481" i="4"/>
  <c r="AA529" i="4"/>
  <c r="AA577" i="4"/>
  <c r="AA609" i="4"/>
  <c r="AA677" i="4"/>
  <c r="AA237" i="4"/>
  <c r="AA478" i="4"/>
  <c r="AA622" i="4"/>
  <c r="AB237" i="4"/>
  <c r="AB301" i="4"/>
  <c r="AB365" i="4"/>
  <c r="AB425" i="4"/>
  <c r="AB493" i="4"/>
  <c r="AB521" i="4"/>
  <c r="AB667" i="4"/>
  <c r="AA330" i="4"/>
  <c r="U301" i="4" a="1"/>
  <c r="U301" i="4" s="1"/>
  <c r="U574" i="4" a="1"/>
  <c r="U574" i="4" s="1"/>
  <c r="U459" i="4" a="1"/>
  <c r="U459" i="4" s="1"/>
  <c r="U545" i="4" a="1"/>
  <c r="U545" i="4" s="1"/>
  <c r="AA359" i="4"/>
  <c r="AB327" i="4"/>
  <c r="AA188" i="4"/>
  <c r="AA327" i="4"/>
  <c r="AA375" i="4"/>
  <c r="AB56" i="4"/>
  <c r="AB188" i="4"/>
  <c r="AB299" i="4"/>
  <c r="AB343" i="4"/>
  <c r="AB375" i="4"/>
  <c r="AA174" i="4"/>
  <c r="AB142" i="4"/>
  <c r="AA171" i="4"/>
  <c r="U171" i="4" a="1"/>
  <c r="U171" i="4" s="1"/>
  <c r="AB155" i="4"/>
  <c r="AB187" i="4"/>
  <c r="U187" i="4" a="1"/>
  <c r="U187" i="4" s="1"/>
  <c r="U174" i="4" a="1"/>
  <c r="U174" i="4" s="1"/>
  <c r="AB445" i="4"/>
  <c r="AB537" i="4"/>
  <c r="AB477" i="4"/>
  <c r="AA96" i="4"/>
  <c r="U417" i="4" a="1"/>
  <c r="U417" i="4" s="1"/>
  <c r="U629" i="4" a="1"/>
  <c r="U629" i="4" s="1"/>
  <c r="AB505" i="4"/>
  <c r="U665" i="4" a="1"/>
  <c r="U665" i="4" s="1"/>
  <c r="AA417" i="4"/>
  <c r="AA449" i="4"/>
  <c r="AA521" i="4"/>
  <c r="AA613" i="4"/>
  <c r="U673" i="4" a="1"/>
  <c r="U673" i="4" s="1"/>
  <c r="U132" i="4" a="1"/>
  <c r="U132" i="4" s="1"/>
  <c r="AA132" i="4"/>
  <c r="AB43" i="4"/>
  <c r="AA59" i="4"/>
  <c r="AB59" i="4"/>
  <c r="U91" i="4" a="1"/>
  <c r="U91" i="4" s="1"/>
  <c r="AB91" i="4"/>
  <c r="AA91" i="4"/>
  <c r="AA107" i="4"/>
  <c r="AB107" i="4"/>
  <c r="AB123" i="4"/>
  <c r="U139" i="4" a="1"/>
  <c r="U139" i="4" s="1"/>
  <c r="AA139" i="4"/>
  <c r="AA234" i="4"/>
  <c r="U234" i="4" a="1"/>
  <c r="U234" i="4" s="1"/>
  <c r="AB266" i="4"/>
  <c r="AA266" i="4"/>
  <c r="U314" i="4" a="1"/>
  <c r="U314" i="4" s="1"/>
  <c r="AA314" i="4"/>
  <c r="AB346" i="4"/>
  <c r="AA346" i="4"/>
  <c r="U346" i="4" a="1"/>
  <c r="U346" i="4" s="1"/>
  <c r="U362" i="4" a="1"/>
  <c r="U362" i="4" s="1"/>
  <c r="AA362" i="4"/>
  <c r="U394" i="4" a="1"/>
  <c r="U394" i="4" s="1"/>
  <c r="AA475" i="4"/>
  <c r="U475" i="4" a="1"/>
  <c r="U475" i="4" s="1"/>
  <c r="U523" i="4" a="1"/>
  <c r="U523" i="4" s="1"/>
  <c r="AA555" i="4"/>
  <c r="U587" i="4" a="1"/>
  <c r="U587" i="4" s="1"/>
  <c r="AA619" i="4"/>
  <c r="AB635" i="4"/>
  <c r="U635" i="4" a="1"/>
  <c r="U635" i="4" s="1"/>
  <c r="U381" i="4" a="1"/>
  <c r="U381" i="4" s="1"/>
  <c r="AB381" i="4"/>
  <c r="U637" i="4" a="1"/>
  <c r="U637" i="4" s="1"/>
  <c r="AB637" i="4"/>
  <c r="U457" i="4" a="1"/>
  <c r="U457" i="4" s="1"/>
  <c r="U589" i="4" a="1"/>
  <c r="U589" i="4" s="1"/>
  <c r="AB589" i="4"/>
  <c r="AA158" i="4"/>
  <c r="AA317" i="4"/>
  <c r="AA601" i="4"/>
  <c r="AA665" i="4"/>
  <c r="AA365" i="4"/>
  <c r="AA269" i="4"/>
  <c r="AA381" i="4"/>
  <c r="AA446" i="4"/>
  <c r="AA542" i="4"/>
  <c r="AA606" i="4"/>
  <c r="AA686" i="4"/>
  <c r="AB417" i="4"/>
  <c r="AB453" i="4"/>
  <c r="AB481" i="4"/>
  <c r="AB513" i="4"/>
  <c r="AB529" i="4"/>
  <c r="AB549" i="4"/>
  <c r="AB573" i="4"/>
  <c r="AB601" i="4"/>
  <c r="AB613" i="4"/>
  <c r="AA123" i="4"/>
  <c r="AA394" i="4"/>
  <c r="AA523" i="4"/>
  <c r="AB362" i="4"/>
  <c r="AB491" i="4"/>
  <c r="AB555" i="4"/>
  <c r="AB619" i="4"/>
  <c r="U107" i="4" a="1"/>
  <c r="U107" i="4" s="1"/>
  <c r="U266" i="4" a="1"/>
  <c r="U266" i="4" s="1"/>
  <c r="U494" i="4" a="1"/>
  <c r="U494" i="4" s="1"/>
  <c r="U526" i="4" a="1"/>
  <c r="U526" i="4" s="1"/>
  <c r="U670" i="4" a="1"/>
  <c r="U670" i="4" s="1"/>
  <c r="U449" i="4" a="1"/>
  <c r="U449" i="4" s="1"/>
  <c r="U513" i="4" a="1"/>
  <c r="U513" i="4" s="1"/>
  <c r="U577" i="4" a="1"/>
  <c r="U577" i="4" s="1"/>
  <c r="U677" i="4" a="1"/>
  <c r="U677" i="4" s="1"/>
  <c r="U44" i="4" a="1"/>
  <c r="U44" i="4" s="1"/>
  <c r="AB44" i="4"/>
  <c r="U112" i="4" a="1"/>
  <c r="U112" i="4" s="1"/>
  <c r="AB112" i="4"/>
  <c r="AA112" i="4"/>
  <c r="AA128" i="4"/>
  <c r="AB128" i="4"/>
  <c r="AB160" i="4"/>
  <c r="AA160" i="4"/>
  <c r="U176" i="4" a="1"/>
  <c r="U176" i="4" s="1"/>
  <c r="AA176" i="4"/>
  <c r="U239" i="4" a="1"/>
  <c r="U239" i="4" s="1"/>
  <c r="AB239" i="4"/>
  <c r="AA271" i="4"/>
  <c r="AB271" i="4"/>
  <c r="AB303" i="4"/>
  <c r="U331" i="4" a="1"/>
  <c r="U331" i="4" s="1"/>
  <c r="AB331" i="4"/>
  <c r="AA331" i="4"/>
  <c r="U347" i="4" a="1"/>
  <c r="U347" i="4" s="1"/>
  <c r="AB347" i="4"/>
  <c r="AA347" i="4"/>
  <c r="U363" i="4" a="1"/>
  <c r="U363" i="4" s="1"/>
  <c r="AB363" i="4"/>
  <c r="U379" i="4" a="1"/>
  <c r="U379" i="4" s="1"/>
  <c r="AB379" i="4"/>
  <c r="AA379" i="4"/>
  <c r="U395" i="4" a="1"/>
  <c r="U395" i="4" s="1"/>
  <c r="AA505" i="4"/>
  <c r="AA537" i="4"/>
  <c r="AA629" i="4"/>
  <c r="AB629" i="4"/>
  <c r="U485" i="4" a="1"/>
  <c r="U485" i="4" s="1"/>
  <c r="U549" i="4" a="1"/>
  <c r="U549" i="4" s="1"/>
  <c r="U613" i="4" a="1"/>
  <c r="U613" i="4" s="1"/>
  <c r="U164" i="4" a="1"/>
  <c r="U164" i="4" s="1"/>
  <c r="AB164" i="4"/>
  <c r="AB11" i="4"/>
  <c r="AA11" i="4"/>
  <c r="U27" i="4" a="1"/>
  <c r="U27" i="4" s="1"/>
  <c r="AB27" i="4"/>
  <c r="U75" i="4" a="1"/>
  <c r="U75" i="4" s="1"/>
  <c r="AB75" i="4"/>
  <c r="U250" i="4" a="1"/>
  <c r="U250" i="4" s="1"/>
  <c r="AB250" i="4"/>
  <c r="AB282" i="4"/>
  <c r="AB298" i="4"/>
  <c r="U298" i="4" a="1"/>
  <c r="U298" i="4" s="1"/>
  <c r="AA410" i="4"/>
  <c r="U410" i="4" a="1"/>
  <c r="U410" i="4" s="1"/>
  <c r="U427" i="4" a="1"/>
  <c r="U427" i="4" s="1"/>
  <c r="AA427" i="4"/>
  <c r="AA491" i="4"/>
  <c r="AB507" i="4"/>
  <c r="U507" i="4" a="1"/>
  <c r="U507" i="4" s="1"/>
  <c r="AA539" i="4"/>
  <c r="AB571" i="4"/>
  <c r="U571" i="4" a="1"/>
  <c r="U571" i="4" s="1"/>
  <c r="AA603" i="4"/>
  <c r="U667" i="4" a="1"/>
  <c r="U667" i="4" s="1"/>
  <c r="AB683" i="4"/>
  <c r="AA683" i="4"/>
  <c r="AB681" i="4"/>
  <c r="AA221" i="4"/>
  <c r="AA421" i="4"/>
  <c r="AA445" i="4"/>
  <c r="AA453" i="4"/>
  <c r="AA477" i="4"/>
  <c r="AA485" i="4"/>
  <c r="AA493" i="4"/>
  <c r="AA549" i="4"/>
  <c r="AA557" i="4"/>
  <c r="AA573" i="4"/>
  <c r="AA581" i="4"/>
  <c r="AA589" i="4"/>
  <c r="AA621" i="4"/>
  <c r="AA637" i="4"/>
  <c r="AA349" i="4"/>
  <c r="AA430" i="4"/>
  <c r="AA494" i="4"/>
  <c r="AA526" i="4"/>
  <c r="AB158" i="4"/>
  <c r="AB221" i="4"/>
  <c r="AB285" i="4"/>
  <c r="AB317" i="4"/>
  <c r="AB349" i="4"/>
  <c r="AB397" i="4"/>
  <c r="AB446" i="4"/>
  <c r="AB542" i="4"/>
  <c r="AB606" i="4"/>
  <c r="AB638" i="4"/>
  <c r="AB686" i="4"/>
  <c r="AB621" i="4"/>
  <c r="AB677" i="4"/>
  <c r="AA27" i="4"/>
  <c r="AA43" i="4"/>
  <c r="AA75" i="4"/>
  <c r="AA250" i="4"/>
  <c r="AA378" i="4"/>
  <c r="AA507" i="4"/>
  <c r="AB410" i="4"/>
  <c r="AB475" i="4"/>
  <c r="AB539" i="4"/>
  <c r="AB603" i="4"/>
  <c r="AB421" i="4"/>
  <c r="AB665" i="4"/>
  <c r="AB478" i="4"/>
  <c r="AA587" i="4"/>
  <c r="AA60" i="4"/>
  <c r="AA395" i="4"/>
  <c r="AB96" i="4"/>
  <c r="AB395" i="4"/>
  <c r="U123" i="4" a="1"/>
  <c r="U123" i="4" s="1"/>
  <c r="U282" i="4" a="1"/>
  <c r="U282" i="4" s="1"/>
  <c r="U378" i="4" a="1"/>
  <c r="U378" i="4" s="1"/>
  <c r="U443" i="4" a="1"/>
  <c r="U443" i="4" s="1"/>
  <c r="U619" i="4" a="1"/>
  <c r="U619" i="4" s="1"/>
  <c r="AA32" i="4"/>
  <c r="AA48" i="4"/>
  <c r="AB132" i="4"/>
  <c r="AB243" i="4"/>
  <c r="AA180" i="4"/>
  <c r="AA227" i="4"/>
  <c r="AB100" i="4"/>
  <c r="U246" i="4" a="1"/>
  <c r="U246" i="4" s="1"/>
  <c r="AA568" i="4"/>
  <c r="AB568" i="4"/>
  <c r="AA648" i="4"/>
  <c r="AB648" i="4"/>
  <c r="U23" i="4" a="1"/>
  <c r="U23" i="4" s="1"/>
  <c r="AB23" i="4"/>
  <c r="U39" i="4" a="1"/>
  <c r="U39" i="4" s="1"/>
  <c r="AA39" i="4"/>
  <c r="AB87" i="4"/>
  <c r="U87" i="4" a="1"/>
  <c r="U87" i="4" s="1"/>
  <c r="AA87" i="4"/>
  <c r="AB119" i="4"/>
  <c r="U119" i="4" a="1"/>
  <c r="U119" i="4" s="1"/>
  <c r="AA119" i="4"/>
  <c r="U230" i="4" a="1"/>
  <c r="U230" i="4" s="1"/>
  <c r="AA230" i="4"/>
  <c r="AB230" i="4"/>
  <c r="AB262" i="4"/>
  <c r="U262" i="4" a="1"/>
  <c r="U262" i="4" s="1"/>
  <c r="AA262" i="4"/>
  <c r="AB294" i="4"/>
  <c r="U294" i="4" a="1"/>
  <c r="U294" i="4" s="1"/>
  <c r="AA294" i="4"/>
  <c r="AB326" i="4"/>
  <c r="U326" i="4" a="1"/>
  <c r="U326" i="4" s="1"/>
  <c r="AA326" i="4"/>
  <c r="U358" i="4" a="1"/>
  <c r="U358" i="4" s="1"/>
  <c r="AA358" i="4"/>
  <c r="AB358" i="4"/>
  <c r="AB390" i="4"/>
  <c r="AB423" i="4"/>
  <c r="AA423" i="4"/>
  <c r="U439" i="4" a="1"/>
  <c r="U439" i="4" s="1"/>
  <c r="AA439" i="4"/>
  <c r="AB439" i="4"/>
  <c r="AA471" i="4"/>
  <c r="AB471" i="4"/>
  <c r="U471" i="4" a="1"/>
  <c r="U471" i="4" s="1"/>
  <c r="AA503" i="4"/>
  <c r="AB503" i="4"/>
  <c r="U519" i="4" a="1"/>
  <c r="U519" i="4" s="1"/>
  <c r="AB519" i="4"/>
  <c r="U551" i="4" a="1"/>
  <c r="U551" i="4" s="1"/>
  <c r="AA551" i="4"/>
  <c r="AB583" i="4"/>
  <c r="U583" i="4" a="1"/>
  <c r="U583" i="4" s="1"/>
  <c r="AA583" i="4"/>
  <c r="AB615" i="4"/>
  <c r="U615" i="4" a="1"/>
  <c r="U615" i="4" s="1"/>
  <c r="AB631" i="4"/>
  <c r="AA631" i="4"/>
  <c r="AB647" i="4"/>
  <c r="U647" i="4" a="1"/>
  <c r="U647" i="4" s="1"/>
  <c r="AA647" i="4"/>
  <c r="U695" i="4" a="1"/>
  <c r="U695" i="4" s="1"/>
  <c r="U154" i="4" a="1"/>
  <c r="U154" i="4" s="1"/>
  <c r="AB154" i="4"/>
  <c r="AB186" i="4"/>
  <c r="U249" i="4" a="1"/>
  <c r="U249" i="4" s="1"/>
  <c r="AB249" i="4"/>
  <c r="U281" i="4" a="1"/>
  <c r="U281" i="4" s="1"/>
  <c r="AB281" i="4"/>
  <c r="U313" i="4" a="1"/>
  <c r="U313" i="4" s="1"/>
  <c r="AB313" i="4"/>
  <c r="U329" i="4" a="1"/>
  <c r="U329" i="4" s="1"/>
  <c r="AB329" i="4"/>
  <c r="U361" i="4" a="1"/>
  <c r="U361" i="4" s="1"/>
  <c r="AB361" i="4"/>
  <c r="U377" i="4" a="1"/>
  <c r="U377" i="4" s="1"/>
  <c r="AB377" i="4"/>
  <c r="U409" i="4" a="1"/>
  <c r="U409" i="4" s="1"/>
  <c r="AB409" i="4"/>
  <c r="AA409" i="4"/>
  <c r="U426" i="4" a="1"/>
  <c r="U426" i="4" s="1"/>
  <c r="AB426" i="4"/>
  <c r="AA426" i="4"/>
  <c r="AB458" i="4"/>
  <c r="U458" i="4" a="1"/>
  <c r="U458" i="4" s="1"/>
  <c r="AA458" i="4"/>
  <c r="U490" i="4" a="1"/>
  <c r="U490" i="4" s="1"/>
  <c r="AB490" i="4"/>
  <c r="AA490" i="4"/>
  <c r="U538" i="4" a="1"/>
  <c r="U538" i="4" s="1"/>
  <c r="AA538" i="4"/>
  <c r="AB538" i="4"/>
  <c r="U570" i="4" a="1"/>
  <c r="U570" i="4" s="1"/>
  <c r="AA570" i="4"/>
  <c r="AB570" i="4"/>
  <c r="U586" i="4" a="1"/>
  <c r="U586" i="4" s="1"/>
  <c r="AA586" i="4"/>
  <c r="AB586" i="4"/>
  <c r="U602" i="4" a="1"/>
  <c r="U602" i="4" s="1"/>
  <c r="AA602" i="4"/>
  <c r="AB602" i="4"/>
  <c r="U666" i="4" a="1"/>
  <c r="U666" i="4" s="1"/>
  <c r="AA666" i="4"/>
  <c r="AB666" i="4"/>
  <c r="AA377" i="4"/>
  <c r="U167" i="4" a="1"/>
  <c r="U167" i="4" s="1"/>
  <c r="U567" i="4" a="1"/>
  <c r="U567" i="4" s="1"/>
  <c r="U52" i="4" a="1"/>
  <c r="U52" i="4" s="1"/>
  <c r="AB52" i="4"/>
  <c r="U68" i="4" a="1"/>
  <c r="U68" i="4" s="1"/>
  <c r="AB68" i="4"/>
  <c r="U120" i="4" a="1"/>
  <c r="U120" i="4" s="1"/>
  <c r="AA120" i="4"/>
  <c r="U263" i="4" a="1"/>
  <c r="U263" i="4" s="1"/>
  <c r="AB263" i="4"/>
  <c r="AA263" i="4"/>
  <c r="AA279" i="4"/>
  <c r="U311" i="4" a="1"/>
  <c r="U311" i="4" s="1"/>
  <c r="U323" i="4" a="1"/>
  <c r="U323" i="4" s="1"/>
  <c r="AB323" i="4"/>
  <c r="AA323" i="4"/>
  <c r="U339" i="4" a="1"/>
  <c r="U339" i="4" s="1"/>
  <c r="AB339" i="4"/>
  <c r="U355" i="4" a="1"/>
  <c r="U355" i="4" s="1"/>
  <c r="AB355" i="4"/>
  <c r="AA355" i="4"/>
  <c r="U371" i="4" a="1"/>
  <c r="U371" i="4" s="1"/>
  <c r="AA371" i="4"/>
  <c r="U387" i="4" a="1"/>
  <c r="U387" i="4" s="1"/>
  <c r="AB387" i="4"/>
  <c r="AA387" i="4"/>
  <c r="AB407" i="4"/>
  <c r="AA407" i="4"/>
  <c r="U407" i="4" a="1"/>
  <c r="U407" i="4" s="1"/>
  <c r="AA680" i="4"/>
  <c r="AB680" i="4"/>
  <c r="U71" i="4" a="1"/>
  <c r="U71" i="4" s="1"/>
  <c r="AB71" i="4"/>
  <c r="U135" i="4" a="1"/>
  <c r="U135" i="4" s="1"/>
  <c r="AB135" i="4"/>
  <c r="U634" i="4" a="1"/>
  <c r="U634" i="4" s="1"/>
  <c r="AA634" i="4"/>
  <c r="AB634" i="4"/>
  <c r="AA615" i="4"/>
  <c r="AA55" i="4"/>
  <c r="AA154" i="4"/>
  <c r="AA186" i="4"/>
  <c r="AA249" i="4"/>
  <c r="AA281" i="4"/>
  <c r="AA313" i="4"/>
  <c r="AA329" i="4"/>
  <c r="AA361" i="4"/>
  <c r="AB167" i="4"/>
  <c r="AA71" i="4"/>
  <c r="AB39" i="4"/>
  <c r="AA695" i="4"/>
  <c r="AA23" i="4"/>
  <c r="AB551" i="4"/>
  <c r="AA135" i="4"/>
  <c r="U310" i="4" a="1"/>
  <c r="U310" i="4" s="1"/>
  <c r="U390" i="4" a="1"/>
  <c r="U390" i="4" s="1"/>
  <c r="U423" i="4" a="1"/>
  <c r="U423" i="4" s="1"/>
  <c r="U535" i="4" a="1"/>
  <c r="U535" i="4" s="1"/>
  <c r="U508" i="4" a="1"/>
  <c r="U508" i="4" s="1"/>
  <c r="AB508" i="4"/>
  <c r="AA632" i="4"/>
  <c r="U692" i="4" a="1"/>
  <c r="U692" i="4" s="1"/>
  <c r="AA692" i="4"/>
  <c r="AB692" i="4"/>
  <c r="AB55" i="4"/>
  <c r="U55" i="4" a="1"/>
  <c r="U55" i="4" s="1"/>
  <c r="U103" i="4" a="1"/>
  <c r="U103" i="4" s="1"/>
  <c r="AA103" i="4"/>
  <c r="AB103" i="4"/>
  <c r="U151" i="4" a="1"/>
  <c r="U151" i="4" s="1"/>
  <c r="AB151" i="4"/>
  <c r="AA151" i="4"/>
  <c r="AB183" i="4"/>
  <c r="AA183" i="4"/>
  <c r="AB246" i="4"/>
  <c r="AB278" i="4"/>
  <c r="AA342" i="4"/>
  <c r="U342" i="4" a="1"/>
  <c r="U342" i="4" s="1"/>
  <c r="AB342" i="4"/>
  <c r="U374" i="4" a="1"/>
  <c r="U374" i="4" s="1"/>
  <c r="AB374" i="4"/>
  <c r="AA406" i="4"/>
  <c r="AB406" i="4"/>
  <c r="U406" i="4" a="1"/>
  <c r="U406" i="4" s="1"/>
  <c r="AA455" i="4"/>
  <c r="AB455" i="4"/>
  <c r="AA487" i="4"/>
  <c r="U487" i="4" a="1"/>
  <c r="U487" i="4" s="1"/>
  <c r="AB487" i="4"/>
  <c r="AA567" i="4"/>
  <c r="AB567" i="4"/>
  <c r="AA599" i="4"/>
  <c r="AB599" i="4"/>
  <c r="AB679" i="4"/>
  <c r="AA679" i="4"/>
  <c r="U170" i="4" a="1"/>
  <c r="U170" i="4" s="1"/>
  <c r="AB170" i="4"/>
  <c r="AB233" i="4"/>
  <c r="U265" i="4" a="1"/>
  <c r="U265" i="4" s="1"/>
  <c r="AB265" i="4"/>
  <c r="U297" i="4" a="1"/>
  <c r="U297" i="4" s="1"/>
  <c r="AB297" i="4"/>
  <c r="U345" i="4" a="1"/>
  <c r="U345" i="4" s="1"/>
  <c r="AB345" i="4"/>
  <c r="U393" i="4" a="1"/>
  <c r="U393" i="4" s="1"/>
  <c r="AB393" i="4"/>
  <c r="AA393" i="4"/>
  <c r="U442" i="4" a="1"/>
  <c r="U442" i="4" s="1"/>
  <c r="AB442" i="4"/>
  <c r="AA442" i="4"/>
  <c r="AB474" i="4"/>
  <c r="U474" i="4" a="1"/>
  <c r="U474" i="4" s="1"/>
  <c r="AA474" i="4"/>
  <c r="AB522" i="4"/>
  <c r="U522" i="4" a="1"/>
  <c r="U522" i="4" s="1"/>
  <c r="AA522" i="4"/>
  <c r="U554" i="4" a="1"/>
  <c r="U554" i="4" s="1"/>
  <c r="AA554" i="4"/>
  <c r="AB554" i="4"/>
  <c r="U618" i="4" a="1"/>
  <c r="U618" i="4" s="1"/>
  <c r="AA618" i="4"/>
  <c r="AB618" i="4"/>
  <c r="AA167" i="4"/>
  <c r="AA310" i="4"/>
  <c r="AA170" i="4"/>
  <c r="AA233" i="4"/>
  <c r="AA265" i="4"/>
  <c r="AA390" i="4"/>
  <c r="AA535" i="4"/>
  <c r="AA374" i="4"/>
  <c r="U278" i="4" a="1"/>
  <c r="U278" i="4" s="1"/>
  <c r="U503" i="4" a="1"/>
  <c r="U503" i="4" s="1"/>
  <c r="U631" i="4" a="1"/>
  <c r="U631" i="4" s="1"/>
  <c r="AB682" i="4"/>
  <c r="AA682" i="4"/>
  <c r="AA100" i="4"/>
  <c r="AA148" i="4"/>
  <c r="AA243" i="4"/>
  <c r="AB80" i="4"/>
  <c r="AB227" i="4"/>
  <c r="AA64" i="4"/>
  <c r="AA164" i="4"/>
  <c r="AB64" i="4"/>
  <c r="AB116" i="4"/>
  <c r="AB148" i="4"/>
  <c r="AB180" i="4"/>
  <c r="AA80" i="4"/>
  <c r="AA116" i="4"/>
  <c r="AB32" i="4"/>
  <c r="AB48" i="4"/>
  <c r="AA68" i="4"/>
  <c r="AB259" i="4"/>
  <c r="AA52" i="4"/>
  <c r="AA4" i="4"/>
  <c r="AA84" i="4"/>
  <c r="AB84" i="4"/>
  <c r="AB367" i="4"/>
  <c r="U24" i="4" a="1"/>
  <c r="U24" i="4" s="1"/>
  <c r="AA611" i="4"/>
  <c r="AA56" i="4"/>
  <c r="AA104" i="4"/>
  <c r="AA184" i="4"/>
  <c r="AA259" i="4"/>
  <c r="AA275" i="4"/>
  <c r="AB72" i="4"/>
  <c r="AB88" i="4"/>
  <c r="AB335" i="4"/>
  <c r="U271" i="4" a="1"/>
  <c r="U271" i="4" s="1"/>
  <c r="U258" i="4" a="1"/>
  <c r="U258" i="4" s="1"/>
  <c r="U88" i="4" a="1"/>
  <c r="U88" i="4" s="1"/>
  <c r="AB612" i="4"/>
  <c r="AA12" i="4"/>
  <c r="AA367" i="4"/>
  <c r="AB36" i="4"/>
  <c r="AB104" i="4"/>
  <c r="AB120" i="4"/>
  <c r="AB136" i="4"/>
  <c r="AB184" i="4"/>
  <c r="U51" i="4" a="1"/>
  <c r="U51" i="4" s="1"/>
  <c r="U322" i="4" a="1"/>
  <c r="U322" i="4" s="1"/>
  <c r="U338" i="4" a="1"/>
  <c r="U338" i="4" s="1"/>
  <c r="U419" i="4" a="1"/>
  <c r="U419" i="4" s="1"/>
  <c r="U579" i="4" a="1"/>
  <c r="U579" i="4" s="1"/>
  <c r="AA40" i="4"/>
  <c r="AB40" i="4"/>
  <c r="AB403" i="4"/>
  <c r="AB504" i="4"/>
  <c r="U115" i="4" a="1"/>
  <c r="U115" i="4" s="1"/>
  <c r="U643" i="4" a="1"/>
  <c r="U643" i="4" s="1"/>
  <c r="AA16" i="4"/>
  <c r="AA627" i="4"/>
  <c r="AA124" i="4"/>
  <c r="AA19" i="4"/>
  <c r="AA83" i="4"/>
  <c r="AA99" i="4"/>
  <c r="AA147" i="4"/>
  <c r="AA163" i="4"/>
  <c r="AA274" i="4"/>
  <c r="AA290" i="4"/>
  <c r="AB51" i="4"/>
  <c r="AB67" i="4"/>
  <c r="AB83" i="4"/>
  <c r="AB99" i="4"/>
  <c r="AB115" i="4"/>
  <c r="AB179" i="4"/>
  <c r="AB226" i="4"/>
  <c r="AB306" i="4"/>
  <c r="AB354" i="4"/>
  <c r="AB386" i="4"/>
  <c r="AB402" i="4"/>
  <c r="AB419" i="4"/>
  <c r="AB451" i="4"/>
  <c r="AB467" i="4"/>
  <c r="AB483" i="4"/>
  <c r="AB579" i="4"/>
  <c r="AB595" i="4"/>
  <c r="AB611" i="4"/>
  <c r="AB643" i="4"/>
  <c r="AA168" i="4"/>
  <c r="AA291" i="4"/>
  <c r="AA335" i="4"/>
  <c r="AA564" i="4"/>
  <c r="AA596" i="4"/>
  <c r="AA628" i="4"/>
  <c r="AA676" i="4"/>
  <c r="AB108" i="4"/>
  <c r="AB231" i="4"/>
  <c r="AB291" i="4"/>
  <c r="AA226" i="4"/>
  <c r="U580" i="4" a="1"/>
  <c r="U580" i="4" s="1"/>
  <c r="U99" i="4" a="1"/>
  <c r="U99" i="4" s="1"/>
  <c r="U163" i="4" a="1"/>
  <c r="U163" i="4" s="1"/>
  <c r="U242" i="4" a="1"/>
  <c r="U242" i="4" s="1"/>
  <c r="U306" i="4" a="1"/>
  <c r="U306" i="4" s="1"/>
  <c r="U402" i="4" a="1"/>
  <c r="U402" i="4" s="1"/>
  <c r="U563" i="4" a="1"/>
  <c r="U563" i="4" s="1"/>
  <c r="U627" i="4" a="1"/>
  <c r="U627" i="4" s="1"/>
  <c r="U156" i="4" a="1"/>
  <c r="U156" i="4" s="1"/>
  <c r="AB515" i="4"/>
  <c r="AA675" i="4"/>
  <c r="AB676" i="4"/>
  <c r="AB60" i="4"/>
  <c r="AB124" i="4"/>
  <c r="AB307" i="4"/>
  <c r="AB319" i="4"/>
  <c r="AB351" i="4"/>
  <c r="AB383" i="4"/>
  <c r="AB564" i="4"/>
  <c r="AB644" i="4"/>
  <c r="U19" i="4" a="1"/>
  <c r="U19" i="4" s="1"/>
  <c r="U35" i="4" a="1"/>
  <c r="U35" i="4" s="1"/>
  <c r="U147" i="4" a="1"/>
  <c r="U147" i="4" s="1"/>
  <c r="U290" i="4" a="1"/>
  <c r="U290" i="4" s="1"/>
  <c r="U386" i="4" a="1"/>
  <c r="U386" i="4" s="1"/>
  <c r="U451" i="4" a="1"/>
  <c r="U451" i="4" s="1"/>
  <c r="U467" i="4" a="1"/>
  <c r="U467" i="4" s="1"/>
  <c r="U483" i="4" a="1"/>
  <c r="U483" i="4" s="1"/>
  <c r="U499" i="4" a="1"/>
  <c r="U499" i="4" s="1"/>
  <c r="U547" i="4" a="1"/>
  <c r="U547" i="4" s="1"/>
  <c r="U691" i="4" a="1"/>
  <c r="U691" i="4" s="1"/>
  <c r="AB580" i="4"/>
  <c r="AA595" i="4"/>
  <c r="AA691" i="4"/>
  <c r="AA35" i="4"/>
  <c r="AA131" i="4"/>
  <c r="AA179" i="4"/>
  <c r="AA242" i="4"/>
  <c r="AA258" i="4"/>
  <c r="AA322" i="4"/>
  <c r="AA338" i="4"/>
  <c r="AA354" i="4"/>
  <c r="AA370" i="4"/>
  <c r="AA435" i="4"/>
  <c r="AA499" i="4"/>
  <c r="AA515" i="4"/>
  <c r="AA531" i="4"/>
  <c r="AA547" i="4"/>
  <c r="AA563" i="4"/>
  <c r="AB131" i="4"/>
  <c r="AB274" i="4"/>
  <c r="AB370" i="4"/>
  <c r="AB435" i="4"/>
  <c r="AB531" i="4"/>
  <c r="AB675" i="4"/>
  <c r="AA76" i="4"/>
  <c r="AA307" i="4"/>
  <c r="AA504" i="4"/>
  <c r="AA580" i="4"/>
  <c r="AA612" i="4"/>
  <c r="AA644" i="4"/>
  <c r="AB16" i="4"/>
  <c r="AB28" i="4"/>
  <c r="AB76" i="4"/>
  <c r="AB275" i="4"/>
  <c r="AA67" i="4"/>
  <c r="U8" i="4" a="1"/>
  <c r="U8" i="4" s="1"/>
  <c r="U40" i="4" a="1"/>
  <c r="U40" i="4" s="1"/>
  <c r="U72" i="4" a="1"/>
  <c r="U72" i="4" s="1"/>
  <c r="U108" i="4" a="1"/>
  <c r="U108" i="4" s="1"/>
  <c r="U172" i="4" a="1"/>
  <c r="U172" i="4" s="1"/>
  <c r="U235" i="4" a="1"/>
  <c r="U235" i="4" s="1"/>
  <c r="U267" i="4" a="1"/>
  <c r="U267" i="4" s="1"/>
  <c r="U299" i="4" a="1"/>
  <c r="U299" i="4" s="1"/>
  <c r="U596" i="4" a="1"/>
  <c r="U596" i="4" s="1"/>
  <c r="U628" i="4" a="1"/>
  <c r="U628" i="4" s="1"/>
  <c r="U676" i="4" a="1"/>
  <c r="U676" i="4" s="1"/>
  <c r="AA72" i="4"/>
  <c r="AA108" i="4"/>
  <c r="AA140" i="4"/>
  <c r="AA172" i="4"/>
  <c r="AB8" i="4"/>
  <c r="AB223" i="4"/>
  <c r="AB235" i="4"/>
  <c r="AB255" i="4"/>
  <c r="AB267" i="4"/>
  <c r="AB596" i="4"/>
  <c r="U302" i="4" a="1"/>
  <c r="U302" i="4" s="1"/>
  <c r="AA623" i="4"/>
  <c r="AA639" i="4"/>
  <c r="U140" i="4" a="1"/>
  <c r="U140" i="4" s="1"/>
  <c r="AA607" i="4"/>
  <c r="AA255" i="4"/>
  <c r="AA319" i="4"/>
  <c r="AA351" i="4"/>
  <c r="AA383" i="4"/>
  <c r="U127" i="4" a="1"/>
  <c r="U127" i="4" s="1"/>
  <c r="AA591" i="4"/>
  <c r="U575" i="4" a="1"/>
  <c r="U575" i="4" s="1"/>
  <c r="U623" i="4" a="1"/>
  <c r="U623" i="4" s="1"/>
  <c r="U559" i="4" a="1"/>
  <c r="U559" i="4" s="1"/>
  <c r="AA44" i="4"/>
  <c r="AA231" i="4"/>
  <c r="AA239" i="4"/>
  <c r="AA247" i="4"/>
  <c r="AA287" i="4"/>
  <c r="AA295" i="4"/>
  <c r="AA303" i="4"/>
  <c r="AA311" i="4"/>
  <c r="AA403" i="4"/>
  <c r="AA411" i="4"/>
  <c r="AB247" i="4"/>
  <c r="AB311" i="4"/>
  <c r="U608" i="4" a="1"/>
  <c r="U608" i="4" s="1"/>
  <c r="U4" i="4" a="1"/>
  <c r="U4" i="4" s="1"/>
  <c r="U12" i="4" a="1"/>
  <c r="U12" i="4" s="1"/>
  <c r="AB20" i="4"/>
  <c r="U28" i="4" a="1"/>
  <c r="U28" i="4" s="1"/>
  <c r="U36" i="4" a="1"/>
  <c r="U36" i="4" s="1"/>
  <c r="U128" i="4" a="1"/>
  <c r="U128" i="4" s="1"/>
  <c r="U136" i="4" a="1"/>
  <c r="U136" i="4" s="1"/>
  <c r="U144" i="4" a="1"/>
  <c r="U144" i="4" s="1"/>
  <c r="U152" i="4" a="1"/>
  <c r="U152" i="4" s="1"/>
  <c r="U160" i="4" a="1"/>
  <c r="U160" i="4" s="1"/>
  <c r="U168" i="4" a="1"/>
  <c r="U168" i="4" s="1"/>
  <c r="AB176" i="4"/>
  <c r="U223" i="4" a="1"/>
  <c r="U223" i="4" s="1"/>
  <c r="U279" i="4" a="1"/>
  <c r="U279" i="4" s="1"/>
  <c r="U287" i="4" a="1"/>
  <c r="U287" i="4" s="1"/>
  <c r="U295" i="4" a="1"/>
  <c r="U295" i="4" s="1"/>
  <c r="U303" i="4" a="1"/>
  <c r="U303" i="4" s="1"/>
  <c r="U560" i="4" a="1"/>
  <c r="U560" i="4" s="1"/>
  <c r="U568" i="4" a="1"/>
  <c r="U568" i="4" s="1"/>
  <c r="U576" i="4" a="1"/>
  <c r="U576" i="4" s="1"/>
  <c r="U584" i="4" a="1"/>
  <c r="U584" i="4" s="1"/>
  <c r="U592" i="4" a="1"/>
  <c r="U592" i="4" s="1"/>
  <c r="U600" i="4" a="1"/>
  <c r="U600" i="4" s="1"/>
  <c r="U616" i="4" a="1"/>
  <c r="U616" i="4" s="1"/>
  <c r="U624" i="4" a="1"/>
  <c r="U624" i="4" s="1"/>
  <c r="U632" i="4" a="1"/>
  <c r="U632" i="4" s="1"/>
  <c r="U640" i="4" a="1"/>
  <c r="U640" i="4" s="1"/>
  <c r="U648" i="4" a="1"/>
  <c r="U648" i="4" s="1"/>
  <c r="U672" i="4" a="1"/>
  <c r="U672" i="4" s="1"/>
  <c r="U680" i="4" a="1"/>
  <c r="U680" i="4" s="1"/>
  <c r="U688" i="4" a="1"/>
  <c r="U688" i="4" s="1"/>
  <c r="AB632" i="4"/>
  <c r="AB688" i="4"/>
  <c r="AA20" i="4"/>
  <c r="AA144" i="4"/>
  <c r="AA152" i="4"/>
  <c r="AA584" i="4"/>
  <c r="AA592" i="4"/>
  <c r="AA600" i="4"/>
  <c r="AA616" i="4"/>
  <c r="AA624" i="4"/>
  <c r="AG21" i="4"/>
  <c r="AG20" i="4"/>
  <c r="AA38" i="4"/>
  <c r="AA74" i="4"/>
  <c r="U74" i="4" a="1"/>
  <c r="U74" i="4" s="1"/>
  <c r="AA3" i="4"/>
  <c r="U3" i="4" a="1"/>
  <c r="U3" i="4" s="1"/>
  <c r="AA65" i="4"/>
  <c r="U65" i="4" a="1"/>
  <c r="U65" i="4" s="1"/>
  <c r="AA129" i="4"/>
  <c r="U129" i="4" a="1"/>
  <c r="U129" i="4" s="1"/>
  <c r="AA224" i="4"/>
  <c r="U224" i="4" a="1"/>
  <c r="U224" i="4" s="1"/>
  <c r="AA256" i="4"/>
  <c r="U256" i="4" a="1"/>
  <c r="U256" i="4" s="1"/>
  <c r="AA14" i="4"/>
  <c r="U14" i="4" a="1"/>
  <c r="U14" i="4" s="1"/>
  <c r="AA9" i="4"/>
  <c r="U9" i="4" a="1"/>
  <c r="U9" i="4" s="1"/>
  <c r="AA105" i="4"/>
  <c r="U105" i="4" a="1"/>
  <c r="U105" i="4" s="1"/>
  <c r="AA296" i="4"/>
  <c r="U296" i="4" a="1"/>
  <c r="U296" i="4" s="1"/>
  <c r="AA328" i="4"/>
  <c r="U328" i="4" a="1"/>
  <c r="U328" i="4" s="1"/>
  <c r="AA344" i="4"/>
  <c r="U344" i="4" a="1"/>
  <c r="U344" i="4" s="1"/>
  <c r="AA428" i="4"/>
  <c r="U428" i="4" a="1"/>
  <c r="U428" i="4" s="1"/>
  <c r="AA444" i="4"/>
  <c r="U444" i="4" a="1"/>
  <c r="U444" i="4" s="1"/>
  <c r="AA460" i="4"/>
  <c r="U460" i="4" a="1"/>
  <c r="U460" i="4" s="1"/>
  <c r="AA476" i="4"/>
  <c r="U476" i="4" a="1"/>
  <c r="U476" i="4" s="1"/>
  <c r="AA492" i="4"/>
  <c r="U492" i="4" a="1"/>
  <c r="U492" i="4" s="1"/>
  <c r="AA524" i="4"/>
  <c r="U524" i="4" a="1"/>
  <c r="U524" i="4" s="1"/>
  <c r="AA540" i="4"/>
  <c r="U540" i="4" a="1"/>
  <c r="U540" i="4" s="1"/>
  <c r="AA556" i="4"/>
  <c r="U556" i="4" a="1"/>
  <c r="U556" i="4" s="1"/>
  <c r="AA17" i="4"/>
  <c r="U17" i="4" a="1"/>
  <c r="U17" i="4" s="1"/>
  <c r="AA10" i="4"/>
  <c r="U10" i="4" a="1"/>
  <c r="U10" i="4" s="1"/>
  <c r="AA42" i="4"/>
  <c r="U42" i="4" a="1"/>
  <c r="U42" i="4" s="1"/>
  <c r="AA106" i="4"/>
  <c r="U106" i="4" a="1"/>
  <c r="U106" i="4" s="1"/>
  <c r="AA138" i="4"/>
  <c r="U138" i="4" a="1"/>
  <c r="U138" i="4" s="1"/>
  <c r="AA169" i="4"/>
  <c r="U169" i="4" a="1"/>
  <c r="U169" i="4" s="1"/>
  <c r="AA392" i="4"/>
  <c r="U392" i="4" a="1"/>
  <c r="U392" i="4" s="1"/>
  <c r="AA5" i="4"/>
  <c r="U5" i="4" a="1"/>
  <c r="U5" i="4" s="1"/>
  <c r="AA49" i="4"/>
  <c r="U49" i="4" a="1"/>
  <c r="U49" i="4" s="1"/>
  <c r="AA69" i="4"/>
  <c r="U69" i="4" a="1"/>
  <c r="U69" i="4" s="1"/>
  <c r="AA133" i="4"/>
  <c r="U133" i="4" a="1"/>
  <c r="U133" i="4" s="1"/>
  <c r="AA228" i="4"/>
  <c r="U228" i="4" a="1"/>
  <c r="U228" i="4" s="1"/>
  <c r="AA260" i="4"/>
  <c r="U260" i="4" a="1"/>
  <c r="U260" i="4" s="1"/>
  <c r="AA18" i="4"/>
  <c r="U18" i="4" a="1"/>
  <c r="U18" i="4" s="1"/>
  <c r="AA34" i="4"/>
  <c r="U34" i="4" a="1"/>
  <c r="U34" i="4" s="1"/>
  <c r="AA66" i="4"/>
  <c r="U66" i="4" a="1"/>
  <c r="U66" i="4" s="1"/>
  <c r="AA130" i="4"/>
  <c r="U130" i="4" a="1"/>
  <c r="U130" i="4" s="1"/>
  <c r="AA41" i="4"/>
  <c r="U41" i="4" a="1"/>
  <c r="U41" i="4" s="1"/>
  <c r="AA264" i="4"/>
  <c r="U264" i="4" a="1"/>
  <c r="U264" i="4" s="1"/>
  <c r="AA316" i="4"/>
  <c r="U316" i="4" a="1"/>
  <c r="U316" i="4" s="1"/>
  <c r="AA332" i="4"/>
  <c r="U332" i="4" a="1"/>
  <c r="U332" i="4" s="1"/>
  <c r="AA348" i="4"/>
  <c r="U348" i="4" a="1"/>
  <c r="U348" i="4" s="1"/>
  <c r="AA368" i="4"/>
  <c r="U368" i="4" a="1"/>
  <c r="U368" i="4" s="1"/>
  <c r="AA384" i="4"/>
  <c r="U384" i="4" a="1"/>
  <c r="U384" i="4" s="1"/>
  <c r="AA400" i="4"/>
  <c r="U400" i="4" a="1"/>
  <c r="U400" i="4" s="1"/>
  <c r="AA416" i="4"/>
  <c r="U416" i="4" a="1"/>
  <c r="U416" i="4" s="1"/>
  <c r="AA432" i="4"/>
  <c r="U432" i="4" a="1"/>
  <c r="U432" i="4" s="1"/>
  <c r="AA448" i="4"/>
  <c r="U448" i="4" a="1"/>
  <c r="U448" i="4" s="1"/>
  <c r="AA464" i="4"/>
  <c r="U464" i="4" a="1"/>
  <c r="U464" i="4" s="1"/>
  <c r="AA480" i="4"/>
  <c r="U480" i="4" a="1"/>
  <c r="U480" i="4" s="1"/>
  <c r="AA496" i="4"/>
  <c r="U496" i="4" a="1"/>
  <c r="U496" i="4" s="1"/>
  <c r="AA514" i="4"/>
  <c r="U514" i="4" a="1"/>
  <c r="U514" i="4" s="1"/>
  <c r="AA528" i="4"/>
  <c r="U528" i="4" a="1"/>
  <c r="U528" i="4" s="1"/>
  <c r="AA544" i="4"/>
  <c r="U544" i="4" a="1"/>
  <c r="U544" i="4" s="1"/>
  <c r="AA73" i="4"/>
  <c r="U73" i="4" a="1"/>
  <c r="U73" i="4" s="1"/>
  <c r="AA360" i="4"/>
  <c r="U360" i="4" a="1"/>
  <c r="U360" i="4" s="1"/>
  <c r="AA376" i="4"/>
  <c r="U376" i="4" a="1"/>
  <c r="U376" i="4" s="1"/>
  <c r="AA408" i="4"/>
  <c r="U408" i="4" a="1"/>
  <c r="U408" i="4" s="1"/>
  <c r="AA312" i="4"/>
  <c r="U312" i="4" a="1"/>
  <c r="U312" i="4" s="1"/>
  <c r="AA300" i="4"/>
  <c r="U300" i="4" a="1"/>
  <c r="U300" i="4" s="1"/>
  <c r="AA280" i="4"/>
  <c r="U280" i="4" a="1"/>
  <c r="U280" i="4" s="1"/>
  <c r="AA272" i="4"/>
  <c r="U272" i="4" a="1"/>
  <c r="U272" i="4" s="1"/>
  <c r="AA240" i="4"/>
  <c r="U240" i="4" a="1"/>
  <c r="U240" i="4" s="1"/>
  <c r="AA244" i="4"/>
  <c r="U244" i="4" a="1"/>
  <c r="U244" i="4" s="1"/>
  <c r="AA185" i="4"/>
  <c r="U185" i="4" a="1"/>
  <c r="U185" i="4" s="1"/>
  <c r="AA177" i="4"/>
  <c r="U177" i="4" a="1"/>
  <c r="U177" i="4" s="1"/>
  <c r="AA157" i="4"/>
  <c r="U157" i="4" a="1"/>
  <c r="U157" i="4" s="1"/>
  <c r="AA145" i="4"/>
  <c r="U145" i="4" a="1"/>
  <c r="U145" i="4" s="1"/>
  <c r="AA113" i="4"/>
  <c r="U113" i="4" a="1"/>
  <c r="U113" i="4" s="1"/>
  <c r="AA121" i="4"/>
  <c r="U121" i="4" a="1"/>
  <c r="U121" i="4" s="1"/>
  <c r="AA126" i="4"/>
  <c r="U126" i="4" a="1"/>
  <c r="U126" i="4" s="1"/>
  <c r="AA122" i="4"/>
  <c r="U122" i="4" a="1"/>
  <c r="U122" i="4" s="1"/>
  <c r="AA93" i="4"/>
  <c r="U93" i="4" a="1"/>
  <c r="U93" i="4" s="1"/>
  <c r="AA81" i="4"/>
  <c r="U81" i="4" a="1"/>
  <c r="U81" i="4" s="1"/>
  <c r="AA90" i="4"/>
  <c r="U90" i="4" a="1"/>
  <c r="U90" i="4" s="1"/>
  <c r="AA62" i="4"/>
  <c r="U62" i="4" a="1"/>
  <c r="U62" i="4" s="1"/>
  <c r="AA50" i="4"/>
  <c r="U50" i="4" a="1"/>
  <c r="U50" i="4" s="1"/>
  <c r="AA30" i="4"/>
  <c r="U30" i="4" a="1"/>
  <c r="U30" i="4" s="1"/>
  <c r="AA29" i="4"/>
  <c r="U29" i="4" a="1"/>
  <c r="U29" i="4" s="1"/>
  <c r="AA25" i="4"/>
  <c r="U25" i="4" a="1"/>
  <c r="U25" i="4" s="1"/>
  <c r="AB58" i="4"/>
  <c r="AB13" i="4"/>
  <c r="AB33" i="4"/>
  <c r="AB53" i="4"/>
  <c r="AB77" i="4"/>
  <c r="AB97" i="4"/>
  <c r="AB117" i="4"/>
  <c r="AB141" i="4"/>
  <c r="AB161" i="4"/>
  <c r="AB181" i="4"/>
  <c r="AB232" i="4"/>
  <c r="AB248" i="4"/>
  <c r="AB6" i="4"/>
  <c r="AB22" i="4"/>
  <c r="AB38" i="4"/>
  <c r="AB54" i="4"/>
  <c r="AA54" i="4"/>
  <c r="AB70" i="4"/>
  <c r="AB86" i="4"/>
  <c r="AB102" i="4"/>
  <c r="AB118" i="4"/>
  <c r="AB134" i="4"/>
  <c r="AB57" i="4"/>
  <c r="AB137" i="4"/>
  <c r="AB268" i="4"/>
  <c r="AB284" i="4"/>
  <c r="AB304" i="4"/>
  <c r="AB320" i="4"/>
  <c r="AB336" i="4"/>
  <c r="AB356" i="4"/>
  <c r="AB372" i="4"/>
  <c r="AB388" i="4"/>
  <c r="AB404" i="4"/>
  <c r="AB420" i="4"/>
  <c r="AB436" i="4"/>
  <c r="AB452" i="4"/>
  <c r="AB468" i="4"/>
  <c r="AB484" i="4"/>
  <c r="AB500" i="4"/>
  <c r="AB516" i="4"/>
  <c r="AB532" i="4"/>
  <c r="AB548" i="4"/>
  <c r="AB153" i="4"/>
  <c r="AA33" i="4"/>
  <c r="AA57" i="4"/>
  <c r="AA97" i="4"/>
  <c r="AA137" i="4"/>
  <c r="AA153" i="4"/>
  <c r="AA161" i="4"/>
  <c r="AA232" i="4"/>
  <c r="AA248" i="4"/>
  <c r="AA304" i="4"/>
  <c r="AA320" i="4"/>
  <c r="AA336" i="4"/>
  <c r="AA420" i="4"/>
  <c r="AA436" i="4"/>
  <c r="AA452" i="4"/>
  <c r="AA468" i="4"/>
  <c r="AA484" i="4"/>
  <c r="AA500" i="4"/>
  <c r="AA516" i="4"/>
  <c r="AA532" i="4"/>
  <c r="AA548" i="4"/>
  <c r="AB17" i="4"/>
  <c r="AB61" i="4"/>
  <c r="AB101" i="4"/>
  <c r="AB165" i="4"/>
  <c r="AB236" i="4"/>
  <c r="AB10" i="4"/>
  <c r="AB42" i="4"/>
  <c r="AB74" i="4"/>
  <c r="AB90" i="4"/>
  <c r="AB122" i="4"/>
  <c r="AB138" i="4"/>
  <c r="AB73" i="4"/>
  <c r="AB169" i="4"/>
  <c r="AB272" i="4"/>
  <c r="AB292" i="4"/>
  <c r="AB308" i="4"/>
  <c r="AB324" i="4"/>
  <c r="AB340" i="4"/>
  <c r="AB360" i="4"/>
  <c r="AB376" i="4"/>
  <c r="AB408" i="4"/>
  <c r="AB424" i="4"/>
  <c r="AB440" i="4"/>
  <c r="AB456" i="4"/>
  <c r="AB472" i="4"/>
  <c r="AB488" i="4"/>
  <c r="AB506" i="4"/>
  <c r="AB520" i="4"/>
  <c r="AB536" i="4"/>
  <c r="AB552" i="4"/>
  <c r="V3" i="4"/>
  <c r="AB3" i="4"/>
  <c r="AA506" i="4"/>
  <c r="AB37" i="4"/>
  <c r="AB81" i="4"/>
  <c r="AB125" i="4"/>
  <c r="AB145" i="4"/>
  <c r="AB220" i="4"/>
  <c r="AB252" i="4"/>
  <c r="AB26" i="4"/>
  <c r="AA26" i="4"/>
  <c r="AB392" i="4"/>
  <c r="AB21" i="4"/>
  <c r="AB45" i="4"/>
  <c r="AB65" i="4"/>
  <c r="AB85" i="4"/>
  <c r="AB109" i="4"/>
  <c r="AB129" i="4"/>
  <c r="AB149" i="4"/>
  <c r="AB173" i="4"/>
  <c r="AB224" i="4"/>
  <c r="AB240" i="4"/>
  <c r="AB256" i="4"/>
  <c r="AB14" i="4"/>
  <c r="AB30" i="4"/>
  <c r="AB46" i="4"/>
  <c r="AB62" i="4"/>
  <c r="AB78" i="4"/>
  <c r="AA78" i="4"/>
  <c r="AB94" i="4"/>
  <c r="AB110" i="4"/>
  <c r="AA110" i="4"/>
  <c r="AB126" i="4"/>
  <c r="AB9" i="4"/>
  <c r="AB105" i="4"/>
  <c r="AB185" i="4"/>
  <c r="AB276" i="4"/>
  <c r="AB296" i="4"/>
  <c r="AB312" i="4"/>
  <c r="AB328" i="4"/>
  <c r="AB344" i="4"/>
  <c r="AB364" i="4"/>
  <c r="AB380" i="4"/>
  <c r="AB396" i="4"/>
  <c r="AB412" i="4"/>
  <c r="AB428" i="4"/>
  <c r="AB444" i="4"/>
  <c r="AB460" i="4"/>
  <c r="AB476" i="4"/>
  <c r="AB492" i="4"/>
  <c r="AB510" i="4"/>
  <c r="AB524" i="4"/>
  <c r="AB540" i="4"/>
  <c r="AB556" i="4"/>
  <c r="AA13" i="4"/>
  <c r="AA21" i="4"/>
  <c r="AA37" i="4"/>
  <c r="AA45" i="4"/>
  <c r="AA53" i="4"/>
  <c r="AA61" i="4"/>
  <c r="AA77" i="4"/>
  <c r="AA85" i="4"/>
  <c r="AA101" i="4"/>
  <c r="AA109" i="4"/>
  <c r="AA117" i="4"/>
  <c r="AA125" i="4"/>
  <c r="AA141" i="4"/>
  <c r="AA149" i="4"/>
  <c r="AA165" i="4"/>
  <c r="AA173" i="4"/>
  <c r="AA181" i="4"/>
  <c r="AA220" i="4"/>
  <c r="AA236" i="4"/>
  <c r="AA252" i="4"/>
  <c r="AA268" i="4"/>
  <c r="AA276" i="4"/>
  <c r="AA284" i="4"/>
  <c r="AA292" i="4"/>
  <c r="AA308" i="4"/>
  <c r="AA324" i="4"/>
  <c r="AA340" i="4"/>
  <c r="AA356" i="4"/>
  <c r="AA364" i="4"/>
  <c r="AA372" i="4"/>
  <c r="AA380" i="4"/>
  <c r="AA388" i="4"/>
  <c r="AA396" i="4"/>
  <c r="AA404" i="4"/>
  <c r="AA412" i="4"/>
  <c r="AA6" i="4"/>
  <c r="AA22" i="4"/>
  <c r="AA46" i="4"/>
  <c r="AA58" i="4"/>
  <c r="AA70" i="4"/>
  <c r="AA86" i="4"/>
  <c r="AA102" i="4"/>
  <c r="AA118" i="4"/>
  <c r="AA134" i="4"/>
  <c r="AA424" i="4"/>
  <c r="AA440" i="4"/>
  <c r="AA456" i="4"/>
  <c r="AA472" i="4"/>
  <c r="AA488" i="4"/>
  <c r="AA520" i="4"/>
  <c r="AA536" i="4"/>
  <c r="AA552" i="4"/>
  <c r="AB106" i="4"/>
  <c r="AB5" i="4"/>
  <c r="AB29" i="4"/>
  <c r="AB49" i="4"/>
  <c r="AB69" i="4"/>
  <c r="AB93" i="4"/>
  <c r="AB113" i="4"/>
  <c r="AB133" i="4"/>
  <c r="AB157" i="4"/>
  <c r="AB177" i="4"/>
  <c r="AB228" i="4"/>
  <c r="AB244" i="4"/>
  <c r="AB260" i="4"/>
  <c r="AB18" i="4"/>
  <c r="AB34" i="4"/>
  <c r="AB50" i="4"/>
  <c r="AB66" i="4"/>
  <c r="AB82" i="4"/>
  <c r="AA82" i="4"/>
  <c r="AB98" i="4"/>
  <c r="AB114" i="4"/>
  <c r="AA114" i="4"/>
  <c r="AB130" i="4"/>
  <c r="AB41" i="4"/>
  <c r="AB121" i="4"/>
  <c r="AB264" i="4"/>
  <c r="AB280" i="4"/>
  <c r="AB300" i="4"/>
  <c r="AB316" i="4"/>
  <c r="AB332" i="4"/>
  <c r="AB348" i="4"/>
  <c r="AB368" i="4"/>
  <c r="AB384" i="4"/>
  <c r="AB400" i="4"/>
  <c r="AB416" i="4"/>
  <c r="AB432" i="4"/>
  <c r="AB448" i="4"/>
  <c r="AB464" i="4"/>
  <c r="AB480" i="4"/>
  <c r="AB496" i="4"/>
  <c r="AB514" i="4"/>
  <c r="AB528" i="4"/>
  <c r="AB544" i="4"/>
  <c r="AB25" i="4"/>
  <c r="AA94" i="4"/>
  <c r="AA98" i="4"/>
  <c r="AA510" i="4"/>
  <c r="AB13" i="3"/>
  <c r="AB14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<sst xmlns="http://schemas.openxmlformats.org/spreadsheetml/2006/main" count="4919" uniqueCount="123">
  <si>
    <t>Material</t>
  </si>
  <si>
    <t>Power</t>
  </si>
  <si>
    <t>Velocity</t>
  </si>
  <si>
    <t>Density</t>
  </si>
  <si>
    <t>Heat of Fusion</t>
  </si>
  <si>
    <t xml:space="preserve">Heat of Vaporization </t>
  </si>
  <si>
    <t xml:space="preserve">Linear Expansion Coefficient </t>
  </si>
  <si>
    <t>Specific Heat Capacity</t>
  </si>
  <si>
    <t>Thermal Conductivity</t>
  </si>
  <si>
    <t>Melting Point</t>
  </si>
  <si>
    <t>Boiling Point</t>
  </si>
  <si>
    <t xml:space="preserve">Reflection Coefficient </t>
  </si>
  <si>
    <t>normalized enthalpy</t>
  </si>
  <si>
    <t>width</t>
  </si>
  <si>
    <t>Depth</t>
  </si>
  <si>
    <t>Aspect ratio</t>
  </si>
  <si>
    <t>Symbol</t>
  </si>
  <si>
    <t>P</t>
  </si>
  <si>
    <t>V</t>
  </si>
  <si>
    <t>ρ</t>
  </si>
  <si>
    <t>ΔHf</t>
  </si>
  <si>
    <t>ΔHv</t>
  </si>
  <si>
    <t>α</t>
  </si>
  <si>
    <t>Cp</t>
  </si>
  <si>
    <t>λ</t>
  </si>
  <si>
    <t>Tm</t>
  </si>
  <si>
    <t>Tb</t>
  </si>
  <si>
    <t>R</t>
  </si>
  <si>
    <t>∆H/hs</t>
  </si>
  <si>
    <t>W</t>
  </si>
  <si>
    <t>D</t>
  </si>
  <si>
    <t>AR</t>
  </si>
  <si>
    <t>Unit</t>
  </si>
  <si>
    <t>mm/s</t>
  </si>
  <si>
    <t>(g/cm³)</t>
  </si>
  <si>
    <t>(J/g)</t>
  </si>
  <si>
    <t>(1/K)</t>
  </si>
  <si>
    <t>(J/g·K)</t>
  </si>
  <si>
    <t>(W/m·K)</t>
  </si>
  <si>
    <t>(°C)</t>
  </si>
  <si>
    <t>dimensionless</t>
  </si>
  <si>
    <t>um</t>
  </si>
  <si>
    <t>Mg</t>
  </si>
  <si>
    <t>Al</t>
  </si>
  <si>
    <t>Zn</t>
  </si>
  <si>
    <t>Be</t>
  </si>
  <si>
    <t>Ti</t>
  </si>
  <si>
    <t>Cr</t>
  </si>
  <si>
    <t>Fe</t>
  </si>
  <si>
    <t>Co</t>
  </si>
  <si>
    <t>Ni</t>
  </si>
  <si>
    <t>Y</t>
  </si>
  <si>
    <t>Zr</t>
  </si>
  <si>
    <t>Gd</t>
  </si>
  <si>
    <t>Sn</t>
  </si>
  <si>
    <t>Sb</t>
  </si>
  <si>
    <t>Pb</t>
  </si>
  <si>
    <t>Bi</t>
  </si>
  <si>
    <t>Nb</t>
  </si>
  <si>
    <t>Mo</t>
  </si>
  <si>
    <t>Ta</t>
  </si>
  <si>
    <t>Re</t>
  </si>
  <si>
    <t>Si</t>
  </si>
  <si>
    <t>Diffusivity</t>
  </si>
  <si>
    <t>Energy density</t>
  </si>
  <si>
    <t>energy density catagorize</t>
  </si>
  <si>
    <t>melt point category</t>
  </si>
  <si>
    <t>Ratio D/W</t>
  </si>
  <si>
    <t>catagarize</t>
  </si>
  <si>
    <t>W/D</t>
  </si>
  <si>
    <t>(%)</t>
  </si>
  <si>
    <t>25.2 × 10⁻⁶</t>
  </si>
  <si>
    <t>keyhole</t>
  </si>
  <si>
    <t>severe keyhole</t>
  </si>
  <si>
    <t>transition</t>
  </si>
  <si>
    <t>balling</t>
  </si>
  <si>
    <t>conduction</t>
  </si>
  <si>
    <t>stable</t>
  </si>
  <si>
    <t>lack of fusion</t>
  </si>
  <si>
    <t>melt point</t>
  </si>
  <si>
    <t>max</t>
  </si>
  <si>
    <t>min</t>
  </si>
  <si>
    <t>D/W</t>
  </si>
  <si>
    <t>depth</t>
  </si>
  <si>
    <t>density</t>
  </si>
  <si>
    <t>23.1 × 10⁻⁶</t>
  </si>
  <si>
    <t>30.2 × 10⁻⁶</t>
  </si>
  <si>
    <t>11.3 × 10⁻⁶</t>
  </si>
  <si>
    <t>8.6 × 10⁻⁶</t>
  </si>
  <si>
    <t>8.4 × 10⁻⁶</t>
  </si>
  <si>
    <t>11.8 × 10⁻⁶</t>
  </si>
  <si>
    <t>13.0 × 10⁻⁶</t>
  </si>
  <si>
    <t>13.4 × 10⁻⁶</t>
  </si>
  <si>
    <t>10.6 × 10⁻⁶</t>
  </si>
  <si>
    <t>5.7 × 10⁻⁶</t>
  </si>
  <si>
    <t>9.4 × 10⁻⁶</t>
  </si>
  <si>
    <t>22.0 × 10⁻⁶</t>
  </si>
  <si>
    <t>11.0 × 10⁻⁶</t>
  </si>
  <si>
    <t>28.9 × 10⁻⁶</t>
  </si>
  <si>
    <t>7.3 × 10⁻⁶</t>
  </si>
  <si>
    <t>4.8 × 10⁻⁶</t>
  </si>
  <si>
    <t>6.3 × 10⁻⁶</t>
  </si>
  <si>
    <t>4.5 × 10⁻⁶</t>
  </si>
  <si>
    <t>2.6 × 10⁻⁶</t>
  </si>
  <si>
    <t>absorptivity</t>
  </si>
  <si>
    <t>hs</t>
  </si>
  <si>
    <t>thermal diffusivity𝛼</t>
  </si>
  <si>
    <t>laser radii</t>
  </si>
  <si>
    <t>liear energy density</t>
  </si>
  <si>
    <t>log(∆H/hs)</t>
  </si>
  <si>
    <t>Pe</t>
  </si>
  <si>
    <t>log(Pe)</t>
  </si>
  <si>
    <t>log(D/W)</t>
  </si>
  <si>
    <t>predict_AR_1</t>
  </si>
  <si>
    <t>predict_AR_2</t>
  </si>
  <si>
    <t>A</t>
  </si>
  <si>
    <t>J/g</t>
  </si>
  <si>
    <t>m2/s</t>
  </si>
  <si>
    <t>shap value</t>
  </si>
  <si>
    <t>4.9 × 10⁻⁶</t>
  </si>
  <si>
    <t>6.2 × 10⁻⁶</t>
  </si>
  <si>
    <t>×</t>
  </si>
  <si>
    <t>10⁻⁶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</si>
</sst>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charset val="134"/>
      <scheme val="minor"/>
    </font>
    <font>
      <sz val="9"/>
      <name val="Aptos Narrow"/>
      <family val="2"/>
      <charset val="134"/>
      <scheme val="minor"/>
    </font>
    <font>
      <sz val="11"/>
      <name val="Aptos Narrow"/>
      <family val="3"/>
      <charset val="134"/>
      <scheme val="minor"/>
    </font>
    <font>
      <sz val="14"/>
      <color theme="1"/>
      <name val="Times New Roman"/>
      <family val="1"/>
    </font>
    <font>
      <sz val="1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8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11" fontId="4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2" fontId="6" fillId="3" borderId="3" xfId="0" applyNumberFormat="1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2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3" xfId="0" quotePrefix="1" applyFont="1" applyBorder="1" applyAlignment="1">
      <alignment horizontal="center" vertical="center"/>
    </xf>
    <xf numFmtId="2" fontId="5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1" fontId="6" fillId="0" borderId="3" xfId="0" applyNumberFormat="1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11" fontId="4" fillId="0" borderId="7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3" fillId="0" borderId="6" xfId="0" applyFont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11" fontId="4" fillId="0" borderId="5" xfId="0" applyNumberFormat="1" applyFont="1" applyBorder="1" applyAlignment="1">
      <alignment horizontal="center" vertical="center" wrapText="1"/>
    </xf>
    <xf numFmtId="0" fontId="0" fillId="0" borderId="3" xfId="0" applyBorder="1">
      <alignment vertical="center"/>
    </xf>
    <xf numFmtId="11" fontId="5" fillId="0" borderId="3" xfId="0" applyNumberFormat="1" applyFont="1" applyBorder="1" applyAlignment="1">
      <alignment horizontal="center" vertical="center"/>
    </xf>
    <xf numFmtId="11" fontId="0" fillId="0" borderId="0" xfId="0" applyNumberFormat="1">
      <alignment vertical="center"/>
    </xf>
    <xf numFmtId="0" fontId="5" fillId="4" borderId="3" xfId="0" applyFont="1" applyFill="1" applyBorder="1" applyAlignment="1">
      <alignment horizontal="center" vertical="center"/>
    </xf>
    <xf numFmtId="11" fontId="5" fillId="4" borderId="3" xfId="0" applyNumberFormat="1" applyFont="1" applyFill="1" applyBorder="1" applyAlignment="1">
      <alignment horizontal="center" vertical="center"/>
    </xf>
    <xf numFmtId="2" fontId="5" fillId="4" borderId="3" xfId="0" applyNumberFormat="1" applyFont="1" applyFill="1" applyBorder="1" applyAlignment="1">
      <alignment horizontal="center" vertical="center"/>
    </xf>
    <xf numFmtId="0" fontId="0" fillId="4" borderId="3" xfId="0" applyFill="1" applyBorder="1">
      <alignment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429560</xdr:colOff>
      <xdr:row>0</xdr:row>
      <xdr:rowOff>298823</xdr:rowOff>
    </xdr:from>
    <xdr:to>
      <xdr:col>32</xdr:col>
      <xdr:colOff>159872</xdr:colOff>
      <xdr:row>0</xdr:row>
      <xdr:rowOff>683359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D8344C-6F99-73BB-C2DC-D2A0F12258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173207" y="298823"/>
          <a:ext cx="2180664" cy="481921"/>
        </a:xfrm>
        <a:prstGeom prst="rect">
          <a:avLst/>
        </a:prstGeom>
      </xdr:spPr>
    </xdr:pic>
    <xdr:clientData/>
  </xdr:twoCellAnchor>
  <xdr:twoCellAnchor editAs="oneCell">
    <xdr:from>
      <xdr:col>29</xdr:col>
      <xdr:colOff>571501</xdr:colOff>
      <xdr:row>7</xdr:row>
      <xdr:rowOff>63873</xdr:rowOff>
    </xdr:from>
    <xdr:to>
      <xdr:col>32</xdr:col>
      <xdr:colOff>314317</xdr:colOff>
      <xdr:row>11</xdr:row>
      <xdr:rowOff>125885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DB12ED-58EA-EE18-A50F-78737707B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6927736" y="1901638"/>
          <a:ext cx="1580579" cy="1032121"/>
        </a:xfrm>
        <a:prstGeom prst="rect">
          <a:avLst/>
        </a:prstGeom>
      </xdr:spPr>
    </xdr:pic>
    <xdr:clientData/>
  </xdr:twoCellAnchor>
  <xdr:twoCellAnchor editAs="oneCell">
    <xdr:from>
      <xdr:col>28</xdr:col>
      <xdr:colOff>560294</xdr:colOff>
      <xdr:row>11</xdr:row>
      <xdr:rowOff>156882</xdr:rowOff>
    </xdr:from>
    <xdr:to>
      <xdr:col>32</xdr:col>
      <xdr:colOff>386132</xdr:colOff>
      <xdr:row>13</xdr:row>
      <xdr:rowOff>45925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18D698-4A99-5877-06BC-9561FE0182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303941" y="2741706"/>
          <a:ext cx="2276190" cy="371429"/>
        </a:xfrm>
        <a:prstGeom prst="rect">
          <a:avLst/>
        </a:prstGeom>
      </xdr:spPr>
    </xdr:pic>
    <xdr:clientData/>
  </xdr:twoCellAnchor>
  <xdr:twoCellAnchor editAs="oneCell">
    <xdr:from>
      <xdr:col>29</xdr:col>
      <xdr:colOff>97117</xdr:colOff>
      <xdr:row>14</xdr:row>
      <xdr:rowOff>74707</xdr:rowOff>
    </xdr:from>
    <xdr:to>
      <xdr:col>34</xdr:col>
      <xdr:colOff>118330</xdr:colOff>
      <xdr:row>16</xdr:row>
      <xdr:rowOff>190545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FBE20E97-F16A-083F-4AE3-42AEBC65D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453352" y="3219825"/>
          <a:ext cx="3102297" cy="603560"/>
        </a:xfrm>
        <a:prstGeom prst="rect">
          <a:avLst/>
        </a:prstGeom>
      </xdr:spPr>
    </xdr:pic>
    <xdr:clientData/>
  </xdr:twoCellAnchor>
  <xdr:twoCellAnchor editAs="oneCell">
    <xdr:from>
      <xdr:col>28</xdr:col>
      <xdr:colOff>453571</xdr:colOff>
      <xdr:row>2</xdr:row>
      <xdr:rowOff>154214</xdr:rowOff>
    </xdr:from>
    <xdr:to>
      <xdr:col>34</xdr:col>
      <xdr:colOff>360143</xdr:colOff>
      <xdr:row>7</xdr:row>
      <xdr:rowOff>165404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D0E96D4-202C-4338-CA24-FB77070A0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876500" y="1079500"/>
          <a:ext cx="3571429" cy="1190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4F50B-A9CF-4F64-B27A-A8696073AB3D}">
  <dimension ref="A1:Q723"/>
  <sheetViews>
    <sheetView tabSelected="1" defaultGridColor="0" colorId="8" zoomScale="85" zoomScaleNormal="85" workbookViewId="0">
      <pane ySplit="3" topLeftCell="A129" activePane="bottomLeft" state="frozen"/>
      <selection pane="bottomLeft" activeCell="I148" sqref="I148"/>
    </sheetView>
  </sheetViews>
  <sheetFormatPr defaultColWidth="8.75" defaultRowHeight="15.6"/>
  <cols>
    <col min="1" max="1" width="8.75" style="32"/>
    <col min="2" max="5" width="16.5" style="32" customWidth="1"/>
    <col min="6" max="9" width="21.875" style="32" customWidth="1"/>
    <col min="10" max="12" width="17.375" style="32" customWidth="1"/>
    <col min="13" max="13" width="18.75" style="34" bestFit="1" customWidth="1"/>
    <col min="14" max="15" width="17.375" style="32" customWidth="1"/>
    <col min="16" max="16" width="17.375" style="34" customWidth="1"/>
    <col min="17" max="17" width="8.75" style="76"/>
    <col min="18" max="19" width="8.75" style="32"/>
    <col min="20" max="20" width="11.875" style="32" bestFit="1" customWidth="1"/>
    <col min="21" max="25" width="8.75" style="32"/>
    <col min="26" max="26" width="11.625" style="32" bestFit="1" customWidth="1"/>
    <col min="27" max="16384" width="8.75" style="32"/>
  </cols>
  <sheetData>
    <row r="1" spans="1:16" s="25" customFormat="1" ht="30.9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8" t="s">
        <v>12</v>
      </c>
      <c r="N1" s="26" t="s">
        <v>13</v>
      </c>
      <c r="O1" s="26" t="s">
        <v>14</v>
      </c>
      <c r="P1" s="27" t="s">
        <v>15</v>
      </c>
    </row>
    <row r="2" spans="1:16" s="25" customFormat="1">
      <c r="A2" s="25" t="s">
        <v>16</v>
      </c>
      <c r="B2" s="25" t="s">
        <v>17</v>
      </c>
      <c r="C2" s="25" t="s">
        <v>18</v>
      </c>
      <c r="D2" s="29" t="s">
        <v>19</v>
      </c>
      <c r="E2" s="29" t="s">
        <v>20</v>
      </c>
      <c r="F2" s="29" t="s">
        <v>21</v>
      </c>
      <c r="G2" s="29" t="s">
        <v>22</v>
      </c>
      <c r="H2" s="29" t="s">
        <v>23</v>
      </c>
      <c r="I2" s="32" t="s">
        <v>24</v>
      </c>
      <c r="J2" s="29" t="s">
        <v>25</v>
      </c>
      <c r="K2" s="29" t="s">
        <v>26</v>
      </c>
      <c r="L2" s="29" t="s">
        <v>27</v>
      </c>
      <c r="M2" s="31" t="s">
        <v>28</v>
      </c>
      <c r="N2" s="29" t="s">
        <v>29</v>
      </c>
      <c r="O2" s="29" t="s">
        <v>30</v>
      </c>
      <c r="P2" s="30" t="s">
        <v>31</v>
      </c>
    </row>
    <row r="3" spans="1:16">
      <c r="A3" s="32" t="s">
        <v>32</v>
      </c>
      <c r="B3" s="32" t="s">
        <v>29</v>
      </c>
      <c r="C3" s="32" t="s">
        <v>33</v>
      </c>
      <c r="D3" s="32" t="s">
        <v>34</v>
      </c>
      <c r="E3" s="32" t="s">
        <v>35</v>
      </c>
      <c r="F3" s="32" t="s">
        <v>35</v>
      </c>
      <c r="G3" s="32" t="s">
        <v>36</v>
      </c>
      <c r="H3" s="32" t="s">
        <v>37</v>
      </c>
      <c r="I3" s="32" t="s">
        <v>38</v>
      </c>
      <c r="J3" s="32" t="s">
        <v>39</v>
      </c>
      <c r="K3" s="32" t="s">
        <v>39</v>
      </c>
      <c r="L3" s="33" t="s">
        <v>40</v>
      </c>
      <c r="M3" s="33" t="s">
        <v>40</v>
      </c>
      <c r="N3" s="32" t="s">
        <v>41</v>
      </c>
      <c r="O3" s="32" t="s">
        <v>41</v>
      </c>
      <c r="P3" s="33" t="s">
        <v>40</v>
      </c>
    </row>
    <row r="4" spans="1:16">
      <c r="A4" s="32" t="s">
        <v>42</v>
      </c>
      <c r="B4" s="32">
        <v>200</v>
      </c>
      <c r="C4" s="32">
        <v>200</v>
      </c>
      <c r="D4" s="32">
        <v>1.738</v>
      </c>
      <c r="E4" s="32">
        <v>357.95103888088869</v>
      </c>
      <c r="F4" s="32">
        <v>5241.7198107385311</v>
      </c>
      <c r="G4" s="77">
        <v>2.5199999999999999E-5</v>
      </c>
      <c r="H4" s="32">
        <v>1.0229999999999999</v>
      </c>
      <c r="I4" s="32">
        <v>156</v>
      </c>
      <c r="J4" s="32">
        <v>650</v>
      </c>
      <c r="K4" s="32">
        <v>1090</v>
      </c>
      <c r="L4" s="32">
        <v>0.6</v>
      </c>
      <c r="M4" s="34">
        <v>30.020053360185024</v>
      </c>
      <c r="N4" s="32">
        <v>220.19</v>
      </c>
      <c r="O4" s="32">
        <v>427.22</v>
      </c>
      <c r="P4" s="34">
        <f>O4/N4</f>
        <v>1.9402334347608885</v>
      </c>
    </row>
    <row r="5" spans="1:16">
      <c r="A5" s="32" t="s">
        <v>42</v>
      </c>
      <c r="B5" s="32">
        <v>200</v>
      </c>
      <c r="C5" s="32">
        <v>400</v>
      </c>
      <c r="D5" s="32">
        <v>1.738</v>
      </c>
      <c r="E5" s="32">
        <v>357.95103888088869</v>
      </c>
      <c r="F5" s="32">
        <v>5241.7198107385311</v>
      </c>
      <c r="G5" s="77">
        <v>2.5199999999999999E-5</v>
      </c>
      <c r="H5" s="32">
        <v>1.0229999999999999</v>
      </c>
      <c r="I5" s="32">
        <v>156</v>
      </c>
      <c r="J5" s="32">
        <v>650</v>
      </c>
      <c r="K5" s="32">
        <v>1090</v>
      </c>
      <c r="L5" s="32">
        <v>0.6</v>
      </c>
      <c r="M5" s="34">
        <v>21.227383302568832</v>
      </c>
      <c r="N5" s="32">
        <v>197.4</v>
      </c>
      <c r="O5" s="32">
        <v>243.73</v>
      </c>
      <c r="P5" s="34">
        <f t="shared" ref="P5:P68" si="0">O5/N5</f>
        <v>1.2347011144883484</v>
      </c>
    </row>
    <row r="6" spans="1:16">
      <c r="A6" s="32" t="s">
        <v>42</v>
      </c>
      <c r="B6" s="32">
        <v>200</v>
      </c>
      <c r="C6" s="32">
        <v>600</v>
      </c>
      <c r="D6" s="32">
        <v>1.738</v>
      </c>
      <c r="E6" s="32">
        <v>357.95103888088869</v>
      </c>
      <c r="F6" s="32">
        <v>5241.7198107385311</v>
      </c>
      <c r="G6" s="77">
        <v>2.5199999999999999E-5</v>
      </c>
      <c r="H6" s="32">
        <v>1.0229999999999999</v>
      </c>
      <c r="I6" s="32">
        <v>156</v>
      </c>
      <c r="J6" s="32">
        <v>650</v>
      </c>
      <c r="K6" s="32">
        <v>1090</v>
      </c>
      <c r="L6" s="32">
        <v>0.6</v>
      </c>
      <c r="M6" s="34">
        <v>17.332085888589756</v>
      </c>
      <c r="N6" s="32">
        <v>163.18</v>
      </c>
      <c r="O6" s="32">
        <v>167</v>
      </c>
      <c r="P6" s="34">
        <f t="shared" si="0"/>
        <v>1.023409731584753</v>
      </c>
    </row>
    <row r="7" spans="1:16">
      <c r="A7" s="32" t="s">
        <v>42</v>
      </c>
      <c r="B7" s="32">
        <v>200</v>
      </c>
      <c r="C7" s="32">
        <v>800</v>
      </c>
      <c r="D7" s="32">
        <v>1.738</v>
      </c>
      <c r="E7" s="32">
        <v>357.95103888088869</v>
      </c>
      <c r="F7" s="32">
        <v>5241.7198107385311</v>
      </c>
      <c r="G7" s="77">
        <v>2.5199999999999999E-5</v>
      </c>
      <c r="H7" s="32">
        <v>1.0229999999999999</v>
      </c>
      <c r="I7" s="32">
        <v>156</v>
      </c>
      <c r="J7" s="32">
        <v>650</v>
      </c>
      <c r="K7" s="32">
        <v>1090</v>
      </c>
      <c r="L7" s="32">
        <v>0.6</v>
      </c>
      <c r="M7" s="34">
        <v>15.010026680092512</v>
      </c>
      <c r="N7" s="32">
        <v>151.47999999999999</v>
      </c>
      <c r="O7" s="32">
        <v>96</v>
      </c>
      <c r="P7" s="34">
        <f t="shared" si="0"/>
        <v>0.63374702931080018</v>
      </c>
    </row>
    <row r="8" spans="1:16">
      <c r="A8" s="32" t="s">
        <v>42</v>
      </c>
      <c r="B8" s="32">
        <v>200</v>
      </c>
      <c r="C8" s="32">
        <v>1200</v>
      </c>
      <c r="D8" s="32">
        <v>1.738</v>
      </c>
      <c r="E8" s="32">
        <v>357.95103888088869</v>
      </c>
      <c r="F8" s="32">
        <v>5241.7198107385311</v>
      </c>
      <c r="G8" s="77">
        <v>2.5199999999999999E-5</v>
      </c>
      <c r="H8" s="32">
        <v>1.0229999999999999</v>
      </c>
      <c r="I8" s="32">
        <v>156</v>
      </c>
      <c r="J8" s="32">
        <v>650</v>
      </c>
      <c r="K8" s="32">
        <v>1090</v>
      </c>
      <c r="L8" s="32">
        <v>0.6</v>
      </c>
      <c r="M8" s="34">
        <v>12.255635463929483</v>
      </c>
      <c r="N8" s="32">
        <v>131.46</v>
      </c>
      <c r="O8" s="32">
        <v>62.18</v>
      </c>
      <c r="P8" s="34">
        <f t="shared" si="0"/>
        <v>0.47299558801156244</v>
      </c>
    </row>
    <row r="9" spans="1:16">
      <c r="A9" s="32" t="s">
        <v>42</v>
      </c>
      <c r="B9" s="32">
        <v>200</v>
      </c>
      <c r="C9" s="32">
        <v>1600</v>
      </c>
      <c r="D9" s="32">
        <v>1.738</v>
      </c>
      <c r="E9" s="32">
        <v>357.95103888088869</v>
      </c>
      <c r="F9" s="32">
        <v>5241.7198107385311</v>
      </c>
      <c r="G9" s="77">
        <v>2.5199999999999999E-5</v>
      </c>
      <c r="H9" s="32">
        <v>1.0229999999999999</v>
      </c>
      <c r="I9" s="32">
        <v>156</v>
      </c>
      <c r="J9" s="32">
        <v>650</v>
      </c>
      <c r="K9" s="32">
        <v>1090</v>
      </c>
      <c r="L9" s="32">
        <v>0.6</v>
      </c>
      <c r="M9" s="34">
        <v>10.613691651284416</v>
      </c>
      <c r="N9" s="32">
        <v>115.55</v>
      </c>
      <c r="O9" s="32">
        <v>49</v>
      </c>
      <c r="P9" s="34">
        <f t="shared" si="0"/>
        <v>0.42405884898312418</v>
      </c>
    </row>
    <row r="10" spans="1:16">
      <c r="A10" s="32" t="s">
        <v>42</v>
      </c>
      <c r="B10" s="32">
        <v>200</v>
      </c>
      <c r="C10" s="32">
        <v>2000</v>
      </c>
      <c r="D10" s="32">
        <v>1.738</v>
      </c>
      <c r="E10" s="32">
        <v>357.95103888088869</v>
      </c>
      <c r="F10" s="32">
        <v>5241.7198107385311</v>
      </c>
      <c r="G10" s="77">
        <v>2.5199999999999999E-5</v>
      </c>
      <c r="H10" s="32">
        <v>1.0229999999999999</v>
      </c>
      <c r="I10" s="32">
        <v>156</v>
      </c>
      <c r="J10" s="32">
        <v>650</v>
      </c>
      <c r="K10" s="32">
        <v>1090</v>
      </c>
      <c r="L10" s="32">
        <v>0.6</v>
      </c>
      <c r="M10" s="34">
        <v>9.4931744097975788</v>
      </c>
      <c r="N10" s="32">
        <v>81.540000000000006</v>
      </c>
      <c r="O10" s="32">
        <v>32.590000000000003</v>
      </c>
      <c r="P10" s="34">
        <f t="shared" si="0"/>
        <v>0.39968113809173411</v>
      </c>
    </row>
    <row r="11" spans="1:16">
      <c r="A11" s="32" t="s">
        <v>42</v>
      </c>
      <c r="B11" s="32">
        <v>200</v>
      </c>
      <c r="C11" s="32">
        <v>2400</v>
      </c>
      <c r="D11" s="32">
        <v>1.738</v>
      </c>
      <c r="E11" s="32">
        <v>357.95103888088869</v>
      </c>
      <c r="F11" s="32">
        <v>5241.7198107385311</v>
      </c>
      <c r="G11" s="77">
        <v>2.5199999999999999E-5</v>
      </c>
      <c r="H11" s="32">
        <v>1.0229999999999999</v>
      </c>
      <c r="I11" s="32">
        <v>156</v>
      </c>
      <c r="J11" s="32">
        <v>650</v>
      </c>
      <c r="K11" s="32">
        <v>1090</v>
      </c>
      <c r="L11" s="32">
        <v>0.6</v>
      </c>
      <c r="M11" s="34">
        <v>8.6660429442948779</v>
      </c>
      <c r="N11" s="32">
        <v>55.54</v>
      </c>
      <c r="O11" s="32">
        <v>26.23</v>
      </c>
      <c r="P11" s="34">
        <f t="shared" si="0"/>
        <v>0.47227223622614334</v>
      </c>
    </row>
    <row r="12" spans="1:16">
      <c r="A12" s="32" t="s">
        <v>42</v>
      </c>
      <c r="B12" s="32">
        <v>350</v>
      </c>
      <c r="C12" s="32">
        <v>400</v>
      </c>
      <c r="D12" s="32">
        <v>1.738</v>
      </c>
      <c r="E12" s="32">
        <v>357.95103888088869</v>
      </c>
      <c r="F12" s="32">
        <v>5241.7198107385311</v>
      </c>
      <c r="G12" s="77">
        <v>2.5199999999999999E-5</v>
      </c>
      <c r="H12" s="32">
        <v>1.0229999999999999</v>
      </c>
      <c r="I12" s="32">
        <v>156</v>
      </c>
      <c r="J12" s="32">
        <v>650</v>
      </c>
      <c r="K12" s="32">
        <v>1090</v>
      </c>
      <c r="L12" s="32">
        <v>0.6</v>
      </c>
      <c r="M12" s="34">
        <v>37.14792077949545</v>
      </c>
      <c r="N12" s="32">
        <v>240</v>
      </c>
      <c r="O12" s="32">
        <v>355.4</v>
      </c>
      <c r="P12" s="34">
        <f t="shared" si="0"/>
        <v>1.4808333333333332</v>
      </c>
    </row>
    <row r="13" spans="1:16">
      <c r="A13" s="32" t="s">
        <v>42</v>
      </c>
      <c r="B13" s="32">
        <v>350</v>
      </c>
      <c r="C13" s="32">
        <v>600</v>
      </c>
      <c r="D13" s="32">
        <v>1.738</v>
      </c>
      <c r="E13" s="32">
        <v>357.95103888088869</v>
      </c>
      <c r="F13" s="32">
        <v>5241.7198107385311</v>
      </c>
      <c r="G13" s="77">
        <v>2.5199999999999999E-5</v>
      </c>
      <c r="H13" s="32">
        <v>1.0229999999999999</v>
      </c>
      <c r="I13" s="32">
        <v>156</v>
      </c>
      <c r="J13" s="32">
        <v>650</v>
      </c>
      <c r="K13" s="32">
        <v>1090</v>
      </c>
      <c r="L13" s="32">
        <v>0.6</v>
      </c>
      <c r="M13" s="34">
        <v>30.331150305032072</v>
      </c>
      <c r="N13" s="32">
        <v>218.16</v>
      </c>
      <c r="O13" s="32">
        <v>272.18</v>
      </c>
      <c r="P13" s="34">
        <f t="shared" si="0"/>
        <v>1.2476164283094977</v>
      </c>
    </row>
    <row r="14" spans="1:16">
      <c r="A14" s="32" t="s">
        <v>42</v>
      </c>
      <c r="B14" s="32">
        <v>350</v>
      </c>
      <c r="C14" s="32">
        <v>800</v>
      </c>
      <c r="D14" s="32">
        <v>1.738</v>
      </c>
      <c r="E14" s="32">
        <v>357.95103888088869</v>
      </c>
      <c r="F14" s="32">
        <v>5241.7198107385311</v>
      </c>
      <c r="G14" s="77">
        <v>2.5199999999999999E-5</v>
      </c>
      <c r="H14" s="32">
        <v>1.0229999999999999</v>
      </c>
      <c r="I14" s="32">
        <v>156</v>
      </c>
      <c r="J14" s="32">
        <v>650</v>
      </c>
      <c r="K14" s="32">
        <v>1090</v>
      </c>
      <c r="L14" s="32">
        <v>0.6</v>
      </c>
      <c r="M14" s="34">
        <v>26.267546690161893</v>
      </c>
      <c r="N14" s="32">
        <v>195</v>
      </c>
      <c r="O14" s="32">
        <v>198.44</v>
      </c>
      <c r="P14" s="34">
        <f t="shared" si="0"/>
        <v>1.0176410256410255</v>
      </c>
    </row>
    <row r="15" spans="1:16">
      <c r="A15" s="32" t="s">
        <v>42</v>
      </c>
      <c r="B15" s="32">
        <v>350</v>
      </c>
      <c r="C15" s="32">
        <v>1000</v>
      </c>
      <c r="D15" s="32">
        <v>1.738</v>
      </c>
      <c r="E15" s="32">
        <v>357.95103888088869</v>
      </c>
      <c r="F15" s="32">
        <v>5241.7198107385311</v>
      </c>
      <c r="G15" s="77">
        <v>2.5199999999999999E-5</v>
      </c>
      <c r="H15" s="32">
        <v>1.0229999999999999</v>
      </c>
      <c r="I15" s="32">
        <v>156</v>
      </c>
      <c r="J15" s="32">
        <v>650</v>
      </c>
      <c r="K15" s="32">
        <v>1090</v>
      </c>
      <c r="L15" s="32">
        <v>0.6</v>
      </c>
      <c r="M15" s="34">
        <v>23.494408000540641</v>
      </c>
      <c r="N15" s="32">
        <v>175.62</v>
      </c>
      <c r="O15" s="32">
        <v>116.51</v>
      </c>
      <c r="P15" s="34">
        <f t="shared" si="0"/>
        <v>0.66342102266256697</v>
      </c>
    </row>
    <row r="16" spans="1:16">
      <c r="A16" s="32" t="s">
        <v>42</v>
      </c>
      <c r="B16" s="32">
        <v>350</v>
      </c>
      <c r="C16" s="32">
        <v>1200</v>
      </c>
      <c r="D16" s="32">
        <v>1.738</v>
      </c>
      <c r="E16" s="32">
        <v>357.95103888088869</v>
      </c>
      <c r="F16" s="32">
        <v>5241.7198107385311</v>
      </c>
      <c r="G16" s="77">
        <v>2.5199999999999999E-5</v>
      </c>
      <c r="H16" s="32">
        <v>1.0229999999999999</v>
      </c>
      <c r="I16" s="32">
        <v>156</v>
      </c>
      <c r="J16" s="32">
        <v>650</v>
      </c>
      <c r="K16" s="32">
        <v>1090</v>
      </c>
      <c r="L16" s="32">
        <v>0.6</v>
      </c>
      <c r="M16" s="34">
        <v>21.447362061876596</v>
      </c>
      <c r="N16" s="32">
        <v>146.58000000000001</v>
      </c>
      <c r="O16" s="32">
        <v>92.31</v>
      </c>
      <c r="P16" s="34">
        <f t="shared" si="0"/>
        <v>0.62975849365534176</v>
      </c>
    </row>
    <row r="17" spans="1:16">
      <c r="A17" s="32" t="s">
        <v>42</v>
      </c>
      <c r="B17" s="32">
        <v>350</v>
      </c>
      <c r="C17" s="32">
        <v>1600</v>
      </c>
      <c r="D17" s="32">
        <v>1.738</v>
      </c>
      <c r="E17" s="32">
        <v>357.95103888088869</v>
      </c>
      <c r="F17" s="32">
        <v>5241.7198107385311</v>
      </c>
      <c r="G17" s="77">
        <v>2.5199999999999999E-5</v>
      </c>
      <c r="H17" s="32">
        <v>1.0229999999999999</v>
      </c>
      <c r="I17" s="32">
        <v>156</v>
      </c>
      <c r="J17" s="32">
        <v>650</v>
      </c>
      <c r="K17" s="32">
        <v>1090</v>
      </c>
      <c r="L17" s="32">
        <v>0.6</v>
      </c>
      <c r="M17" s="34">
        <v>18.573960389747725</v>
      </c>
      <c r="N17" s="32">
        <v>120.87</v>
      </c>
      <c r="O17" s="32">
        <v>79.5</v>
      </c>
      <c r="P17" s="34">
        <f t="shared" si="0"/>
        <v>0.6577314470091834</v>
      </c>
    </row>
    <row r="18" spans="1:16">
      <c r="A18" s="32" t="s">
        <v>42</v>
      </c>
      <c r="B18" s="32">
        <v>350</v>
      </c>
      <c r="C18" s="32">
        <v>2000</v>
      </c>
      <c r="D18" s="32">
        <v>1.738</v>
      </c>
      <c r="E18" s="32">
        <v>357.95103888088869</v>
      </c>
      <c r="F18" s="32">
        <v>5241.7198107385311</v>
      </c>
      <c r="G18" s="77">
        <v>2.5199999999999999E-5</v>
      </c>
      <c r="H18" s="32">
        <v>1.0229999999999999</v>
      </c>
      <c r="I18" s="32">
        <v>156</v>
      </c>
      <c r="J18" s="32">
        <v>650</v>
      </c>
      <c r="K18" s="32">
        <v>1090</v>
      </c>
      <c r="L18" s="32">
        <v>0.6</v>
      </c>
      <c r="M18" s="34">
        <v>16.613055217145764</v>
      </c>
      <c r="N18" s="32">
        <v>107.96</v>
      </c>
      <c r="O18" s="32">
        <v>51.42</v>
      </c>
      <c r="P18" s="34">
        <f t="shared" si="0"/>
        <v>0.4762875138940349</v>
      </c>
    </row>
    <row r="19" spans="1:16">
      <c r="A19" s="32" t="s">
        <v>42</v>
      </c>
      <c r="B19" s="32">
        <v>350</v>
      </c>
      <c r="C19" s="32">
        <v>2400</v>
      </c>
      <c r="D19" s="32">
        <v>1.738</v>
      </c>
      <c r="E19" s="32">
        <v>357.95103888088869</v>
      </c>
      <c r="F19" s="32">
        <v>5241.7198107385311</v>
      </c>
      <c r="G19" s="77">
        <v>2.5199999999999999E-5</v>
      </c>
      <c r="H19" s="32">
        <v>1.0229999999999999</v>
      </c>
      <c r="I19" s="32">
        <v>156</v>
      </c>
      <c r="J19" s="32">
        <v>650</v>
      </c>
      <c r="K19" s="32">
        <v>1090</v>
      </c>
      <c r="L19" s="32">
        <v>0.6</v>
      </c>
      <c r="M19" s="34">
        <v>15.165575152516036</v>
      </c>
      <c r="N19" s="32">
        <v>99.21</v>
      </c>
      <c r="O19" s="32">
        <v>42.88</v>
      </c>
      <c r="P19" s="34">
        <f t="shared" si="0"/>
        <v>0.43221449450660221</v>
      </c>
    </row>
    <row r="20" spans="1:16">
      <c r="A20" s="32" t="s">
        <v>42</v>
      </c>
      <c r="B20" s="32">
        <v>100</v>
      </c>
      <c r="C20" s="32">
        <v>300</v>
      </c>
      <c r="D20" s="32">
        <v>1.738</v>
      </c>
      <c r="E20" s="32">
        <v>357.95103888088869</v>
      </c>
      <c r="F20" s="32">
        <v>5241.7198107385311</v>
      </c>
      <c r="G20" s="77">
        <v>2.5199999999999999E-5</v>
      </c>
      <c r="H20" s="32">
        <v>1.0229999999999999</v>
      </c>
      <c r="I20" s="32">
        <v>156</v>
      </c>
      <c r="J20" s="32">
        <v>650</v>
      </c>
      <c r="K20" s="32">
        <v>1090</v>
      </c>
      <c r="L20" s="32">
        <v>0.6</v>
      </c>
      <c r="M20" s="34">
        <v>12.255635463929483</v>
      </c>
      <c r="N20" s="32">
        <v>132</v>
      </c>
      <c r="O20" s="32">
        <v>175.85</v>
      </c>
      <c r="P20" s="34">
        <f t="shared" si="0"/>
        <v>1.3321969696969695</v>
      </c>
    </row>
    <row r="21" spans="1:16">
      <c r="A21" s="32" t="s">
        <v>42</v>
      </c>
      <c r="B21" s="32">
        <v>150</v>
      </c>
      <c r="C21" s="32">
        <v>300</v>
      </c>
      <c r="D21" s="32">
        <v>1.738</v>
      </c>
      <c r="E21" s="32">
        <v>357.95103888088869</v>
      </c>
      <c r="F21" s="32">
        <v>5241.7198107385311</v>
      </c>
      <c r="G21" s="77">
        <v>2.5199999999999999E-5</v>
      </c>
      <c r="H21" s="32">
        <v>1.0229999999999999</v>
      </c>
      <c r="I21" s="32">
        <v>156</v>
      </c>
      <c r="J21" s="32">
        <v>650</v>
      </c>
      <c r="K21" s="32">
        <v>1090</v>
      </c>
      <c r="L21" s="32">
        <v>0.6</v>
      </c>
      <c r="M21" s="34">
        <v>18.383453195894226</v>
      </c>
      <c r="N21" s="32">
        <v>142.4</v>
      </c>
      <c r="O21" s="32">
        <v>265.5</v>
      </c>
      <c r="P21" s="34">
        <f t="shared" si="0"/>
        <v>1.8644662921348314</v>
      </c>
    </row>
    <row r="22" spans="1:16">
      <c r="A22" s="32" t="s">
        <v>42</v>
      </c>
      <c r="B22" s="32">
        <v>200</v>
      </c>
      <c r="C22" s="32">
        <v>300</v>
      </c>
      <c r="D22" s="32">
        <v>1.738</v>
      </c>
      <c r="E22" s="32">
        <v>357.95103888088869</v>
      </c>
      <c r="F22" s="32">
        <v>5241.7198107385311</v>
      </c>
      <c r="G22" s="77">
        <v>2.5199999999999999E-5</v>
      </c>
      <c r="H22" s="32">
        <v>1.0229999999999999</v>
      </c>
      <c r="I22" s="32">
        <v>156</v>
      </c>
      <c r="J22" s="32">
        <v>650</v>
      </c>
      <c r="K22" s="32">
        <v>1090</v>
      </c>
      <c r="L22" s="32">
        <v>0.6</v>
      </c>
      <c r="M22" s="34">
        <v>24.511270927858966</v>
      </c>
      <c r="N22" s="32">
        <v>178.7</v>
      </c>
      <c r="O22" s="32">
        <v>403.3</v>
      </c>
      <c r="P22" s="34">
        <f t="shared" si="0"/>
        <v>2.2568550643536658</v>
      </c>
    </row>
    <row r="23" spans="1:16">
      <c r="A23" s="32" t="s">
        <v>42</v>
      </c>
      <c r="B23" s="32">
        <v>250</v>
      </c>
      <c r="C23" s="32">
        <v>300</v>
      </c>
      <c r="D23" s="32">
        <v>1.738</v>
      </c>
      <c r="E23" s="32">
        <v>357.95103888088869</v>
      </c>
      <c r="F23" s="32">
        <v>5241.7198107385311</v>
      </c>
      <c r="G23" s="77">
        <v>2.5199999999999999E-5</v>
      </c>
      <c r="H23" s="32">
        <v>1.0229999999999999</v>
      </c>
      <c r="I23" s="32">
        <v>156</v>
      </c>
      <c r="J23" s="32">
        <v>650</v>
      </c>
      <c r="K23" s="32">
        <v>1090</v>
      </c>
      <c r="L23" s="32">
        <v>0.6</v>
      </c>
      <c r="M23" s="34">
        <v>30.63908865982371</v>
      </c>
      <c r="N23" s="32">
        <v>267.93</v>
      </c>
      <c r="O23" s="32">
        <v>585.75</v>
      </c>
      <c r="P23" s="34">
        <f t="shared" si="0"/>
        <v>2.1862053521442166</v>
      </c>
    </row>
    <row r="24" spans="1:16">
      <c r="A24" s="32" t="s">
        <v>42</v>
      </c>
      <c r="B24" s="32">
        <v>300</v>
      </c>
      <c r="C24" s="32">
        <v>300</v>
      </c>
      <c r="D24" s="32">
        <v>1.738</v>
      </c>
      <c r="E24" s="32">
        <v>357.95103888088869</v>
      </c>
      <c r="F24" s="32">
        <v>5241.7198107385311</v>
      </c>
      <c r="G24" s="77">
        <v>2.5199999999999999E-5</v>
      </c>
      <c r="H24" s="32">
        <v>1.0229999999999999</v>
      </c>
      <c r="I24" s="32">
        <v>156</v>
      </c>
      <c r="J24" s="32">
        <v>650</v>
      </c>
      <c r="K24" s="32">
        <v>1090</v>
      </c>
      <c r="L24" s="32">
        <v>0.6</v>
      </c>
      <c r="M24" s="34">
        <v>36.766906391788453</v>
      </c>
      <c r="N24" s="32">
        <v>267.93</v>
      </c>
      <c r="O24" s="32">
        <v>598.55999999999995</v>
      </c>
      <c r="P24" s="34">
        <f t="shared" si="0"/>
        <v>2.2340163475534651</v>
      </c>
    </row>
    <row r="25" spans="1:16">
      <c r="A25" s="32" t="s">
        <v>42</v>
      </c>
      <c r="B25" s="32">
        <v>100</v>
      </c>
      <c r="C25" s="32">
        <v>600</v>
      </c>
      <c r="D25" s="32">
        <v>1.738</v>
      </c>
      <c r="E25" s="32">
        <v>357.95103888088869</v>
      </c>
      <c r="F25" s="32">
        <v>5241.7198107385311</v>
      </c>
      <c r="G25" s="77">
        <v>2.5199999999999999E-5</v>
      </c>
      <c r="H25" s="32">
        <v>1.0229999999999999</v>
      </c>
      <c r="I25" s="32">
        <v>156</v>
      </c>
      <c r="J25" s="32">
        <v>650</v>
      </c>
      <c r="K25" s="32">
        <v>1090</v>
      </c>
      <c r="L25" s="32">
        <v>0.6</v>
      </c>
      <c r="M25" s="34">
        <v>8.6660429442948779</v>
      </c>
      <c r="N25" s="32">
        <v>152.9</v>
      </c>
      <c r="O25" s="32">
        <v>174.9</v>
      </c>
      <c r="P25" s="34">
        <f t="shared" si="0"/>
        <v>1.1438848920863309</v>
      </c>
    </row>
    <row r="26" spans="1:16">
      <c r="A26" s="32" t="s">
        <v>42</v>
      </c>
      <c r="B26" s="32">
        <v>150</v>
      </c>
      <c r="C26" s="32">
        <v>600</v>
      </c>
      <c r="D26" s="32">
        <v>1.738</v>
      </c>
      <c r="E26" s="32">
        <v>357.95103888088869</v>
      </c>
      <c r="F26" s="32">
        <v>5241.7198107385311</v>
      </c>
      <c r="G26" s="77">
        <v>2.5199999999999999E-5</v>
      </c>
      <c r="H26" s="32">
        <v>1.0229999999999999</v>
      </c>
      <c r="I26" s="32">
        <v>156</v>
      </c>
      <c r="J26" s="32">
        <v>650</v>
      </c>
      <c r="K26" s="32">
        <v>1090</v>
      </c>
      <c r="L26" s="32">
        <v>0.6</v>
      </c>
      <c r="M26" s="34">
        <v>12.999064416442318</v>
      </c>
      <c r="N26" s="32">
        <v>154.19999999999999</v>
      </c>
      <c r="O26" s="32">
        <v>180.1</v>
      </c>
      <c r="P26" s="34">
        <f t="shared" si="0"/>
        <v>1.1679636835278859</v>
      </c>
    </row>
    <row r="27" spans="1:16">
      <c r="A27" s="32" t="s">
        <v>42</v>
      </c>
      <c r="B27" s="32">
        <v>200</v>
      </c>
      <c r="C27" s="32">
        <v>600</v>
      </c>
      <c r="D27" s="32">
        <v>1.738</v>
      </c>
      <c r="E27" s="32">
        <v>357.95103888088869</v>
      </c>
      <c r="F27" s="32">
        <v>5241.7198107385311</v>
      </c>
      <c r="G27" s="77">
        <v>2.5199999999999999E-5</v>
      </c>
      <c r="H27" s="32">
        <v>1.0229999999999999</v>
      </c>
      <c r="I27" s="32">
        <v>156</v>
      </c>
      <c r="J27" s="32">
        <v>650</v>
      </c>
      <c r="K27" s="32">
        <v>1090</v>
      </c>
      <c r="L27" s="32">
        <v>0.6</v>
      </c>
      <c r="M27" s="34">
        <v>17.332085888589756</v>
      </c>
      <c r="N27" s="32">
        <v>164.2</v>
      </c>
      <c r="O27" s="32">
        <v>215.8</v>
      </c>
      <c r="P27" s="34">
        <f t="shared" si="0"/>
        <v>1.3142509135200977</v>
      </c>
    </row>
    <row r="28" spans="1:16">
      <c r="A28" s="32" t="s">
        <v>42</v>
      </c>
      <c r="B28" s="32">
        <v>250</v>
      </c>
      <c r="C28" s="32">
        <v>600</v>
      </c>
      <c r="D28" s="32">
        <v>1.738</v>
      </c>
      <c r="E28" s="32">
        <v>357.95103888088869</v>
      </c>
      <c r="F28" s="32">
        <v>5241.7198107385311</v>
      </c>
      <c r="G28" s="77">
        <v>2.5199999999999999E-5</v>
      </c>
      <c r="H28" s="32">
        <v>1.0229999999999999</v>
      </c>
      <c r="I28" s="32">
        <v>156</v>
      </c>
      <c r="J28" s="32">
        <v>650</v>
      </c>
      <c r="K28" s="32">
        <v>1090</v>
      </c>
      <c r="L28" s="32">
        <v>0.6</v>
      </c>
      <c r="M28" s="34">
        <v>21.665107360737196</v>
      </c>
      <c r="N28" s="32">
        <v>183</v>
      </c>
      <c r="O28" s="32">
        <v>232</v>
      </c>
      <c r="P28" s="34">
        <f t="shared" si="0"/>
        <v>1.2677595628415301</v>
      </c>
    </row>
    <row r="29" spans="1:16">
      <c r="A29" s="32" t="s">
        <v>42</v>
      </c>
      <c r="B29" s="32">
        <v>300</v>
      </c>
      <c r="C29" s="32">
        <v>600</v>
      </c>
      <c r="D29" s="32">
        <v>1.738</v>
      </c>
      <c r="E29" s="32">
        <v>357.95103888088869</v>
      </c>
      <c r="F29" s="32">
        <v>5241.7198107385311</v>
      </c>
      <c r="G29" s="77">
        <v>2.5199999999999999E-5</v>
      </c>
      <c r="H29" s="32">
        <v>1.0229999999999999</v>
      </c>
      <c r="I29" s="32">
        <v>156</v>
      </c>
      <c r="J29" s="32">
        <v>650</v>
      </c>
      <c r="K29" s="32">
        <v>1090</v>
      </c>
      <c r="L29" s="32">
        <v>0.6</v>
      </c>
      <c r="M29" s="34">
        <v>25.998128832884635</v>
      </c>
      <c r="N29" s="32">
        <v>205.7</v>
      </c>
      <c r="O29" s="32">
        <v>295</v>
      </c>
      <c r="P29" s="34">
        <f t="shared" si="0"/>
        <v>1.4341273699562471</v>
      </c>
    </row>
    <row r="30" spans="1:16">
      <c r="A30" s="32" t="s">
        <v>42</v>
      </c>
      <c r="B30" s="32">
        <v>100</v>
      </c>
      <c r="C30" s="32">
        <v>900</v>
      </c>
      <c r="D30" s="32">
        <v>1.738</v>
      </c>
      <c r="E30" s="32">
        <v>357.95103888088869</v>
      </c>
      <c r="F30" s="32">
        <v>5241.7198107385311</v>
      </c>
      <c r="G30" s="77">
        <v>2.5199999999999999E-5</v>
      </c>
      <c r="H30" s="32">
        <v>1.0229999999999999</v>
      </c>
      <c r="I30" s="32">
        <v>156</v>
      </c>
      <c r="J30" s="32">
        <v>650</v>
      </c>
      <c r="K30" s="32">
        <v>1090</v>
      </c>
      <c r="L30" s="32">
        <v>0.6</v>
      </c>
      <c r="M30" s="34">
        <v>7.0757944341896097</v>
      </c>
      <c r="N30" s="32">
        <v>79.290000000000006</v>
      </c>
      <c r="O30" s="32">
        <v>48.56</v>
      </c>
      <c r="P30" s="34">
        <f t="shared" si="0"/>
        <v>0.61243536385420605</v>
      </c>
    </row>
    <row r="31" spans="1:16">
      <c r="A31" s="32" t="s">
        <v>42</v>
      </c>
      <c r="B31" s="32">
        <v>150</v>
      </c>
      <c r="C31" s="32">
        <v>900</v>
      </c>
      <c r="D31" s="32">
        <v>1.738</v>
      </c>
      <c r="E31" s="32">
        <v>357.95103888088869</v>
      </c>
      <c r="F31" s="32">
        <v>5241.7198107385311</v>
      </c>
      <c r="G31" s="77">
        <v>2.5199999999999999E-5</v>
      </c>
      <c r="H31" s="32">
        <v>1.0229999999999999</v>
      </c>
      <c r="I31" s="32">
        <v>156</v>
      </c>
      <c r="J31" s="32">
        <v>650</v>
      </c>
      <c r="K31" s="32">
        <v>1090</v>
      </c>
      <c r="L31" s="32">
        <v>0.6</v>
      </c>
      <c r="M31" s="34">
        <v>10.613691651284416</v>
      </c>
      <c r="N31" s="32">
        <v>103</v>
      </c>
      <c r="O31" s="32">
        <v>64.5</v>
      </c>
      <c r="P31" s="34">
        <f t="shared" si="0"/>
        <v>0.62621359223300976</v>
      </c>
    </row>
    <row r="32" spans="1:16">
      <c r="A32" s="32" t="s">
        <v>42</v>
      </c>
      <c r="B32" s="32">
        <v>200</v>
      </c>
      <c r="C32" s="32">
        <v>900</v>
      </c>
      <c r="D32" s="32">
        <v>1.738</v>
      </c>
      <c r="E32" s="32">
        <v>357.95103888088869</v>
      </c>
      <c r="F32" s="32">
        <v>5241.7198107385311</v>
      </c>
      <c r="G32" s="77">
        <v>2.5199999999999999E-5</v>
      </c>
      <c r="H32" s="32">
        <v>1.0229999999999999</v>
      </c>
      <c r="I32" s="32">
        <v>156</v>
      </c>
      <c r="J32" s="32">
        <v>650</v>
      </c>
      <c r="K32" s="32">
        <v>1090</v>
      </c>
      <c r="L32" s="32">
        <v>0.6</v>
      </c>
      <c r="M32" s="34">
        <v>14.151588868379219</v>
      </c>
      <c r="N32" s="32">
        <v>129.19999999999999</v>
      </c>
      <c r="O32" s="32">
        <v>108.6</v>
      </c>
      <c r="P32" s="34">
        <f t="shared" si="0"/>
        <v>0.84055727554179571</v>
      </c>
    </row>
    <row r="33" spans="1:16">
      <c r="A33" s="32" t="s">
        <v>42</v>
      </c>
      <c r="B33" s="32">
        <v>250</v>
      </c>
      <c r="C33" s="32">
        <v>900</v>
      </c>
      <c r="D33" s="32">
        <v>1.738</v>
      </c>
      <c r="E33" s="32">
        <v>357.95103888088869</v>
      </c>
      <c r="F33" s="32">
        <v>5241.7198107385311</v>
      </c>
      <c r="G33" s="77">
        <v>2.5199999999999999E-5</v>
      </c>
      <c r="H33" s="32">
        <v>1.0229999999999999</v>
      </c>
      <c r="I33" s="32">
        <v>156</v>
      </c>
      <c r="J33" s="32">
        <v>650</v>
      </c>
      <c r="K33" s="32">
        <v>1090</v>
      </c>
      <c r="L33" s="32">
        <v>0.6</v>
      </c>
      <c r="M33" s="34">
        <v>17.689486085474027</v>
      </c>
      <c r="N33" s="32">
        <v>150.80000000000001</v>
      </c>
      <c r="O33" s="32">
        <v>183.6</v>
      </c>
      <c r="P33" s="34">
        <f t="shared" si="0"/>
        <v>1.2175066312997347</v>
      </c>
    </row>
    <row r="34" spans="1:16">
      <c r="A34" s="32" t="s">
        <v>42</v>
      </c>
      <c r="B34" s="32">
        <v>300</v>
      </c>
      <c r="C34" s="32">
        <v>900</v>
      </c>
      <c r="D34" s="32">
        <v>1.738</v>
      </c>
      <c r="E34" s="32">
        <v>357.95103888088869</v>
      </c>
      <c r="F34" s="32">
        <v>5241.7198107385311</v>
      </c>
      <c r="G34" s="77">
        <v>2.5199999999999999E-5</v>
      </c>
      <c r="H34" s="32">
        <v>1.0229999999999999</v>
      </c>
      <c r="I34" s="32">
        <v>156</v>
      </c>
      <c r="J34" s="32">
        <v>650</v>
      </c>
      <c r="K34" s="32">
        <v>1090</v>
      </c>
      <c r="L34" s="32">
        <v>0.6</v>
      </c>
      <c r="M34" s="34">
        <v>21.227383302568832</v>
      </c>
      <c r="N34" s="32">
        <v>155.29</v>
      </c>
      <c r="O34" s="32">
        <v>192.5</v>
      </c>
      <c r="P34" s="34">
        <f t="shared" si="0"/>
        <v>1.2396162019447485</v>
      </c>
    </row>
    <row r="35" spans="1:16">
      <c r="A35" s="32" t="s">
        <v>43</v>
      </c>
      <c r="B35" s="32">
        <v>200</v>
      </c>
      <c r="C35" s="32">
        <v>200</v>
      </c>
      <c r="D35" s="32">
        <v>2.7</v>
      </c>
      <c r="E35" s="32">
        <v>396.56745296418143</v>
      </c>
      <c r="F35" s="32">
        <v>10874.101934550545</v>
      </c>
      <c r="G35" s="77">
        <v>2.3099999999999999E-5</v>
      </c>
      <c r="H35" s="32">
        <v>0.89700000000000002</v>
      </c>
      <c r="I35" s="32">
        <v>237</v>
      </c>
      <c r="J35" s="32">
        <v>660</v>
      </c>
      <c r="K35" s="32">
        <v>2519</v>
      </c>
      <c r="L35" s="32">
        <v>0.6</v>
      </c>
      <c r="M35" s="34">
        <v>18.888087971726371</v>
      </c>
      <c r="N35" s="32">
        <v>93.06</v>
      </c>
      <c r="O35" s="32">
        <v>33.729999999999997</v>
      </c>
      <c r="P35" s="34">
        <f t="shared" si="0"/>
        <v>0.36245433053943688</v>
      </c>
    </row>
    <row r="36" spans="1:16">
      <c r="A36" s="32" t="s">
        <v>43</v>
      </c>
      <c r="B36" s="32">
        <v>200</v>
      </c>
      <c r="C36" s="32">
        <v>400</v>
      </c>
      <c r="D36" s="32">
        <v>2.7</v>
      </c>
      <c r="E36" s="32">
        <v>396.56745296418143</v>
      </c>
      <c r="F36" s="32">
        <v>10874.101934550545</v>
      </c>
      <c r="G36" s="77">
        <v>2.3099999999999999E-5</v>
      </c>
      <c r="H36" s="32">
        <v>0.89700000000000002</v>
      </c>
      <c r="I36" s="32">
        <v>237</v>
      </c>
      <c r="J36" s="32">
        <v>660</v>
      </c>
      <c r="K36" s="32">
        <v>2519</v>
      </c>
      <c r="L36" s="32">
        <v>0.9</v>
      </c>
      <c r="M36" s="35">
        <v>3.3389737721139445</v>
      </c>
      <c r="N36" s="31">
        <v>61.04</v>
      </c>
      <c r="O36" s="31">
        <v>21.84</v>
      </c>
      <c r="P36" s="34">
        <f t="shared" si="0"/>
        <v>0.3577981651376147</v>
      </c>
    </row>
    <row r="37" spans="1:16">
      <c r="A37" s="32" t="s">
        <v>43</v>
      </c>
      <c r="B37" s="32">
        <v>200</v>
      </c>
      <c r="C37" s="32">
        <v>600</v>
      </c>
      <c r="D37" s="32">
        <v>2.7</v>
      </c>
      <c r="E37" s="32">
        <v>396.56745296418143</v>
      </c>
      <c r="F37" s="32">
        <v>10874.101934550545</v>
      </c>
      <c r="G37" s="77">
        <v>2.3099999999999999E-5</v>
      </c>
      <c r="H37" s="32">
        <v>0.89700000000000002</v>
      </c>
      <c r="I37" s="32">
        <v>237</v>
      </c>
      <c r="J37" s="32">
        <v>660</v>
      </c>
      <c r="K37" s="32">
        <v>2519</v>
      </c>
      <c r="L37" s="32">
        <v>0.9</v>
      </c>
      <c r="M37" s="35">
        <v>2.7262606687383881</v>
      </c>
      <c r="N37" s="31">
        <v>65.73</v>
      </c>
      <c r="O37" s="31">
        <v>25.3</v>
      </c>
      <c r="P37" s="34">
        <f t="shared" si="0"/>
        <v>0.38490795679294082</v>
      </c>
    </row>
    <row r="38" spans="1:16">
      <c r="A38" s="32" t="s">
        <v>43</v>
      </c>
      <c r="B38" s="32">
        <v>200</v>
      </c>
      <c r="C38" s="32">
        <v>800</v>
      </c>
      <c r="D38" s="32">
        <v>2.7</v>
      </c>
      <c r="E38" s="32">
        <v>396.56745296418143</v>
      </c>
      <c r="F38" s="32">
        <v>10874.101934550545</v>
      </c>
      <c r="G38" s="77">
        <v>2.3099999999999999E-5</v>
      </c>
      <c r="H38" s="32">
        <v>0.89700000000000002</v>
      </c>
      <c r="I38" s="32">
        <v>237</v>
      </c>
      <c r="J38" s="32">
        <v>660</v>
      </c>
      <c r="K38" s="32">
        <v>2519</v>
      </c>
      <c r="L38" s="32">
        <v>0.9</v>
      </c>
      <c r="M38" s="35">
        <v>2.3610109964657959</v>
      </c>
      <c r="N38" s="31">
        <v>49.58</v>
      </c>
      <c r="O38" s="31">
        <v>22.47</v>
      </c>
      <c r="P38" s="34">
        <f t="shared" si="0"/>
        <v>0.45320693828156516</v>
      </c>
    </row>
    <row r="39" spans="1:16">
      <c r="A39" s="32" t="s">
        <v>43</v>
      </c>
      <c r="B39" s="32">
        <v>200</v>
      </c>
      <c r="C39" s="32">
        <v>1200</v>
      </c>
      <c r="D39" s="32">
        <v>2.7</v>
      </c>
      <c r="E39" s="32">
        <v>396.56745296418143</v>
      </c>
      <c r="F39" s="32">
        <v>10874.101934550545</v>
      </c>
      <c r="G39" s="77">
        <v>2.3099999999999999E-5</v>
      </c>
      <c r="H39" s="32">
        <v>0.89700000000000002</v>
      </c>
      <c r="I39" s="32">
        <v>237</v>
      </c>
      <c r="J39" s="32">
        <v>660</v>
      </c>
      <c r="K39" s="32">
        <v>2519</v>
      </c>
      <c r="L39" s="32">
        <v>0.9</v>
      </c>
      <c r="M39" s="35">
        <v>1.9277574061470859</v>
      </c>
      <c r="N39" s="31">
        <v>56.81</v>
      </c>
      <c r="O39" s="31">
        <v>20</v>
      </c>
      <c r="P39" s="34">
        <f t="shared" si="0"/>
        <v>0.35205069530012323</v>
      </c>
    </row>
    <row r="40" spans="1:16">
      <c r="A40" s="32" t="s">
        <v>43</v>
      </c>
      <c r="B40" s="32">
        <v>200</v>
      </c>
      <c r="C40" s="32">
        <v>1600</v>
      </c>
      <c r="D40" s="32">
        <v>2.7</v>
      </c>
      <c r="E40" s="32">
        <v>396.56745296418143</v>
      </c>
      <c r="F40" s="32">
        <v>10874.101934550545</v>
      </c>
      <c r="G40" s="77">
        <v>2.3099999999999999E-5</v>
      </c>
      <c r="H40" s="32">
        <v>0.89700000000000002</v>
      </c>
      <c r="I40" s="32">
        <v>237</v>
      </c>
      <c r="J40" s="32">
        <v>660</v>
      </c>
      <c r="K40" s="32">
        <v>2519</v>
      </c>
      <c r="L40" s="32">
        <v>0.9</v>
      </c>
      <c r="M40" s="35">
        <v>1.6694868860569723</v>
      </c>
      <c r="N40" s="31">
        <v>39.81</v>
      </c>
      <c r="O40" s="31">
        <v>16.7</v>
      </c>
      <c r="P40" s="34">
        <f t="shared" si="0"/>
        <v>0.41949258980155735</v>
      </c>
    </row>
    <row r="41" spans="1:16">
      <c r="A41" s="32" t="s">
        <v>43</v>
      </c>
      <c r="B41" s="32">
        <v>200</v>
      </c>
      <c r="C41" s="32">
        <v>2000</v>
      </c>
      <c r="D41" s="32">
        <v>2.7</v>
      </c>
      <c r="E41" s="32">
        <v>396.56745296418143</v>
      </c>
      <c r="F41" s="32">
        <v>10874.101934550545</v>
      </c>
      <c r="G41" s="77">
        <v>2.3099999999999999E-5</v>
      </c>
      <c r="H41" s="32">
        <v>0.89700000000000002</v>
      </c>
      <c r="I41" s="32">
        <v>237</v>
      </c>
      <c r="J41" s="32">
        <v>660</v>
      </c>
      <c r="K41" s="32">
        <v>2519</v>
      </c>
      <c r="L41" s="32">
        <v>0.9</v>
      </c>
      <c r="M41" s="35">
        <v>1.4932344659071344</v>
      </c>
      <c r="N41" s="31">
        <v>36.700000000000003</v>
      </c>
      <c r="O41" s="31">
        <v>16.670000000000002</v>
      </c>
      <c r="P41" s="34">
        <f t="shared" si="0"/>
        <v>0.4542234332425068</v>
      </c>
    </row>
    <row r="42" spans="1:16">
      <c r="A42" s="32" t="s">
        <v>43</v>
      </c>
      <c r="B42" s="32">
        <v>200</v>
      </c>
      <c r="C42" s="32">
        <v>2400</v>
      </c>
      <c r="D42" s="32">
        <v>2.7</v>
      </c>
      <c r="E42" s="32">
        <v>396.56745296418143</v>
      </c>
      <c r="F42" s="32">
        <v>10874.101934550545</v>
      </c>
      <c r="G42" s="77">
        <v>2.3099999999999999E-5</v>
      </c>
      <c r="H42" s="32">
        <v>0.89700000000000002</v>
      </c>
      <c r="I42" s="32">
        <v>237</v>
      </c>
      <c r="J42" s="32">
        <v>660</v>
      </c>
      <c r="K42" s="32">
        <v>2519</v>
      </c>
      <c r="L42" s="32">
        <v>0.9</v>
      </c>
      <c r="M42" s="35">
        <v>1.3631303343691941</v>
      </c>
      <c r="N42" s="31">
        <v>18.899999999999999</v>
      </c>
      <c r="O42" s="31">
        <v>7.74</v>
      </c>
      <c r="P42" s="34">
        <f t="shared" si="0"/>
        <v>0.40952380952380957</v>
      </c>
    </row>
    <row r="43" spans="1:16">
      <c r="A43" s="32" t="s">
        <v>43</v>
      </c>
      <c r="B43" s="32">
        <v>350</v>
      </c>
      <c r="C43" s="32">
        <v>400</v>
      </c>
      <c r="D43" s="32">
        <v>2.7</v>
      </c>
      <c r="E43" s="32">
        <v>396.56745296418143</v>
      </c>
      <c r="F43" s="32">
        <v>10874.101934550545</v>
      </c>
      <c r="G43" s="77">
        <v>2.3099999999999999E-5</v>
      </c>
      <c r="H43" s="32">
        <v>0.89700000000000002</v>
      </c>
      <c r="I43" s="32">
        <v>237</v>
      </c>
      <c r="J43" s="32">
        <v>660</v>
      </c>
      <c r="K43" s="32">
        <v>2519</v>
      </c>
      <c r="L43" s="32">
        <v>0.9</v>
      </c>
      <c r="M43" s="35">
        <v>5.8432041011994027</v>
      </c>
      <c r="N43" s="31">
        <v>296.45999999999998</v>
      </c>
      <c r="O43" s="31">
        <v>24.17</v>
      </c>
      <c r="P43" s="34">
        <f t="shared" si="0"/>
        <v>8.1528705390271891E-2</v>
      </c>
    </row>
    <row r="44" spans="1:16">
      <c r="A44" s="32" t="s">
        <v>43</v>
      </c>
      <c r="B44" s="32">
        <v>350</v>
      </c>
      <c r="C44" s="32">
        <v>600</v>
      </c>
      <c r="D44" s="32">
        <v>2.7</v>
      </c>
      <c r="E44" s="32">
        <v>396.56745296418143</v>
      </c>
      <c r="F44" s="32">
        <v>10874.101934550545</v>
      </c>
      <c r="G44" s="77">
        <v>2.3099999999999999E-5</v>
      </c>
      <c r="H44" s="32">
        <v>0.89700000000000002</v>
      </c>
      <c r="I44" s="32">
        <v>237</v>
      </c>
      <c r="J44" s="32">
        <v>660</v>
      </c>
      <c r="K44" s="32">
        <v>2519</v>
      </c>
      <c r="L44" s="32">
        <v>0.9</v>
      </c>
      <c r="M44" s="35">
        <v>4.7709561702921794</v>
      </c>
      <c r="N44" s="31">
        <v>110.76</v>
      </c>
      <c r="O44" s="31">
        <v>89.15</v>
      </c>
      <c r="P44" s="34">
        <f t="shared" si="0"/>
        <v>0.80489346334416756</v>
      </c>
    </row>
    <row r="45" spans="1:16">
      <c r="A45" s="32" t="s">
        <v>43</v>
      </c>
      <c r="B45" s="32">
        <v>350</v>
      </c>
      <c r="C45" s="32">
        <v>800</v>
      </c>
      <c r="D45" s="32">
        <v>2.7</v>
      </c>
      <c r="E45" s="32">
        <v>396.56745296418143</v>
      </c>
      <c r="F45" s="32">
        <v>10874.101934550545</v>
      </c>
      <c r="G45" s="77">
        <v>2.3099999999999999E-5</v>
      </c>
      <c r="H45" s="32">
        <v>0.89700000000000002</v>
      </c>
      <c r="I45" s="32">
        <v>237</v>
      </c>
      <c r="J45" s="32">
        <v>660</v>
      </c>
      <c r="K45" s="32">
        <v>2519</v>
      </c>
      <c r="L45" s="32">
        <v>0.9</v>
      </c>
      <c r="M45" s="35">
        <v>4.1317692438151434</v>
      </c>
      <c r="N45" s="31">
        <v>104.25</v>
      </c>
      <c r="O45" s="31">
        <v>37.46</v>
      </c>
      <c r="P45" s="34">
        <f t="shared" si="0"/>
        <v>0.35932853717026381</v>
      </c>
    </row>
    <row r="46" spans="1:16">
      <c r="A46" s="32" t="s">
        <v>43</v>
      </c>
      <c r="B46" s="32">
        <v>350</v>
      </c>
      <c r="C46" s="32">
        <v>1000</v>
      </c>
      <c r="D46" s="32">
        <v>2.7</v>
      </c>
      <c r="E46" s="32">
        <v>396.56745296418143</v>
      </c>
      <c r="F46" s="32">
        <v>10874.101934550545</v>
      </c>
      <c r="G46" s="77">
        <v>2.3099999999999999E-5</v>
      </c>
      <c r="H46" s="32">
        <v>0.89700000000000002</v>
      </c>
      <c r="I46" s="32">
        <v>237</v>
      </c>
      <c r="J46" s="32">
        <v>660</v>
      </c>
      <c r="K46" s="32">
        <v>2519</v>
      </c>
      <c r="L46" s="32">
        <v>0.9</v>
      </c>
      <c r="M46" s="35">
        <v>3.6955667586054251</v>
      </c>
      <c r="N46" s="31">
        <v>105.12</v>
      </c>
      <c r="O46" s="31">
        <v>36.22</v>
      </c>
      <c r="P46" s="34">
        <f t="shared" si="0"/>
        <v>0.344558599695586</v>
      </c>
    </row>
    <row r="47" spans="1:16">
      <c r="A47" s="32" t="s">
        <v>43</v>
      </c>
      <c r="B47" s="32">
        <v>350</v>
      </c>
      <c r="C47" s="32">
        <v>1200</v>
      </c>
      <c r="D47" s="32">
        <v>2.7</v>
      </c>
      <c r="E47" s="32">
        <v>396.56745296418143</v>
      </c>
      <c r="F47" s="32">
        <v>10874.101934550545</v>
      </c>
      <c r="G47" s="77">
        <v>2.3099999999999999E-5</v>
      </c>
      <c r="H47" s="32">
        <v>0.89700000000000002</v>
      </c>
      <c r="I47" s="32">
        <v>237</v>
      </c>
      <c r="J47" s="32">
        <v>660</v>
      </c>
      <c r="K47" s="32">
        <v>2519</v>
      </c>
      <c r="L47" s="32">
        <v>0.9</v>
      </c>
      <c r="M47" s="35">
        <v>3.3735754607574004</v>
      </c>
      <c r="N47" s="31">
        <v>85.21</v>
      </c>
      <c r="O47" s="31">
        <v>24.13</v>
      </c>
      <c r="P47" s="34">
        <f t="shared" si="0"/>
        <v>0.28318272503227321</v>
      </c>
    </row>
    <row r="48" spans="1:16">
      <c r="A48" s="32" t="s">
        <v>43</v>
      </c>
      <c r="B48" s="32">
        <v>350</v>
      </c>
      <c r="C48" s="32">
        <v>1600</v>
      </c>
      <c r="D48" s="32">
        <v>2.7</v>
      </c>
      <c r="E48" s="32">
        <v>396.56745296418143</v>
      </c>
      <c r="F48" s="32">
        <v>10874.101934550545</v>
      </c>
      <c r="G48" s="77">
        <v>2.3099999999999999E-5</v>
      </c>
      <c r="H48" s="32">
        <v>0.89700000000000002</v>
      </c>
      <c r="I48" s="32">
        <v>237</v>
      </c>
      <c r="J48" s="32">
        <v>660</v>
      </c>
      <c r="K48" s="32">
        <v>2519</v>
      </c>
      <c r="L48" s="32">
        <v>0.9</v>
      </c>
      <c r="M48" s="35">
        <v>2.9216020505997014</v>
      </c>
      <c r="N48" s="31">
        <v>75.760000000000005</v>
      </c>
      <c r="O48" s="31">
        <v>24.4</v>
      </c>
      <c r="P48" s="34">
        <f t="shared" si="0"/>
        <v>0.32206969376979933</v>
      </c>
    </row>
    <row r="49" spans="1:16">
      <c r="A49" s="32" t="s">
        <v>43</v>
      </c>
      <c r="B49" s="32">
        <v>350</v>
      </c>
      <c r="C49" s="32">
        <v>2000</v>
      </c>
      <c r="D49" s="32">
        <v>2.7</v>
      </c>
      <c r="E49" s="32">
        <v>396.56745296418143</v>
      </c>
      <c r="F49" s="32">
        <v>10874.101934550545</v>
      </c>
      <c r="G49" s="77">
        <v>2.3099999999999999E-5</v>
      </c>
      <c r="H49" s="32">
        <v>0.89700000000000002</v>
      </c>
      <c r="I49" s="32">
        <v>237</v>
      </c>
      <c r="J49" s="32">
        <v>660</v>
      </c>
      <c r="K49" s="32">
        <v>2519</v>
      </c>
      <c r="L49" s="32">
        <v>0.9</v>
      </c>
      <c r="M49" s="34">
        <v>2.6131603153374852</v>
      </c>
      <c r="N49" s="32">
        <v>78.650000000000006</v>
      </c>
      <c r="O49" s="32">
        <v>35.590000000000003</v>
      </c>
      <c r="P49" s="34">
        <f t="shared" si="0"/>
        <v>0.45251112523839798</v>
      </c>
    </row>
    <row r="50" spans="1:16">
      <c r="A50" s="32" t="s">
        <v>43</v>
      </c>
      <c r="B50" s="32">
        <v>350</v>
      </c>
      <c r="C50" s="32">
        <v>2400</v>
      </c>
      <c r="D50" s="32">
        <v>2.7</v>
      </c>
      <c r="E50" s="32">
        <v>396.56745296418143</v>
      </c>
      <c r="F50" s="32">
        <v>10874.101934550545</v>
      </c>
      <c r="G50" s="77">
        <v>2.3099999999999999E-5</v>
      </c>
      <c r="H50" s="32">
        <v>0.89700000000000002</v>
      </c>
      <c r="I50" s="32">
        <v>237</v>
      </c>
      <c r="J50" s="32">
        <v>660</v>
      </c>
      <c r="K50" s="32">
        <v>2519</v>
      </c>
      <c r="L50" s="32">
        <v>0.9</v>
      </c>
      <c r="M50" s="34">
        <v>2.3854780851460897</v>
      </c>
      <c r="N50" s="32">
        <v>73.39</v>
      </c>
      <c r="O50" s="32">
        <v>31.1</v>
      </c>
      <c r="P50" s="34">
        <f t="shared" si="0"/>
        <v>0.42376345551165012</v>
      </c>
    </row>
    <row r="51" spans="1:16">
      <c r="A51" s="32" t="s">
        <v>43</v>
      </c>
      <c r="B51" s="32">
        <v>100</v>
      </c>
      <c r="C51" s="32">
        <v>300</v>
      </c>
      <c r="D51" s="32">
        <v>2.7</v>
      </c>
      <c r="E51" s="32">
        <v>396.56745296418143</v>
      </c>
      <c r="F51" s="32">
        <v>10874.101934550545</v>
      </c>
      <c r="G51" s="77">
        <v>2.3099999999999999E-5</v>
      </c>
      <c r="H51" s="32">
        <v>0.89700000000000002</v>
      </c>
      <c r="I51" s="32">
        <v>237</v>
      </c>
      <c r="J51" s="32">
        <v>660</v>
      </c>
      <c r="K51" s="32">
        <v>2519</v>
      </c>
      <c r="L51" s="32">
        <v>0.9</v>
      </c>
      <c r="M51" s="34">
        <v>1.9277574061470859</v>
      </c>
      <c r="N51" s="32">
        <v>55.99</v>
      </c>
      <c r="O51" s="32">
        <v>17.36</v>
      </c>
      <c r="P51" s="34">
        <f t="shared" si="0"/>
        <v>0.31005536702982672</v>
      </c>
    </row>
    <row r="52" spans="1:16">
      <c r="A52" s="32" t="s">
        <v>43</v>
      </c>
      <c r="B52" s="32">
        <v>150</v>
      </c>
      <c r="C52" s="32">
        <v>300</v>
      </c>
      <c r="D52" s="32">
        <v>2.7</v>
      </c>
      <c r="E52" s="32">
        <v>396.56745296418143</v>
      </c>
      <c r="F52" s="32">
        <v>10874.101934550545</v>
      </c>
      <c r="G52" s="77">
        <v>2.3099999999999999E-5</v>
      </c>
      <c r="H52" s="32">
        <v>0.89700000000000002</v>
      </c>
      <c r="I52" s="32">
        <v>237</v>
      </c>
      <c r="J52" s="32">
        <v>660</v>
      </c>
      <c r="K52" s="32">
        <v>2519</v>
      </c>
      <c r="L52" s="32">
        <v>0.9</v>
      </c>
      <c r="M52" s="34">
        <v>2.8916361092206286</v>
      </c>
      <c r="N52" s="32">
        <v>87.4</v>
      </c>
      <c r="O52" s="32">
        <v>32.6</v>
      </c>
      <c r="P52" s="34">
        <f t="shared" si="0"/>
        <v>0.37299771167048051</v>
      </c>
    </row>
    <row r="53" spans="1:16">
      <c r="A53" s="32" t="s">
        <v>43</v>
      </c>
      <c r="B53" s="32">
        <v>200</v>
      </c>
      <c r="C53" s="32">
        <v>300</v>
      </c>
      <c r="D53" s="32">
        <v>2.7</v>
      </c>
      <c r="E53" s="32">
        <v>396.56745296418143</v>
      </c>
      <c r="F53" s="32">
        <v>10874.101934550545</v>
      </c>
      <c r="G53" s="77">
        <v>2.3099999999999999E-5</v>
      </c>
      <c r="H53" s="32">
        <v>0.89700000000000002</v>
      </c>
      <c r="I53" s="32">
        <v>237</v>
      </c>
      <c r="J53" s="32">
        <v>660</v>
      </c>
      <c r="K53" s="32">
        <v>2519</v>
      </c>
      <c r="L53" s="32">
        <v>0.9</v>
      </c>
      <c r="M53" s="34">
        <v>3.8555148122941718</v>
      </c>
      <c r="N53" s="31">
        <v>93.88</v>
      </c>
      <c r="O53" s="32">
        <v>37.11</v>
      </c>
      <c r="P53" s="34">
        <f t="shared" si="0"/>
        <v>0.39529186195142735</v>
      </c>
    </row>
    <row r="54" spans="1:16">
      <c r="A54" s="32" t="s">
        <v>43</v>
      </c>
      <c r="B54" s="32">
        <v>250</v>
      </c>
      <c r="C54" s="32">
        <v>300</v>
      </c>
      <c r="D54" s="32">
        <v>2.7</v>
      </c>
      <c r="E54" s="32">
        <v>396.56745296418143</v>
      </c>
      <c r="F54" s="32">
        <v>10874.101934550545</v>
      </c>
      <c r="G54" s="77">
        <v>2.3099999999999999E-5</v>
      </c>
      <c r="H54" s="32">
        <v>0.89700000000000002</v>
      </c>
      <c r="I54" s="32">
        <v>237</v>
      </c>
      <c r="J54" s="32">
        <v>660</v>
      </c>
      <c r="K54" s="32">
        <v>2519</v>
      </c>
      <c r="L54" s="32">
        <v>0.9</v>
      </c>
      <c r="M54" s="34">
        <v>4.8193935153677145</v>
      </c>
      <c r="N54" s="32">
        <v>164.3</v>
      </c>
      <c r="O54" s="32">
        <v>87.1</v>
      </c>
      <c r="P54" s="34">
        <f t="shared" si="0"/>
        <v>0.53012781497261097</v>
      </c>
    </row>
    <row r="55" spans="1:16">
      <c r="A55" s="32" t="s">
        <v>43</v>
      </c>
      <c r="B55" s="32">
        <v>300</v>
      </c>
      <c r="C55" s="32">
        <v>300</v>
      </c>
      <c r="D55" s="32">
        <v>2.7</v>
      </c>
      <c r="E55" s="32">
        <v>396.56745296418143</v>
      </c>
      <c r="F55" s="32">
        <v>10874.101934550545</v>
      </c>
      <c r="G55" s="77">
        <v>2.3099999999999999E-5</v>
      </c>
      <c r="H55" s="32">
        <v>0.89700000000000002</v>
      </c>
      <c r="I55" s="32">
        <v>237</v>
      </c>
      <c r="J55" s="32">
        <v>660</v>
      </c>
      <c r="K55" s="32">
        <v>2519</v>
      </c>
      <c r="L55" s="32">
        <v>0.9</v>
      </c>
      <c r="M55" s="34">
        <v>5.7832722184412573</v>
      </c>
      <c r="N55" s="32">
        <v>289.8</v>
      </c>
      <c r="O55" s="32">
        <v>198.4</v>
      </c>
      <c r="P55" s="34">
        <f t="shared" si="0"/>
        <v>0.68461007591442369</v>
      </c>
    </row>
    <row r="56" spans="1:16">
      <c r="A56" s="32" t="s">
        <v>43</v>
      </c>
      <c r="B56" s="32">
        <v>100</v>
      </c>
      <c r="C56" s="32">
        <v>600</v>
      </c>
      <c r="D56" s="32">
        <v>2.7</v>
      </c>
      <c r="E56" s="32">
        <v>396.56745296418143</v>
      </c>
      <c r="F56" s="32">
        <v>10874.101934550545</v>
      </c>
      <c r="G56" s="77">
        <v>2.3099999999999999E-5</v>
      </c>
      <c r="H56" s="32">
        <v>0.89700000000000002</v>
      </c>
      <c r="I56" s="32">
        <v>237</v>
      </c>
      <c r="J56" s="32">
        <v>660</v>
      </c>
      <c r="K56" s="32">
        <v>2519</v>
      </c>
      <c r="L56" s="32">
        <v>0.9</v>
      </c>
      <c r="M56" s="34">
        <v>1.3631303343691941</v>
      </c>
      <c r="N56" s="32">
        <v>25.58</v>
      </c>
      <c r="O56" s="32">
        <v>13.67</v>
      </c>
      <c r="P56" s="34">
        <f t="shared" si="0"/>
        <v>0.53440187646598913</v>
      </c>
    </row>
    <row r="57" spans="1:16">
      <c r="A57" s="32" t="s">
        <v>43</v>
      </c>
      <c r="B57" s="32">
        <v>150</v>
      </c>
      <c r="C57" s="32">
        <v>600</v>
      </c>
      <c r="D57" s="32">
        <v>2.7</v>
      </c>
      <c r="E57" s="32">
        <v>396.56745296418143</v>
      </c>
      <c r="F57" s="32">
        <v>10874.101934550545</v>
      </c>
      <c r="G57" s="77">
        <v>2.3099999999999999E-5</v>
      </c>
      <c r="H57" s="32">
        <v>0.89700000000000002</v>
      </c>
      <c r="I57" s="32">
        <v>237</v>
      </c>
      <c r="J57" s="32">
        <v>660</v>
      </c>
      <c r="K57" s="32">
        <v>2519</v>
      </c>
      <c r="L57" s="32">
        <v>0.9</v>
      </c>
      <c r="M57" s="34">
        <v>2.0446955015537909</v>
      </c>
      <c r="N57" s="32">
        <v>31.13</v>
      </c>
      <c r="O57" s="32">
        <v>19.420000000000002</v>
      </c>
      <c r="P57" s="34">
        <f t="shared" si="0"/>
        <v>0.62383552842916812</v>
      </c>
    </row>
    <row r="58" spans="1:16">
      <c r="A58" s="32" t="s">
        <v>43</v>
      </c>
      <c r="B58" s="32">
        <v>200</v>
      </c>
      <c r="C58" s="32">
        <v>600</v>
      </c>
      <c r="D58" s="32">
        <v>2.7</v>
      </c>
      <c r="E58" s="32">
        <v>396.56745296418143</v>
      </c>
      <c r="F58" s="32">
        <v>10874.101934550545</v>
      </c>
      <c r="G58" s="77">
        <v>2.3099999999999999E-5</v>
      </c>
      <c r="H58" s="32">
        <v>0.89700000000000002</v>
      </c>
      <c r="I58" s="32">
        <v>237</v>
      </c>
      <c r="J58" s="32">
        <v>660</v>
      </c>
      <c r="K58" s="32">
        <v>2519</v>
      </c>
      <c r="L58" s="32">
        <v>0.9</v>
      </c>
      <c r="M58" s="34">
        <v>2.7262606687383881</v>
      </c>
      <c r="N58" s="32">
        <v>74.39</v>
      </c>
      <c r="O58" s="32">
        <v>25.17</v>
      </c>
      <c r="P58" s="34">
        <f t="shared" si="0"/>
        <v>0.3383519290227181</v>
      </c>
    </row>
    <row r="59" spans="1:16">
      <c r="A59" s="32" t="s">
        <v>43</v>
      </c>
      <c r="B59" s="32">
        <v>250</v>
      </c>
      <c r="C59" s="32">
        <v>600</v>
      </c>
      <c r="D59" s="32">
        <v>2.7</v>
      </c>
      <c r="E59" s="32">
        <v>396.56745296418143</v>
      </c>
      <c r="F59" s="32">
        <v>10874.101934550545</v>
      </c>
      <c r="G59" s="77">
        <v>2.3099999999999999E-5</v>
      </c>
      <c r="H59" s="32">
        <v>0.89700000000000002</v>
      </c>
      <c r="I59" s="32">
        <v>237</v>
      </c>
      <c r="J59" s="32">
        <v>660</v>
      </c>
      <c r="K59" s="32">
        <v>2519</v>
      </c>
      <c r="L59" s="32">
        <v>0.9</v>
      </c>
      <c r="M59" s="34">
        <v>3.4078258359229849</v>
      </c>
      <c r="N59" s="32">
        <v>107.67</v>
      </c>
      <c r="O59" s="32">
        <v>48</v>
      </c>
      <c r="P59" s="34">
        <f t="shared" si="0"/>
        <v>0.44580663137364168</v>
      </c>
    </row>
    <row r="60" spans="1:16">
      <c r="A60" s="32" t="s">
        <v>43</v>
      </c>
      <c r="B60" s="32">
        <v>300</v>
      </c>
      <c r="C60" s="32">
        <v>600</v>
      </c>
      <c r="D60" s="32">
        <v>2.7</v>
      </c>
      <c r="E60" s="32">
        <v>396.56745296418143</v>
      </c>
      <c r="F60" s="32">
        <v>10874.101934550545</v>
      </c>
      <c r="G60" s="77">
        <v>2.3099999999999999E-5</v>
      </c>
      <c r="H60" s="32">
        <v>0.89700000000000002</v>
      </c>
      <c r="I60" s="32">
        <v>237</v>
      </c>
      <c r="J60" s="32">
        <v>660</v>
      </c>
      <c r="K60" s="32">
        <v>2519</v>
      </c>
      <c r="L60" s="32">
        <v>0.9</v>
      </c>
      <c r="M60" s="34">
        <v>4.0893910031075817</v>
      </c>
      <c r="N60" s="32">
        <v>178.9</v>
      </c>
      <c r="O60" s="32">
        <v>108.6</v>
      </c>
      <c r="P60" s="34">
        <f t="shared" si="0"/>
        <v>0.60704304080491889</v>
      </c>
    </row>
    <row r="61" spans="1:16">
      <c r="A61" s="32" t="s">
        <v>43</v>
      </c>
      <c r="B61" s="32">
        <v>100</v>
      </c>
      <c r="C61" s="32">
        <v>900</v>
      </c>
      <c r="D61" s="32">
        <v>2.7</v>
      </c>
      <c r="E61" s="32">
        <v>396.56745296418143</v>
      </c>
      <c r="F61" s="32">
        <v>10874.101934550545</v>
      </c>
      <c r="G61" s="77">
        <v>2.3099999999999999E-5</v>
      </c>
      <c r="H61" s="32">
        <v>0.89700000000000002</v>
      </c>
      <c r="I61" s="32">
        <v>237</v>
      </c>
      <c r="J61" s="32">
        <v>660</v>
      </c>
      <c r="K61" s="32">
        <v>2519</v>
      </c>
      <c r="L61" s="32">
        <v>0.9</v>
      </c>
      <c r="M61" s="34">
        <v>1.1129912573713148</v>
      </c>
      <c r="N61" s="32">
        <v>48.7</v>
      </c>
      <c r="O61" s="32">
        <v>20.2</v>
      </c>
      <c r="P61" s="34">
        <f t="shared" si="0"/>
        <v>0.41478439425051333</v>
      </c>
    </row>
    <row r="62" spans="1:16">
      <c r="A62" s="32" t="s">
        <v>43</v>
      </c>
      <c r="B62" s="32">
        <v>150</v>
      </c>
      <c r="C62" s="32">
        <v>900</v>
      </c>
      <c r="D62" s="32">
        <v>2.7</v>
      </c>
      <c r="E62" s="32">
        <v>396.56745296418143</v>
      </c>
      <c r="F62" s="32">
        <v>10874.101934550545</v>
      </c>
      <c r="G62" s="77">
        <v>2.3099999999999999E-5</v>
      </c>
      <c r="H62" s="32">
        <v>0.89700000000000002</v>
      </c>
      <c r="I62" s="32">
        <v>237</v>
      </c>
      <c r="J62" s="32">
        <v>660</v>
      </c>
      <c r="K62" s="32">
        <v>2519</v>
      </c>
      <c r="L62" s="32">
        <v>0.9</v>
      </c>
      <c r="M62" s="34">
        <v>1.6694868860569723</v>
      </c>
      <c r="N62" s="32">
        <v>66.69</v>
      </c>
      <c r="O62" s="32">
        <v>25.39</v>
      </c>
      <c r="P62" s="34">
        <f t="shared" si="0"/>
        <v>0.38071674913780179</v>
      </c>
    </row>
    <row r="63" spans="1:16">
      <c r="A63" s="32" t="s">
        <v>43</v>
      </c>
      <c r="B63" s="32">
        <v>200</v>
      </c>
      <c r="C63" s="32">
        <v>900</v>
      </c>
      <c r="D63" s="32">
        <v>2.7</v>
      </c>
      <c r="E63" s="32">
        <v>396.56745296418143</v>
      </c>
      <c r="F63" s="32">
        <v>10874.101934550545</v>
      </c>
      <c r="G63" s="77">
        <v>2.3099999999999999E-5</v>
      </c>
      <c r="H63" s="32">
        <v>0.89700000000000002</v>
      </c>
      <c r="I63" s="32">
        <v>237</v>
      </c>
      <c r="J63" s="32">
        <v>660</v>
      </c>
      <c r="K63" s="32">
        <v>2519</v>
      </c>
      <c r="L63" s="32">
        <v>0.9</v>
      </c>
      <c r="M63" s="34">
        <v>2.2259825147426295</v>
      </c>
      <c r="N63" s="32">
        <v>70.2</v>
      </c>
      <c r="O63" s="32">
        <v>39.46</v>
      </c>
      <c r="P63" s="34">
        <f t="shared" si="0"/>
        <v>0.56210826210826215</v>
      </c>
    </row>
    <row r="64" spans="1:16">
      <c r="A64" s="32" t="s">
        <v>43</v>
      </c>
      <c r="B64" s="32">
        <v>250</v>
      </c>
      <c r="C64" s="32">
        <v>900</v>
      </c>
      <c r="D64" s="32">
        <v>2.7</v>
      </c>
      <c r="E64" s="32">
        <v>396.56745296418143</v>
      </c>
      <c r="F64" s="32">
        <v>10874.101934550545</v>
      </c>
      <c r="G64" s="77">
        <v>2.3099999999999999E-5</v>
      </c>
      <c r="H64" s="32">
        <v>0.89700000000000002</v>
      </c>
      <c r="I64" s="32">
        <v>237</v>
      </c>
      <c r="J64" s="32">
        <v>660</v>
      </c>
      <c r="K64" s="32">
        <v>2519</v>
      </c>
      <c r="L64" s="32">
        <v>0.9</v>
      </c>
      <c r="M64" s="34">
        <v>2.7824781434282868</v>
      </c>
      <c r="N64" s="32">
        <v>76.489999999999995</v>
      </c>
      <c r="O64" s="32">
        <v>38.74</v>
      </c>
      <c r="P64" s="34">
        <f t="shared" si="0"/>
        <v>0.50647143417440199</v>
      </c>
    </row>
    <row r="65" spans="1:16">
      <c r="A65" s="32" t="s">
        <v>43</v>
      </c>
      <c r="B65" s="32">
        <v>300</v>
      </c>
      <c r="C65" s="32">
        <v>900</v>
      </c>
      <c r="D65" s="32">
        <v>2.7</v>
      </c>
      <c r="E65" s="32">
        <v>396.56745296418143</v>
      </c>
      <c r="F65" s="32">
        <v>10874.101934550545</v>
      </c>
      <c r="G65" s="77">
        <v>2.3099999999999999E-5</v>
      </c>
      <c r="H65" s="32">
        <v>0.89700000000000002</v>
      </c>
      <c r="I65" s="32">
        <v>237</v>
      </c>
      <c r="J65" s="32">
        <v>660</v>
      </c>
      <c r="K65" s="32">
        <v>2519</v>
      </c>
      <c r="L65" s="32">
        <v>0.9</v>
      </c>
      <c r="M65" s="34">
        <v>3.3389737721139445</v>
      </c>
      <c r="N65" s="32">
        <v>101.74</v>
      </c>
      <c r="O65" s="32">
        <v>40.32</v>
      </c>
      <c r="P65" s="34">
        <f t="shared" si="0"/>
        <v>0.39630430509140951</v>
      </c>
    </row>
    <row r="66" spans="1:16">
      <c r="A66" s="32" t="s">
        <v>44</v>
      </c>
      <c r="B66" s="32">
        <v>200</v>
      </c>
      <c r="C66" s="32">
        <v>200</v>
      </c>
      <c r="D66" s="32">
        <v>7.14</v>
      </c>
      <c r="E66" s="32">
        <v>112.41970021413277</v>
      </c>
      <c r="F66" s="32">
        <v>1763.5362496176201</v>
      </c>
      <c r="G66" s="77">
        <v>3.0199999999999999E-5</v>
      </c>
      <c r="H66" s="32">
        <v>0.38800000000000001</v>
      </c>
      <c r="I66" s="32">
        <v>116</v>
      </c>
      <c r="J66" s="32">
        <v>420</v>
      </c>
      <c r="K66" s="32">
        <v>907</v>
      </c>
      <c r="L66" s="32">
        <v>0.65</v>
      </c>
      <c r="M66" s="35">
        <v>34.744449025154033</v>
      </c>
      <c r="N66" s="31">
        <v>295.37</v>
      </c>
      <c r="O66" s="31">
        <v>799.53</v>
      </c>
      <c r="P66" s="34">
        <f t="shared" si="0"/>
        <v>2.7068761214747603</v>
      </c>
    </row>
    <row r="67" spans="1:16">
      <c r="A67" s="32" t="s">
        <v>44</v>
      </c>
      <c r="B67" s="32">
        <v>200</v>
      </c>
      <c r="C67" s="32">
        <v>400</v>
      </c>
      <c r="D67" s="32">
        <v>7.14</v>
      </c>
      <c r="E67" s="32">
        <v>112.41970021413277</v>
      </c>
      <c r="F67" s="32">
        <v>1763.5362496176201</v>
      </c>
      <c r="G67" s="77">
        <v>3.0199999999999999E-5</v>
      </c>
      <c r="H67" s="32">
        <v>0.38800000000000001</v>
      </c>
      <c r="I67" s="32">
        <v>116</v>
      </c>
      <c r="J67" s="32">
        <v>420</v>
      </c>
      <c r="K67" s="32">
        <v>907</v>
      </c>
      <c r="L67" s="32">
        <v>0.65</v>
      </c>
      <c r="M67" s="35">
        <v>24.568035514276747</v>
      </c>
      <c r="N67" s="31">
        <v>257.63</v>
      </c>
      <c r="O67" s="31">
        <v>419.56</v>
      </c>
      <c r="P67" s="34">
        <f t="shared" si="0"/>
        <v>1.628537049256686</v>
      </c>
    </row>
    <row r="68" spans="1:16">
      <c r="A68" s="32" t="s">
        <v>44</v>
      </c>
      <c r="B68" s="32">
        <v>200</v>
      </c>
      <c r="C68" s="32">
        <v>600</v>
      </c>
      <c r="D68" s="32">
        <v>7.14</v>
      </c>
      <c r="E68" s="32">
        <v>112.41970021413277</v>
      </c>
      <c r="F68" s="32">
        <v>1763.5362496176201</v>
      </c>
      <c r="G68" s="77">
        <v>3.0199999999999999E-5</v>
      </c>
      <c r="H68" s="32">
        <v>0.38800000000000001</v>
      </c>
      <c r="I68" s="32">
        <v>116</v>
      </c>
      <c r="J68" s="32">
        <v>420</v>
      </c>
      <c r="K68" s="32">
        <v>907</v>
      </c>
      <c r="L68" s="32">
        <v>0.65</v>
      </c>
      <c r="M68" s="35">
        <v>20.059716997517913</v>
      </c>
      <c r="N68" s="31">
        <v>249.25</v>
      </c>
      <c r="O68" s="31">
        <v>196.23</v>
      </c>
      <c r="P68" s="34">
        <f t="shared" si="0"/>
        <v>0.78728184553660974</v>
      </c>
    </row>
    <row r="69" spans="1:16">
      <c r="A69" s="32" t="s">
        <v>44</v>
      </c>
      <c r="B69" s="32">
        <v>200</v>
      </c>
      <c r="C69" s="32">
        <v>800</v>
      </c>
      <c r="D69" s="32">
        <v>7.14</v>
      </c>
      <c r="E69" s="32">
        <v>112.41970021413277</v>
      </c>
      <c r="F69" s="32">
        <v>1763.5362496176201</v>
      </c>
      <c r="G69" s="77">
        <v>3.0199999999999999E-5</v>
      </c>
      <c r="H69" s="32">
        <v>0.38800000000000001</v>
      </c>
      <c r="I69" s="32">
        <v>116</v>
      </c>
      <c r="J69" s="32">
        <v>420</v>
      </c>
      <c r="K69" s="32">
        <v>907</v>
      </c>
      <c r="L69" s="32">
        <v>0.65</v>
      </c>
      <c r="M69" s="35">
        <v>17.372224512577016</v>
      </c>
      <c r="N69" s="31">
        <v>159.72</v>
      </c>
      <c r="O69" s="31">
        <v>179.32</v>
      </c>
      <c r="P69" s="34">
        <f t="shared" ref="P69:P132" si="1">O69/N69</f>
        <v>1.1227147508139244</v>
      </c>
    </row>
    <row r="70" spans="1:16">
      <c r="A70" s="32" t="s">
        <v>44</v>
      </c>
      <c r="B70" s="32">
        <v>200</v>
      </c>
      <c r="C70" s="32">
        <v>1200</v>
      </c>
      <c r="D70" s="32">
        <v>7.14</v>
      </c>
      <c r="E70" s="32">
        <v>112.41970021413277</v>
      </c>
      <c r="F70" s="32">
        <v>1763.5362496176201</v>
      </c>
      <c r="G70" s="77">
        <v>3.0199999999999999E-5</v>
      </c>
      <c r="H70" s="32">
        <v>0.38800000000000001</v>
      </c>
      <c r="I70" s="32">
        <v>116</v>
      </c>
      <c r="J70" s="32">
        <v>420</v>
      </c>
      <c r="K70" s="32">
        <v>907</v>
      </c>
      <c r="L70" s="32">
        <v>0.65</v>
      </c>
      <c r="M70" s="35">
        <v>14.184361917627967</v>
      </c>
      <c r="N70" s="31">
        <v>136.47999999999999</v>
      </c>
      <c r="O70" s="31">
        <v>105.85</v>
      </c>
      <c r="P70" s="34">
        <f t="shared" si="1"/>
        <v>0.77557151230949595</v>
      </c>
    </row>
    <row r="71" spans="1:16">
      <c r="A71" s="32" t="s">
        <v>44</v>
      </c>
      <c r="B71" s="32">
        <v>200</v>
      </c>
      <c r="C71" s="32">
        <v>1600</v>
      </c>
      <c r="D71" s="32">
        <v>7.14</v>
      </c>
      <c r="E71" s="32">
        <v>112.41970021413277</v>
      </c>
      <c r="F71" s="32">
        <v>1763.5362496176201</v>
      </c>
      <c r="G71" s="77">
        <v>3.0199999999999999E-5</v>
      </c>
      <c r="H71" s="32">
        <v>0.38800000000000001</v>
      </c>
      <c r="I71" s="32">
        <v>116</v>
      </c>
      <c r="J71" s="32">
        <v>420</v>
      </c>
      <c r="K71" s="32">
        <v>907</v>
      </c>
      <c r="L71" s="32">
        <v>0.65</v>
      </c>
      <c r="M71" s="35">
        <v>12.284017757138374</v>
      </c>
      <c r="N71" s="31">
        <v>132.22999999999999</v>
      </c>
      <c r="O71" s="31">
        <v>66.89</v>
      </c>
      <c r="P71" s="34">
        <f t="shared" si="1"/>
        <v>0.5058609997731226</v>
      </c>
    </row>
    <row r="72" spans="1:16">
      <c r="A72" s="32" t="s">
        <v>44</v>
      </c>
      <c r="B72" s="32">
        <v>200</v>
      </c>
      <c r="C72" s="32">
        <v>2000</v>
      </c>
      <c r="D72" s="32">
        <v>7.14</v>
      </c>
      <c r="E72" s="32">
        <v>112.41970021413277</v>
      </c>
      <c r="F72" s="32">
        <v>1763.5362496176201</v>
      </c>
      <c r="G72" s="77">
        <v>3.0199999999999999E-5</v>
      </c>
      <c r="H72" s="32">
        <v>0.38800000000000001</v>
      </c>
      <c r="I72" s="32">
        <v>116</v>
      </c>
      <c r="J72" s="32">
        <v>420</v>
      </c>
      <c r="K72" s="32">
        <v>907</v>
      </c>
      <c r="L72" s="32">
        <v>0.65</v>
      </c>
      <c r="M72" s="35">
        <v>10.987159496710364</v>
      </c>
      <c r="N72" s="31">
        <v>120.11</v>
      </c>
      <c r="O72" s="31">
        <v>60.12</v>
      </c>
      <c r="P72" s="34">
        <f t="shared" si="1"/>
        <v>0.50054117059362246</v>
      </c>
    </row>
    <row r="73" spans="1:16">
      <c r="A73" s="32" t="s">
        <v>44</v>
      </c>
      <c r="B73" s="32">
        <v>200</v>
      </c>
      <c r="C73" s="32">
        <v>2400</v>
      </c>
      <c r="D73" s="32">
        <v>7.14</v>
      </c>
      <c r="E73" s="32">
        <v>112.41970021413277</v>
      </c>
      <c r="F73" s="32">
        <v>1763.5362496176201</v>
      </c>
      <c r="G73" s="77">
        <v>3.0199999999999999E-5</v>
      </c>
      <c r="H73" s="32">
        <v>0.38800000000000001</v>
      </c>
      <c r="I73" s="32">
        <v>116</v>
      </c>
      <c r="J73" s="32">
        <v>420</v>
      </c>
      <c r="K73" s="32">
        <v>907</v>
      </c>
      <c r="L73" s="32">
        <v>0.65</v>
      </c>
      <c r="M73" s="35">
        <v>10.029858498758957</v>
      </c>
      <c r="N73" s="31">
        <v>115.59</v>
      </c>
      <c r="O73" s="31">
        <v>47.67</v>
      </c>
      <c r="P73" s="34">
        <f t="shared" si="1"/>
        <v>0.41240591746690891</v>
      </c>
    </row>
    <row r="74" spans="1:16">
      <c r="A74" s="32" t="s">
        <v>44</v>
      </c>
      <c r="B74" s="32">
        <v>350</v>
      </c>
      <c r="C74" s="32">
        <v>400</v>
      </c>
      <c r="D74" s="32">
        <v>7.14</v>
      </c>
      <c r="E74" s="32">
        <v>112.41970021413277</v>
      </c>
      <c r="F74" s="32">
        <v>1763.5362496176201</v>
      </c>
      <c r="G74" s="77">
        <v>3.0199999999999999E-5</v>
      </c>
      <c r="H74" s="32">
        <v>0.38800000000000001</v>
      </c>
      <c r="I74" s="32">
        <v>116</v>
      </c>
      <c r="J74" s="32">
        <v>420</v>
      </c>
      <c r="K74" s="32">
        <v>907</v>
      </c>
      <c r="L74" s="32">
        <v>0.65</v>
      </c>
      <c r="M74" s="35">
        <v>42.994062149984302</v>
      </c>
      <c r="N74" s="31">
        <v>318.73</v>
      </c>
      <c r="O74" s="31">
        <v>715.1</v>
      </c>
      <c r="P74" s="34">
        <f t="shared" si="1"/>
        <v>2.2435917547767703</v>
      </c>
    </row>
    <row r="75" spans="1:16">
      <c r="A75" s="32" t="s">
        <v>44</v>
      </c>
      <c r="B75" s="32">
        <v>350</v>
      </c>
      <c r="C75" s="32">
        <v>600</v>
      </c>
      <c r="D75" s="32">
        <v>7.14</v>
      </c>
      <c r="E75" s="32">
        <v>112.41970021413277</v>
      </c>
      <c r="F75" s="32">
        <v>1763.5362496176201</v>
      </c>
      <c r="G75" s="77">
        <v>3.0199999999999999E-5</v>
      </c>
      <c r="H75" s="32">
        <v>0.38800000000000001</v>
      </c>
      <c r="I75" s="32">
        <v>116</v>
      </c>
      <c r="J75" s="32">
        <v>420</v>
      </c>
      <c r="K75" s="32">
        <v>907</v>
      </c>
      <c r="L75" s="32">
        <v>0.65</v>
      </c>
      <c r="M75" s="35">
        <v>35.104504745656349</v>
      </c>
      <c r="N75" s="31">
        <v>268.32</v>
      </c>
      <c r="O75" s="31">
        <v>405.89</v>
      </c>
      <c r="P75" s="34">
        <f t="shared" si="1"/>
        <v>1.5127087060226594</v>
      </c>
    </row>
    <row r="76" spans="1:16">
      <c r="A76" s="32" t="s">
        <v>44</v>
      </c>
      <c r="B76" s="32">
        <v>350</v>
      </c>
      <c r="C76" s="32">
        <v>800</v>
      </c>
      <c r="D76" s="32">
        <v>7.14</v>
      </c>
      <c r="E76" s="32">
        <v>112.41970021413277</v>
      </c>
      <c r="F76" s="32">
        <v>1763.5362496176201</v>
      </c>
      <c r="G76" s="77">
        <v>3.0199999999999999E-5</v>
      </c>
      <c r="H76" s="32">
        <v>0.38800000000000001</v>
      </c>
      <c r="I76" s="32">
        <v>116</v>
      </c>
      <c r="J76" s="32">
        <v>420</v>
      </c>
      <c r="K76" s="32">
        <v>907</v>
      </c>
      <c r="L76" s="32">
        <v>0.65</v>
      </c>
      <c r="M76" s="35">
        <v>30.401392897009774</v>
      </c>
      <c r="N76" s="31">
        <v>248.1</v>
      </c>
      <c r="O76" s="31">
        <v>307</v>
      </c>
      <c r="P76" s="34">
        <f t="shared" si="1"/>
        <v>1.2374042724707779</v>
      </c>
    </row>
    <row r="77" spans="1:16">
      <c r="A77" s="32" t="s">
        <v>44</v>
      </c>
      <c r="B77" s="32">
        <v>350</v>
      </c>
      <c r="C77" s="32">
        <v>1000</v>
      </c>
      <c r="D77" s="32">
        <v>7.14</v>
      </c>
      <c r="E77" s="32">
        <v>112.41970021413277</v>
      </c>
      <c r="F77" s="32">
        <v>1763.5362496176201</v>
      </c>
      <c r="G77" s="77">
        <v>3.0199999999999999E-5</v>
      </c>
      <c r="H77" s="32">
        <v>0.38800000000000001</v>
      </c>
      <c r="I77" s="32">
        <v>116</v>
      </c>
      <c r="J77" s="32">
        <v>420</v>
      </c>
      <c r="K77" s="32">
        <v>907</v>
      </c>
      <c r="L77" s="32">
        <v>0.65</v>
      </c>
      <c r="M77" s="35">
        <v>27.191832451357254</v>
      </c>
      <c r="N77" s="31">
        <v>215.63</v>
      </c>
      <c r="O77" s="31">
        <v>217.02</v>
      </c>
      <c r="P77" s="34">
        <f t="shared" si="1"/>
        <v>1.006446227333859</v>
      </c>
    </row>
    <row r="78" spans="1:16">
      <c r="A78" s="32" t="s">
        <v>44</v>
      </c>
      <c r="B78" s="32">
        <v>350</v>
      </c>
      <c r="C78" s="32">
        <v>1200</v>
      </c>
      <c r="D78" s="32">
        <v>7.14</v>
      </c>
      <c r="E78" s="32">
        <v>112.41970021413277</v>
      </c>
      <c r="F78" s="32">
        <v>1763.5362496176201</v>
      </c>
      <c r="G78" s="77">
        <v>3.0199999999999999E-5</v>
      </c>
      <c r="H78" s="32">
        <v>0.38800000000000001</v>
      </c>
      <c r="I78" s="32">
        <v>116</v>
      </c>
      <c r="J78" s="32">
        <v>420</v>
      </c>
      <c r="K78" s="32">
        <v>907</v>
      </c>
      <c r="L78" s="32">
        <v>0.65</v>
      </c>
      <c r="M78" s="35">
        <v>24.822633355848943</v>
      </c>
      <c r="N78" s="31">
        <v>167.35</v>
      </c>
      <c r="O78" s="31">
        <v>191.25</v>
      </c>
      <c r="P78" s="34">
        <f t="shared" si="1"/>
        <v>1.1428144607110846</v>
      </c>
    </row>
    <row r="79" spans="1:16">
      <c r="A79" s="32" t="s">
        <v>44</v>
      </c>
      <c r="B79" s="32">
        <v>350</v>
      </c>
      <c r="C79" s="32">
        <v>1600</v>
      </c>
      <c r="D79" s="32">
        <v>7.14</v>
      </c>
      <c r="E79" s="32">
        <v>112.41970021413277</v>
      </c>
      <c r="F79" s="32">
        <v>1763.5362496176201</v>
      </c>
      <c r="G79" s="77">
        <v>3.0199999999999999E-5</v>
      </c>
      <c r="H79" s="32">
        <v>0.38800000000000001</v>
      </c>
      <c r="I79" s="32">
        <v>116</v>
      </c>
      <c r="J79" s="32">
        <v>420</v>
      </c>
      <c r="K79" s="32">
        <v>907</v>
      </c>
      <c r="L79" s="32">
        <v>0.65</v>
      </c>
      <c r="M79" s="35">
        <v>21.497031074992151</v>
      </c>
      <c r="N79" s="31">
        <v>182.7</v>
      </c>
      <c r="O79" s="31">
        <v>128.62</v>
      </c>
      <c r="P79" s="34">
        <f t="shared" si="1"/>
        <v>0.70399562123700066</v>
      </c>
    </row>
    <row r="80" spans="1:16">
      <c r="A80" s="32" t="s">
        <v>44</v>
      </c>
      <c r="B80" s="32">
        <v>350</v>
      </c>
      <c r="C80" s="32">
        <v>2000</v>
      </c>
      <c r="D80" s="32">
        <v>7.14</v>
      </c>
      <c r="E80" s="32">
        <v>112.41970021413277</v>
      </c>
      <c r="F80" s="32">
        <v>1763.5362496176201</v>
      </c>
      <c r="G80" s="77">
        <v>3.0199999999999999E-5</v>
      </c>
      <c r="H80" s="32">
        <v>0.38800000000000001</v>
      </c>
      <c r="I80" s="32">
        <v>116</v>
      </c>
      <c r="J80" s="32">
        <v>420</v>
      </c>
      <c r="K80" s="32">
        <v>907</v>
      </c>
      <c r="L80" s="32">
        <v>0.65</v>
      </c>
      <c r="M80" s="35">
        <v>19.227529119243133</v>
      </c>
      <c r="N80" s="31">
        <v>170.37</v>
      </c>
      <c r="O80" s="31">
        <v>84.41</v>
      </c>
      <c r="P80" s="34">
        <f t="shared" si="1"/>
        <v>0.49545107706755881</v>
      </c>
    </row>
    <row r="81" spans="1:16">
      <c r="A81" s="32" t="s">
        <v>44</v>
      </c>
      <c r="B81" s="32">
        <v>350</v>
      </c>
      <c r="C81" s="32">
        <v>2400</v>
      </c>
      <c r="D81" s="32">
        <v>7.14</v>
      </c>
      <c r="E81" s="32">
        <v>112.41970021413277</v>
      </c>
      <c r="F81" s="32">
        <v>1763.5362496176201</v>
      </c>
      <c r="G81" s="77">
        <v>3.0199999999999999E-5</v>
      </c>
      <c r="H81" s="32">
        <v>0.38800000000000001</v>
      </c>
      <c r="I81" s="32">
        <v>116</v>
      </c>
      <c r="J81" s="32">
        <v>420</v>
      </c>
      <c r="K81" s="32">
        <v>907</v>
      </c>
      <c r="L81" s="32">
        <v>0.65</v>
      </c>
      <c r="M81" s="34">
        <v>17.552252372828175</v>
      </c>
      <c r="N81" s="32">
        <v>163.69999999999999</v>
      </c>
      <c r="O81" s="32">
        <v>86.93</v>
      </c>
      <c r="P81" s="34">
        <f t="shared" si="1"/>
        <v>0.5310323762981064</v>
      </c>
    </row>
    <row r="82" spans="1:16">
      <c r="A82" s="32" t="s">
        <v>44</v>
      </c>
      <c r="B82" s="32">
        <v>100</v>
      </c>
      <c r="C82" s="32">
        <v>300</v>
      </c>
      <c r="D82" s="32">
        <v>7.14</v>
      </c>
      <c r="E82" s="32">
        <v>112.41970021413277</v>
      </c>
      <c r="F82" s="32">
        <v>1763.5362496176201</v>
      </c>
      <c r="G82" s="77">
        <v>3.0199999999999999E-5</v>
      </c>
      <c r="H82" s="32">
        <v>0.38800000000000001</v>
      </c>
      <c r="I82" s="32">
        <v>116</v>
      </c>
      <c r="J82" s="32">
        <v>420</v>
      </c>
      <c r="K82" s="32">
        <v>907</v>
      </c>
      <c r="L82" s="32">
        <v>0.65</v>
      </c>
      <c r="M82" s="35">
        <v>14.184361917627967</v>
      </c>
      <c r="N82" s="31">
        <v>199.47</v>
      </c>
      <c r="O82" s="31">
        <v>262</v>
      </c>
      <c r="P82" s="34">
        <f t="shared" si="1"/>
        <v>1.3134807239183837</v>
      </c>
    </row>
    <row r="83" spans="1:16">
      <c r="A83" s="32" t="s">
        <v>44</v>
      </c>
      <c r="B83" s="32">
        <v>150</v>
      </c>
      <c r="C83" s="32">
        <v>300</v>
      </c>
      <c r="D83" s="32">
        <v>7.14</v>
      </c>
      <c r="E83" s="32">
        <v>112.41970021413277</v>
      </c>
      <c r="F83" s="32">
        <v>1763.5362496176201</v>
      </c>
      <c r="G83" s="77">
        <v>3.0199999999999999E-5</v>
      </c>
      <c r="H83" s="32">
        <v>0.38800000000000001</v>
      </c>
      <c r="I83" s="32">
        <v>116</v>
      </c>
      <c r="J83" s="32">
        <v>420</v>
      </c>
      <c r="K83" s="32">
        <v>907</v>
      </c>
      <c r="L83" s="32">
        <v>0.65</v>
      </c>
      <c r="M83" s="35">
        <v>21.276542876441951</v>
      </c>
      <c r="N83" s="31">
        <v>255.88</v>
      </c>
      <c r="O83" s="31">
        <v>485.44</v>
      </c>
      <c r="P83" s="34">
        <f t="shared" si="1"/>
        <v>1.8971392840393935</v>
      </c>
    </row>
    <row r="84" spans="1:16">
      <c r="A84" s="32" t="s">
        <v>44</v>
      </c>
      <c r="B84" s="32">
        <v>200</v>
      </c>
      <c r="C84" s="32">
        <v>300</v>
      </c>
      <c r="D84" s="32">
        <v>7.14</v>
      </c>
      <c r="E84" s="32">
        <v>112.41970021413277</v>
      </c>
      <c r="F84" s="32">
        <v>1763.5362496176201</v>
      </c>
      <c r="G84" s="77">
        <v>3.0199999999999999E-5</v>
      </c>
      <c r="H84" s="32">
        <v>0.38800000000000001</v>
      </c>
      <c r="I84" s="32">
        <v>116</v>
      </c>
      <c r="J84" s="32">
        <v>420</v>
      </c>
      <c r="K84" s="32">
        <v>907</v>
      </c>
      <c r="L84" s="32">
        <v>0.65</v>
      </c>
      <c r="M84" s="35">
        <v>28.368723835255935</v>
      </c>
      <c r="N84" s="31">
        <v>263.5</v>
      </c>
      <c r="O84" s="31">
        <v>651.4</v>
      </c>
      <c r="P84" s="34">
        <f t="shared" si="1"/>
        <v>2.4721062618595826</v>
      </c>
    </row>
    <row r="85" spans="1:16">
      <c r="A85" s="32" t="s">
        <v>44</v>
      </c>
      <c r="B85" s="32">
        <v>250</v>
      </c>
      <c r="C85" s="32">
        <v>300</v>
      </c>
      <c r="D85" s="32">
        <v>7.14</v>
      </c>
      <c r="E85" s="32">
        <v>112.41970021413277</v>
      </c>
      <c r="F85" s="32">
        <v>1763.5362496176201</v>
      </c>
      <c r="G85" s="77">
        <v>3.0199999999999999E-5</v>
      </c>
      <c r="H85" s="32">
        <v>0.38800000000000001</v>
      </c>
      <c r="I85" s="32">
        <v>116</v>
      </c>
      <c r="J85" s="32">
        <v>420</v>
      </c>
      <c r="K85" s="32">
        <v>907</v>
      </c>
      <c r="L85" s="32">
        <v>0.65</v>
      </c>
      <c r="M85" s="35">
        <v>35.460904794069918</v>
      </c>
      <c r="N85" s="31">
        <v>265.97000000000003</v>
      </c>
      <c r="O85" s="31">
        <v>869.3</v>
      </c>
      <c r="P85" s="34">
        <f t="shared" si="1"/>
        <v>3.2684137308719023</v>
      </c>
    </row>
    <row r="86" spans="1:16">
      <c r="A86" s="32" t="s">
        <v>44</v>
      </c>
      <c r="B86" s="32">
        <v>300</v>
      </c>
      <c r="C86" s="32">
        <v>300</v>
      </c>
      <c r="D86" s="32">
        <v>7.14</v>
      </c>
      <c r="E86" s="32">
        <v>112.41970021413277</v>
      </c>
      <c r="F86" s="32">
        <v>1763.5362496176201</v>
      </c>
      <c r="G86" s="77">
        <v>3.0199999999999999E-5</v>
      </c>
      <c r="H86" s="32">
        <v>0.38800000000000001</v>
      </c>
      <c r="I86" s="32">
        <v>116</v>
      </c>
      <c r="J86" s="32">
        <v>420</v>
      </c>
      <c r="K86" s="32">
        <v>907</v>
      </c>
      <c r="L86" s="32">
        <v>0.65</v>
      </c>
      <c r="M86" s="35">
        <v>42.553085752883902</v>
      </c>
      <c r="N86" s="31">
        <v>270.60000000000002</v>
      </c>
      <c r="O86" s="31">
        <v>995.4</v>
      </c>
      <c r="P86" s="34">
        <f t="shared" si="1"/>
        <v>3.678492239467849</v>
      </c>
    </row>
    <row r="87" spans="1:16">
      <c r="A87" s="32" t="s">
        <v>44</v>
      </c>
      <c r="B87" s="32">
        <v>100</v>
      </c>
      <c r="C87" s="32">
        <v>600</v>
      </c>
      <c r="D87" s="32">
        <v>7.14</v>
      </c>
      <c r="E87" s="32">
        <v>112.41970021413277</v>
      </c>
      <c r="F87" s="32">
        <v>1763.5362496176201</v>
      </c>
      <c r="G87" s="77">
        <v>3.0199999999999999E-5</v>
      </c>
      <c r="H87" s="32">
        <v>0.38800000000000001</v>
      </c>
      <c r="I87" s="32">
        <v>116</v>
      </c>
      <c r="J87" s="32">
        <v>420</v>
      </c>
      <c r="K87" s="32">
        <v>907</v>
      </c>
      <c r="L87" s="32">
        <v>0.65</v>
      </c>
      <c r="M87" s="35">
        <v>10.029858498758957</v>
      </c>
      <c r="N87" s="31">
        <v>133.59</v>
      </c>
      <c r="O87" s="31">
        <v>128.65</v>
      </c>
      <c r="P87" s="34">
        <f t="shared" si="1"/>
        <v>0.96302118422037575</v>
      </c>
    </row>
    <row r="88" spans="1:16">
      <c r="A88" s="32" t="s">
        <v>44</v>
      </c>
      <c r="B88" s="32">
        <v>150</v>
      </c>
      <c r="C88" s="32">
        <v>600</v>
      </c>
      <c r="D88" s="32">
        <v>7.14</v>
      </c>
      <c r="E88" s="32">
        <v>112.41970021413277</v>
      </c>
      <c r="F88" s="32">
        <v>1763.5362496176201</v>
      </c>
      <c r="G88" s="77">
        <v>3.0199999999999999E-5</v>
      </c>
      <c r="H88" s="32">
        <v>0.38800000000000001</v>
      </c>
      <c r="I88" s="32">
        <v>116</v>
      </c>
      <c r="J88" s="32">
        <v>420</v>
      </c>
      <c r="K88" s="32">
        <v>907</v>
      </c>
      <c r="L88" s="32">
        <v>0.65</v>
      </c>
      <c r="M88" s="35">
        <v>15.044787748138436</v>
      </c>
      <c r="N88" s="31">
        <v>188.49</v>
      </c>
      <c r="O88" s="31">
        <v>211.42</v>
      </c>
      <c r="P88" s="34">
        <f t="shared" si="1"/>
        <v>1.1216510159690167</v>
      </c>
    </row>
    <row r="89" spans="1:16">
      <c r="A89" s="32" t="s">
        <v>44</v>
      </c>
      <c r="B89" s="32">
        <v>200</v>
      </c>
      <c r="C89" s="32">
        <v>600</v>
      </c>
      <c r="D89" s="32">
        <v>7.14</v>
      </c>
      <c r="E89" s="32">
        <v>112.41970021413277</v>
      </c>
      <c r="F89" s="32">
        <v>1763.5362496176201</v>
      </c>
      <c r="G89" s="77">
        <v>3.0199999999999999E-5</v>
      </c>
      <c r="H89" s="32">
        <v>0.38800000000000001</v>
      </c>
      <c r="I89" s="32">
        <v>116</v>
      </c>
      <c r="J89" s="32">
        <v>420</v>
      </c>
      <c r="K89" s="32">
        <v>907</v>
      </c>
      <c r="L89" s="32">
        <v>0.65</v>
      </c>
      <c r="M89" s="35">
        <v>20.059716997517913</v>
      </c>
      <c r="N89" s="31">
        <v>205.98</v>
      </c>
      <c r="O89" s="31">
        <v>286.8</v>
      </c>
      <c r="P89" s="34">
        <f t="shared" si="1"/>
        <v>1.3923681910865133</v>
      </c>
    </row>
    <row r="90" spans="1:16">
      <c r="A90" s="32" t="s">
        <v>44</v>
      </c>
      <c r="B90" s="32">
        <v>250</v>
      </c>
      <c r="C90" s="32">
        <v>600</v>
      </c>
      <c r="D90" s="32">
        <v>7.14</v>
      </c>
      <c r="E90" s="32">
        <v>112.41970021413277</v>
      </c>
      <c r="F90" s="32">
        <v>1763.5362496176201</v>
      </c>
      <c r="G90" s="77">
        <v>3.0199999999999999E-5</v>
      </c>
      <c r="H90" s="32">
        <v>0.38800000000000001</v>
      </c>
      <c r="I90" s="32">
        <v>116</v>
      </c>
      <c r="J90" s="32">
        <v>420</v>
      </c>
      <c r="K90" s="32">
        <v>907</v>
      </c>
      <c r="L90" s="32">
        <v>0.65</v>
      </c>
      <c r="M90" s="35">
        <v>25.074646246897395</v>
      </c>
      <c r="N90" s="31">
        <v>190.33</v>
      </c>
      <c r="O90" s="31">
        <v>403.32</v>
      </c>
      <c r="P90" s="34">
        <f t="shared" si="1"/>
        <v>2.1190563757684022</v>
      </c>
    </row>
    <row r="91" spans="1:16">
      <c r="A91" s="32" t="s">
        <v>44</v>
      </c>
      <c r="B91" s="32">
        <v>300</v>
      </c>
      <c r="C91" s="32">
        <v>600</v>
      </c>
      <c r="D91" s="32">
        <v>7.14</v>
      </c>
      <c r="E91" s="32">
        <v>112.41970021413277</v>
      </c>
      <c r="F91" s="32">
        <v>1763.5362496176201</v>
      </c>
      <c r="G91" s="77">
        <v>3.0199999999999999E-5</v>
      </c>
      <c r="H91" s="32">
        <v>0.38800000000000001</v>
      </c>
      <c r="I91" s="32">
        <v>116</v>
      </c>
      <c r="J91" s="32">
        <v>420</v>
      </c>
      <c r="K91" s="32">
        <v>907</v>
      </c>
      <c r="L91" s="32">
        <v>0.65</v>
      </c>
      <c r="M91" s="35">
        <v>30.089575496276872</v>
      </c>
      <c r="N91" s="31">
        <v>225.47</v>
      </c>
      <c r="O91" s="31">
        <v>491.6</v>
      </c>
      <c r="P91" s="34">
        <f t="shared" si="1"/>
        <v>2.1803344125604296</v>
      </c>
    </row>
    <row r="92" spans="1:16">
      <c r="A92" s="32" t="s">
        <v>44</v>
      </c>
      <c r="B92" s="32">
        <v>100</v>
      </c>
      <c r="C92" s="32">
        <v>900</v>
      </c>
      <c r="D92" s="32">
        <v>7.14</v>
      </c>
      <c r="E92" s="32">
        <v>112.41970021413277</v>
      </c>
      <c r="F92" s="32">
        <v>1763.5362496176201</v>
      </c>
      <c r="G92" s="77">
        <v>3.0199999999999999E-5</v>
      </c>
      <c r="H92" s="32">
        <v>0.38800000000000001</v>
      </c>
      <c r="I92" s="32">
        <v>116</v>
      </c>
      <c r="J92" s="32">
        <v>420</v>
      </c>
      <c r="K92" s="32">
        <v>907</v>
      </c>
      <c r="L92" s="32">
        <v>0.65</v>
      </c>
      <c r="M92" s="35">
        <v>8.1893451714255825</v>
      </c>
      <c r="N92" s="31">
        <v>103.56</v>
      </c>
      <c r="O92" s="31">
        <v>33.9</v>
      </c>
      <c r="P92" s="34">
        <f t="shared" si="1"/>
        <v>0.32734646581691773</v>
      </c>
    </row>
    <row r="93" spans="1:16">
      <c r="A93" s="32" t="s">
        <v>44</v>
      </c>
      <c r="B93" s="32">
        <v>150</v>
      </c>
      <c r="C93" s="32">
        <v>900</v>
      </c>
      <c r="D93" s="32">
        <v>7.14</v>
      </c>
      <c r="E93" s="32">
        <v>112.41970021413277</v>
      </c>
      <c r="F93" s="32">
        <v>1763.5362496176201</v>
      </c>
      <c r="G93" s="77">
        <v>3.0199999999999999E-5</v>
      </c>
      <c r="H93" s="32">
        <v>0.38800000000000001</v>
      </c>
      <c r="I93" s="32">
        <v>116</v>
      </c>
      <c r="J93" s="32">
        <v>420</v>
      </c>
      <c r="K93" s="32">
        <v>907</v>
      </c>
      <c r="L93" s="32">
        <v>0.65</v>
      </c>
      <c r="M93" s="35">
        <v>12.284017757138374</v>
      </c>
      <c r="N93" s="31">
        <v>112.2</v>
      </c>
      <c r="O93" s="31">
        <v>64.3</v>
      </c>
      <c r="P93" s="34">
        <f t="shared" si="1"/>
        <v>0.57308377896613183</v>
      </c>
    </row>
    <row r="94" spans="1:16">
      <c r="A94" s="32" t="s">
        <v>44</v>
      </c>
      <c r="B94" s="32">
        <v>200</v>
      </c>
      <c r="C94" s="32">
        <v>900</v>
      </c>
      <c r="D94" s="32">
        <v>7.14</v>
      </c>
      <c r="E94" s="32">
        <v>112.41970021413277</v>
      </c>
      <c r="F94" s="32">
        <v>1763.5362496176201</v>
      </c>
      <c r="G94" s="77">
        <v>3.0199999999999999E-5</v>
      </c>
      <c r="H94" s="32">
        <v>0.38800000000000001</v>
      </c>
      <c r="I94" s="32">
        <v>116</v>
      </c>
      <c r="J94" s="32">
        <v>420</v>
      </c>
      <c r="K94" s="32">
        <v>907</v>
      </c>
      <c r="L94" s="32">
        <v>0.65</v>
      </c>
      <c r="M94" s="35">
        <v>16.378690342851165</v>
      </c>
      <c r="N94" s="31">
        <v>131.5</v>
      </c>
      <c r="O94" s="31">
        <v>109.1</v>
      </c>
      <c r="P94" s="34">
        <f t="shared" si="1"/>
        <v>0.829657794676806</v>
      </c>
    </row>
    <row r="95" spans="1:16">
      <c r="A95" s="32" t="s">
        <v>44</v>
      </c>
      <c r="B95" s="32">
        <v>250</v>
      </c>
      <c r="C95" s="32">
        <v>900</v>
      </c>
      <c r="D95" s="32">
        <v>7.14</v>
      </c>
      <c r="E95" s="32">
        <v>112.41970021413277</v>
      </c>
      <c r="F95" s="32">
        <v>1763.5362496176201</v>
      </c>
      <c r="G95" s="77">
        <v>3.0199999999999999E-5</v>
      </c>
      <c r="H95" s="32">
        <v>0.38800000000000001</v>
      </c>
      <c r="I95" s="32">
        <v>116</v>
      </c>
      <c r="J95" s="32">
        <v>420</v>
      </c>
      <c r="K95" s="32">
        <v>907</v>
      </c>
      <c r="L95" s="32">
        <v>0.65</v>
      </c>
      <c r="M95" s="35">
        <v>20.473362928563958</v>
      </c>
      <c r="N95" s="31">
        <v>140.91</v>
      </c>
      <c r="O95" s="31">
        <v>204.34</v>
      </c>
      <c r="P95" s="34">
        <f t="shared" si="1"/>
        <v>1.4501454829323683</v>
      </c>
    </row>
    <row r="96" spans="1:16">
      <c r="A96" s="32" t="s">
        <v>44</v>
      </c>
      <c r="B96" s="32">
        <v>300</v>
      </c>
      <c r="C96" s="32">
        <v>900</v>
      </c>
      <c r="D96" s="32">
        <v>7.14</v>
      </c>
      <c r="E96" s="32">
        <v>112.41970021413277</v>
      </c>
      <c r="F96" s="32">
        <v>1763.5362496176201</v>
      </c>
      <c r="G96" s="77">
        <v>3.0199999999999999E-5</v>
      </c>
      <c r="H96" s="32">
        <v>0.38800000000000001</v>
      </c>
      <c r="I96" s="32">
        <v>116</v>
      </c>
      <c r="J96" s="32">
        <v>420</v>
      </c>
      <c r="K96" s="32">
        <v>907</v>
      </c>
      <c r="L96" s="32">
        <v>0.65</v>
      </c>
      <c r="M96" s="35">
        <v>24.568035514276747</v>
      </c>
      <c r="N96" s="31">
        <v>220.7</v>
      </c>
      <c r="O96" s="31">
        <v>296.97000000000003</v>
      </c>
      <c r="P96" s="34">
        <f t="shared" si="1"/>
        <v>1.3455822383325784</v>
      </c>
    </row>
    <row r="97" spans="1:16">
      <c r="A97" s="32" t="s">
        <v>45</v>
      </c>
      <c r="B97" s="32">
        <v>200</v>
      </c>
      <c r="C97" s="32">
        <v>200</v>
      </c>
      <c r="D97" s="32">
        <v>1.85</v>
      </c>
      <c r="E97" s="32">
        <v>1353.7230507444972</v>
      </c>
      <c r="F97" s="32">
        <v>32444.968855548443</v>
      </c>
      <c r="G97" s="77">
        <v>1.13E-5</v>
      </c>
      <c r="H97" s="32">
        <v>1.825</v>
      </c>
      <c r="I97" s="32">
        <v>200</v>
      </c>
      <c r="J97" s="32">
        <v>1287</v>
      </c>
      <c r="K97" s="32">
        <v>2471</v>
      </c>
      <c r="L97" s="32">
        <v>0.5</v>
      </c>
      <c r="M97" s="34">
        <v>11.701153798581503</v>
      </c>
      <c r="N97" s="32">
        <v>219.3</v>
      </c>
      <c r="O97" s="32">
        <v>321.99</v>
      </c>
      <c r="P97" s="34">
        <f t="shared" si="1"/>
        <v>1.4682626538987689</v>
      </c>
    </row>
    <row r="98" spans="1:16">
      <c r="A98" s="32" t="s">
        <v>45</v>
      </c>
      <c r="B98" s="32">
        <v>200</v>
      </c>
      <c r="C98" s="32">
        <v>400</v>
      </c>
      <c r="D98" s="32">
        <v>1.85</v>
      </c>
      <c r="E98" s="32">
        <v>1353.7230507444972</v>
      </c>
      <c r="F98" s="32">
        <v>32444.968855548443</v>
      </c>
      <c r="G98" s="77">
        <v>1.13E-5</v>
      </c>
      <c r="H98" s="32">
        <v>1.825</v>
      </c>
      <c r="I98" s="32">
        <v>200</v>
      </c>
      <c r="J98" s="32">
        <v>1287</v>
      </c>
      <c r="K98" s="32">
        <v>2471</v>
      </c>
      <c r="L98" s="32">
        <v>0.5</v>
      </c>
      <c r="M98" s="34">
        <v>8.2739651986837099</v>
      </c>
      <c r="N98" s="32">
        <v>182.86</v>
      </c>
      <c r="O98" s="32">
        <v>238.89</v>
      </c>
      <c r="P98" s="34">
        <f t="shared" si="1"/>
        <v>1.3064092748550802</v>
      </c>
    </row>
    <row r="99" spans="1:16">
      <c r="A99" s="32" t="s">
        <v>45</v>
      </c>
      <c r="B99" s="32">
        <v>200</v>
      </c>
      <c r="C99" s="32">
        <v>600</v>
      </c>
      <c r="D99" s="32">
        <v>1.85</v>
      </c>
      <c r="E99" s="32">
        <v>1353.7230507444972</v>
      </c>
      <c r="F99" s="32">
        <v>32444.968855548443</v>
      </c>
      <c r="G99" s="77">
        <v>1.13E-5</v>
      </c>
      <c r="H99" s="32">
        <v>1.825</v>
      </c>
      <c r="I99" s="32">
        <v>200</v>
      </c>
      <c r="J99" s="32">
        <v>1287</v>
      </c>
      <c r="K99" s="32">
        <v>2471</v>
      </c>
      <c r="L99" s="32">
        <v>0.5</v>
      </c>
      <c r="M99" s="34">
        <v>6.7556642954402442</v>
      </c>
      <c r="N99" s="32">
        <v>141.77000000000001</v>
      </c>
      <c r="O99" s="32">
        <v>164.52</v>
      </c>
      <c r="P99" s="34">
        <f t="shared" si="1"/>
        <v>1.1604711857233547</v>
      </c>
    </row>
    <row r="100" spans="1:16">
      <c r="A100" s="32" t="s">
        <v>45</v>
      </c>
      <c r="B100" s="32">
        <v>200</v>
      </c>
      <c r="C100" s="32">
        <v>800</v>
      </c>
      <c r="D100" s="32">
        <v>1.85</v>
      </c>
      <c r="E100" s="32">
        <v>1353.7230507444972</v>
      </c>
      <c r="F100" s="32">
        <v>32444.968855548443</v>
      </c>
      <c r="G100" s="77">
        <v>1.13E-5</v>
      </c>
      <c r="H100" s="32">
        <v>1.825</v>
      </c>
      <c r="I100" s="32">
        <v>200</v>
      </c>
      <c r="J100" s="32">
        <v>1287</v>
      </c>
      <c r="K100" s="32">
        <v>2471</v>
      </c>
      <c r="L100" s="32">
        <v>0.5</v>
      </c>
      <c r="M100" s="34">
        <v>5.8505768992907514</v>
      </c>
      <c r="N100" s="32">
        <v>139.31</v>
      </c>
      <c r="O100" s="32">
        <v>101.62</v>
      </c>
      <c r="P100" s="34">
        <f t="shared" si="1"/>
        <v>0.7294523006245065</v>
      </c>
    </row>
    <row r="101" spans="1:16">
      <c r="A101" s="32" t="s">
        <v>45</v>
      </c>
      <c r="B101" s="32">
        <v>200</v>
      </c>
      <c r="C101" s="32">
        <v>1200</v>
      </c>
      <c r="D101" s="32">
        <v>1.85</v>
      </c>
      <c r="E101" s="32">
        <v>1353.7230507444972</v>
      </c>
      <c r="F101" s="32">
        <v>32444.968855548443</v>
      </c>
      <c r="G101" s="77">
        <v>1.13E-5</v>
      </c>
      <c r="H101" s="32">
        <v>1.825</v>
      </c>
      <c r="I101" s="32">
        <v>200</v>
      </c>
      <c r="J101" s="32">
        <v>1287</v>
      </c>
      <c r="K101" s="32">
        <v>2471</v>
      </c>
      <c r="L101" s="32">
        <v>0.5</v>
      </c>
      <c r="M101" s="34">
        <v>4.776976034725636</v>
      </c>
      <c r="N101" s="32">
        <v>100.18</v>
      </c>
      <c r="O101" s="32">
        <v>53.88</v>
      </c>
      <c r="P101" s="34">
        <f t="shared" si="1"/>
        <v>0.53783190257536428</v>
      </c>
    </row>
    <row r="102" spans="1:16">
      <c r="A102" s="32" t="s">
        <v>45</v>
      </c>
      <c r="B102" s="32">
        <v>200</v>
      </c>
      <c r="C102" s="32">
        <v>1600</v>
      </c>
      <c r="D102" s="32">
        <v>1.85</v>
      </c>
      <c r="E102" s="32">
        <v>1353.7230507444972</v>
      </c>
      <c r="F102" s="32">
        <v>32444.968855548443</v>
      </c>
      <c r="G102" s="77">
        <v>1.13E-5</v>
      </c>
      <c r="H102" s="32">
        <v>1.825</v>
      </c>
      <c r="I102" s="32">
        <v>200</v>
      </c>
      <c r="J102" s="32">
        <v>1287</v>
      </c>
      <c r="K102" s="32">
        <v>2471</v>
      </c>
      <c r="L102" s="32">
        <v>0.5</v>
      </c>
      <c r="M102" s="34">
        <v>4.136982599341855</v>
      </c>
      <c r="N102" s="32">
        <v>57.98</v>
      </c>
      <c r="O102" s="32">
        <v>31.56</v>
      </c>
      <c r="P102" s="34">
        <f t="shared" si="1"/>
        <v>0.54432562952742325</v>
      </c>
    </row>
    <row r="103" spans="1:16">
      <c r="A103" s="32" t="s">
        <v>45</v>
      </c>
      <c r="B103" s="32">
        <v>200</v>
      </c>
      <c r="C103" s="32">
        <v>2000</v>
      </c>
      <c r="D103" s="32">
        <v>1.85</v>
      </c>
      <c r="E103" s="32">
        <v>1353.7230507444972</v>
      </c>
      <c r="F103" s="32">
        <v>32444.968855548443</v>
      </c>
      <c r="G103" s="77">
        <v>1.13E-5</v>
      </c>
      <c r="H103" s="32">
        <v>1.825</v>
      </c>
      <c r="I103" s="32">
        <v>200</v>
      </c>
      <c r="J103" s="32">
        <v>1287</v>
      </c>
      <c r="K103" s="32">
        <v>2471</v>
      </c>
      <c r="L103" s="32">
        <v>0.5</v>
      </c>
      <c r="M103" s="34">
        <v>3.7002297255448666</v>
      </c>
      <c r="N103" s="32">
        <v>42.84</v>
      </c>
      <c r="O103" s="32">
        <v>18.8</v>
      </c>
      <c r="P103" s="34">
        <f t="shared" si="1"/>
        <v>0.4388422035480859</v>
      </c>
    </row>
    <row r="104" spans="1:16">
      <c r="A104" s="32" t="s">
        <v>45</v>
      </c>
      <c r="B104" s="32">
        <v>200</v>
      </c>
      <c r="C104" s="32">
        <v>2400</v>
      </c>
      <c r="D104" s="32">
        <v>1.85</v>
      </c>
      <c r="E104" s="32">
        <v>1353.7230507444972</v>
      </c>
      <c r="F104" s="32">
        <v>32444.968855548443</v>
      </c>
      <c r="G104" s="77">
        <v>1.13E-5</v>
      </c>
      <c r="H104" s="32">
        <v>1.825</v>
      </c>
      <c r="I104" s="32">
        <v>200</v>
      </c>
      <c r="J104" s="32">
        <v>1287</v>
      </c>
      <c r="K104" s="32">
        <v>2471</v>
      </c>
      <c r="L104" s="32">
        <v>0.5</v>
      </c>
      <c r="M104" s="34">
        <v>3.3778321477201221</v>
      </c>
      <c r="N104" s="32">
        <v>38.53</v>
      </c>
      <c r="O104" s="32">
        <v>10.9</v>
      </c>
      <c r="P104" s="34">
        <f t="shared" si="1"/>
        <v>0.28289644432909422</v>
      </c>
    </row>
    <row r="105" spans="1:16">
      <c r="A105" s="32" t="s">
        <v>45</v>
      </c>
      <c r="B105" s="32">
        <v>350</v>
      </c>
      <c r="C105" s="32">
        <v>400</v>
      </c>
      <c r="D105" s="32">
        <v>1.85</v>
      </c>
      <c r="E105" s="32">
        <v>1353.7230507444972</v>
      </c>
      <c r="F105" s="32">
        <v>32444.968855548443</v>
      </c>
      <c r="G105" s="77">
        <v>1.13E-5</v>
      </c>
      <c r="H105" s="32">
        <v>1.825</v>
      </c>
      <c r="I105" s="32">
        <v>200</v>
      </c>
      <c r="J105" s="32">
        <v>1287</v>
      </c>
      <c r="K105" s="32">
        <v>2471</v>
      </c>
      <c r="L105" s="32">
        <v>0.5</v>
      </c>
      <c r="M105" s="34">
        <v>14.479439097696494</v>
      </c>
      <c r="N105" s="32">
        <v>160.82</v>
      </c>
      <c r="O105" s="32">
        <v>236</v>
      </c>
      <c r="P105" s="34">
        <f t="shared" si="1"/>
        <v>1.4674791692575551</v>
      </c>
    </row>
    <row r="106" spans="1:16">
      <c r="A106" s="32" t="s">
        <v>45</v>
      </c>
      <c r="B106" s="32">
        <v>350</v>
      </c>
      <c r="C106" s="32">
        <v>600</v>
      </c>
      <c r="D106" s="32">
        <v>1.85</v>
      </c>
      <c r="E106" s="32">
        <v>1353.7230507444972</v>
      </c>
      <c r="F106" s="32">
        <v>32444.968855548443</v>
      </c>
      <c r="G106" s="77">
        <v>1.13E-5</v>
      </c>
      <c r="H106" s="32">
        <v>1.825</v>
      </c>
      <c r="I106" s="32">
        <v>200</v>
      </c>
      <c r="J106" s="32">
        <v>1287</v>
      </c>
      <c r="K106" s="32">
        <v>2471</v>
      </c>
      <c r="L106" s="32">
        <v>0.5</v>
      </c>
      <c r="M106" s="34">
        <v>11.822412517020426</v>
      </c>
      <c r="N106" s="32">
        <v>135.04</v>
      </c>
      <c r="O106" s="32">
        <v>139.11000000000001</v>
      </c>
      <c r="P106" s="34">
        <f t="shared" si="1"/>
        <v>1.0301392180094788</v>
      </c>
    </row>
    <row r="107" spans="1:16">
      <c r="A107" s="32" t="s">
        <v>45</v>
      </c>
      <c r="B107" s="32">
        <v>350</v>
      </c>
      <c r="C107" s="32">
        <v>800</v>
      </c>
      <c r="D107" s="32">
        <v>1.85</v>
      </c>
      <c r="E107" s="32">
        <v>1353.7230507444972</v>
      </c>
      <c r="F107" s="32">
        <v>32444.968855548443</v>
      </c>
      <c r="G107" s="77">
        <v>1.13E-5</v>
      </c>
      <c r="H107" s="32">
        <v>1.825</v>
      </c>
      <c r="I107" s="32">
        <v>200</v>
      </c>
      <c r="J107" s="32">
        <v>1287</v>
      </c>
      <c r="K107" s="32">
        <v>2471</v>
      </c>
      <c r="L107" s="32">
        <v>0.5</v>
      </c>
      <c r="M107" s="34">
        <v>10.238509573758815</v>
      </c>
      <c r="N107" s="32">
        <v>166.91</v>
      </c>
      <c r="O107" s="32">
        <v>104.25</v>
      </c>
      <c r="P107" s="34">
        <f t="shared" si="1"/>
        <v>0.62458810137199694</v>
      </c>
    </row>
    <row r="108" spans="1:16">
      <c r="A108" s="32" t="s">
        <v>45</v>
      </c>
      <c r="B108" s="32">
        <v>350</v>
      </c>
      <c r="C108" s="32">
        <v>1000</v>
      </c>
      <c r="D108" s="32">
        <v>1.85</v>
      </c>
      <c r="E108" s="32">
        <v>1353.7230507444972</v>
      </c>
      <c r="F108" s="32">
        <v>32444.968855548443</v>
      </c>
      <c r="G108" s="77">
        <v>1.13E-5</v>
      </c>
      <c r="H108" s="32">
        <v>1.825</v>
      </c>
      <c r="I108" s="32">
        <v>200</v>
      </c>
      <c r="J108" s="32">
        <v>1287</v>
      </c>
      <c r="K108" s="32">
        <v>2471</v>
      </c>
      <c r="L108" s="32">
        <v>0.5</v>
      </c>
      <c r="M108" s="34">
        <v>9.1576013580828448</v>
      </c>
      <c r="N108" s="32">
        <v>133.63999999999999</v>
      </c>
      <c r="O108" s="32">
        <v>69.2</v>
      </c>
      <c r="P108" s="34">
        <f t="shared" si="1"/>
        <v>0.51780903920981747</v>
      </c>
    </row>
    <row r="109" spans="1:16">
      <c r="A109" s="32" t="s">
        <v>45</v>
      </c>
      <c r="B109" s="32">
        <v>350</v>
      </c>
      <c r="C109" s="32">
        <v>1200</v>
      </c>
      <c r="D109" s="32">
        <v>1.85</v>
      </c>
      <c r="E109" s="32">
        <v>1353.7230507444972</v>
      </c>
      <c r="F109" s="32">
        <v>32444.968855548443</v>
      </c>
      <c r="G109" s="77">
        <v>1.13E-5</v>
      </c>
      <c r="H109" s="32">
        <v>1.825</v>
      </c>
      <c r="I109" s="32">
        <v>200</v>
      </c>
      <c r="J109" s="32">
        <v>1287</v>
      </c>
      <c r="K109" s="32">
        <v>2471</v>
      </c>
      <c r="L109" s="32">
        <v>0.5</v>
      </c>
      <c r="M109" s="34">
        <v>8.3597080607698633</v>
      </c>
      <c r="N109" s="32">
        <v>115.47</v>
      </c>
      <c r="O109" s="32">
        <v>44.65</v>
      </c>
      <c r="P109" s="34">
        <f t="shared" si="1"/>
        <v>0.38668052307958778</v>
      </c>
    </row>
    <row r="110" spans="1:16">
      <c r="A110" s="32" t="s">
        <v>45</v>
      </c>
      <c r="B110" s="32">
        <v>350</v>
      </c>
      <c r="C110" s="32">
        <v>1600</v>
      </c>
      <c r="D110" s="32">
        <v>1.85</v>
      </c>
      <c r="E110" s="32">
        <v>1353.7230507444972</v>
      </c>
      <c r="F110" s="32">
        <v>32444.968855548443</v>
      </c>
      <c r="G110" s="77">
        <v>1.13E-5</v>
      </c>
      <c r="H110" s="32">
        <v>1.825</v>
      </c>
      <c r="I110" s="32">
        <v>200</v>
      </c>
      <c r="J110" s="32">
        <v>1287</v>
      </c>
      <c r="K110" s="32">
        <v>2471</v>
      </c>
      <c r="L110" s="32">
        <v>0.5</v>
      </c>
      <c r="M110" s="34">
        <v>7.2397195488482469</v>
      </c>
      <c r="N110" s="32">
        <v>104.91</v>
      </c>
      <c r="O110" s="32">
        <v>30</v>
      </c>
      <c r="P110" s="34">
        <f t="shared" si="1"/>
        <v>0.2859593937660852</v>
      </c>
    </row>
    <row r="111" spans="1:16">
      <c r="A111" s="32" t="s">
        <v>45</v>
      </c>
      <c r="B111" s="32">
        <v>350</v>
      </c>
      <c r="C111" s="32">
        <v>2000</v>
      </c>
      <c r="D111" s="32">
        <v>1.85</v>
      </c>
      <c r="E111" s="32">
        <v>1353.7230507444972</v>
      </c>
      <c r="F111" s="32">
        <v>32444.968855548443</v>
      </c>
      <c r="G111" s="77">
        <v>1.13E-5</v>
      </c>
      <c r="H111" s="32">
        <v>1.825</v>
      </c>
      <c r="I111" s="32">
        <v>200</v>
      </c>
      <c r="J111" s="32">
        <v>1287</v>
      </c>
      <c r="K111" s="32">
        <v>2471</v>
      </c>
      <c r="L111" s="32">
        <v>0.5</v>
      </c>
      <c r="M111" s="34">
        <v>6.475402019703516</v>
      </c>
      <c r="N111" s="32">
        <v>99.67</v>
      </c>
      <c r="O111" s="32">
        <v>21.17</v>
      </c>
      <c r="P111" s="34">
        <f t="shared" si="1"/>
        <v>0.21240092304605199</v>
      </c>
    </row>
    <row r="112" spans="1:16">
      <c r="A112" s="32" t="s">
        <v>45</v>
      </c>
      <c r="B112" s="32">
        <v>350</v>
      </c>
      <c r="C112" s="32">
        <v>2400</v>
      </c>
      <c r="D112" s="32">
        <v>1.85</v>
      </c>
      <c r="E112" s="32">
        <v>1353.7230507444972</v>
      </c>
      <c r="F112" s="32">
        <v>32444.968855548443</v>
      </c>
      <c r="G112" s="77">
        <v>1.13E-5</v>
      </c>
      <c r="H112" s="32">
        <v>1.825</v>
      </c>
      <c r="I112" s="32">
        <v>200</v>
      </c>
      <c r="J112" s="32">
        <v>1287</v>
      </c>
      <c r="K112" s="32">
        <v>2471</v>
      </c>
      <c r="L112" s="32">
        <v>0.5</v>
      </c>
      <c r="M112" s="34">
        <v>5.9112062585102132</v>
      </c>
      <c r="N112" s="32">
        <v>58.77</v>
      </c>
      <c r="O112" s="32">
        <v>12.95</v>
      </c>
      <c r="P112" s="34">
        <f t="shared" si="1"/>
        <v>0.22035051897226474</v>
      </c>
    </row>
    <row r="113" spans="1:16">
      <c r="A113" s="32" t="s">
        <v>45</v>
      </c>
      <c r="B113" s="32">
        <v>100</v>
      </c>
      <c r="C113" s="32">
        <v>300</v>
      </c>
      <c r="D113" s="32">
        <v>1.85</v>
      </c>
      <c r="E113" s="32">
        <v>1353.7230507444972</v>
      </c>
      <c r="F113" s="32">
        <v>32444.968855548443</v>
      </c>
      <c r="G113" s="77">
        <v>1.13E-5</v>
      </c>
      <c r="H113" s="32">
        <v>1.825</v>
      </c>
      <c r="I113" s="32">
        <v>200</v>
      </c>
      <c r="J113" s="32">
        <v>1287</v>
      </c>
      <c r="K113" s="32">
        <v>2471</v>
      </c>
      <c r="L113" s="32">
        <v>0.5</v>
      </c>
      <c r="M113" s="34">
        <v>4.776976034725636</v>
      </c>
      <c r="N113" s="32">
        <v>87.9</v>
      </c>
      <c r="O113" s="32">
        <v>69.78</v>
      </c>
      <c r="P113" s="34">
        <f t="shared" si="1"/>
        <v>0.7938566552901023</v>
      </c>
    </row>
    <row r="114" spans="1:16">
      <c r="A114" s="32" t="s">
        <v>45</v>
      </c>
      <c r="B114" s="32">
        <v>150</v>
      </c>
      <c r="C114" s="32">
        <v>300</v>
      </c>
      <c r="D114" s="32">
        <v>1.85</v>
      </c>
      <c r="E114" s="32">
        <v>1353.7230507444972</v>
      </c>
      <c r="F114" s="32">
        <v>32444.968855548443</v>
      </c>
      <c r="G114" s="77">
        <v>1.13E-5</v>
      </c>
      <c r="H114" s="32">
        <v>1.825</v>
      </c>
      <c r="I114" s="32">
        <v>200</v>
      </c>
      <c r="J114" s="32">
        <v>1287</v>
      </c>
      <c r="K114" s="32">
        <v>2471</v>
      </c>
      <c r="L114" s="32">
        <v>0.5</v>
      </c>
      <c r="M114" s="34">
        <v>7.1654640520884545</v>
      </c>
      <c r="N114" s="32">
        <v>107.14</v>
      </c>
      <c r="O114" s="32">
        <v>141.35</v>
      </c>
      <c r="P114" s="34">
        <f t="shared" si="1"/>
        <v>1.3193018480492813</v>
      </c>
    </row>
    <row r="115" spans="1:16">
      <c r="A115" s="32" t="s">
        <v>45</v>
      </c>
      <c r="B115" s="32">
        <v>200</v>
      </c>
      <c r="C115" s="32">
        <v>300</v>
      </c>
      <c r="D115" s="32">
        <v>1.85</v>
      </c>
      <c r="E115" s="32">
        <v>1353.7230507444972</v>
      </c>
      <c r="F115" s="32">
        <v>32444.968855548443</v>
      </c>
      <c r="G115" s="77">
        <v>1.13E-5</v>
      </c>
      <c r="H115" s="32">
        <v>1.825</v>
      </c>
      <c r="I115" s="32">
        <v>200</v>
      </c>
      <c r="J115" s="32">
        <v>1287</v>
      </c>
      <c r="K115" s="32">
        <v>2471</v>
      </c>
      <c r="L115" s="32">
        <v>0.5</v>
      </c>
      <c r="M115" s="34">
        <v>9.5539520694512721</v>
      </c>
      <c r="N115" s="32">
        <v>142.58000000000001</v>
      </c>
      <c r="O115" s="32">
        <v>248.74</v>
      </c>
      <c r="P115" s="34">
        <f t="shared" si="1"/>
        <v>1.744564455042783</v>
      </c>
    </row>
    <row r="116" spans="1:16">
      <c r="A116" s="32" t="s">
        <v>45</v>
      </c>
      <c r="B116" s="32">
        <v>250</v>
      </c>
      <c r="C116" s="32">
        <v>300</v>
      </c>
      <c r="D116" s="32">
        <v>1.85</v>
      </c>
      <c r="E116" s="32">
        <v>1353.7230507444972</v>
      </c>
      <c r="F116" s="32">
        <v>32444.968855548443</v>
      </c>
      <c r="G116" s="77">
        <v>1.13E-5</v>
      </c>
      <c r="H116" s="32">
        <v>1.825</v>
      </c>
      <c r="I116" s="32">
        <v>200</v>
      </c>
      <c r="J116" s="32">
        <v>1287</v>
      </c>
      <c r="K116" s="32">
        <v>2471</v>
      </c>
      <c r="L116" s="32">
        <v>0.5</v>
      </c>
      <c r="M116" s="34">
        <v>11.942440086814091</v>
      </c>
      <c r="N116" s="32">
        <v>161.22999999999999</v>
      </c>
      <c r="O116" s="32">
        <v>319.27999999999997</v>
      </c>
      <c r="P116" s="34">
        <f t="shared" si="1"/>
        <v>1.9802766234571729</v>
      </c>
    </row>
    <row r="117" spans="1:16">
      <c r="A117" s="32" t="s">
        <v>45</v>
      </c>
      <c r="B117" s="32">
        <v>300</v>
      </c>
      <c r="C117" s="32">
        <v>300</v>
      </c>
      <c r="D117" s="32">
        <v>1.85</v>
      </c>
      <c r="E117" s="32">
        <v>1353.7230507444972</v>
      </c>
      <c r="F117" s="32">
        <v>32444.968855548443</v>
      </c>
      <c r="G117" s="77">
        <v>1.13E-5</v>
      </c>
      <c r="H117" s="32">
        <v>1.825</v>
      </c>
      <c r="I117" s="32">
        <v>200</v>
      </c>
      <c r="J117" s="32">
        <v>1287</v>
      </c>
      <c r="K117" s="32">
        <v>2471</v>
      </c>
      <c r="L117" s="32">
        <v>0.5</v>
      </c>
      <c r="M117" s="34">
        <v>14.330928104176909</v>
      </c>
      <c r="N117" s="32">
        <v>165.32</v>
      </c>
      <c r="O117" s="32">
        <v>360</v>
      </c>
      <c r="P117" s="34">
        <f t="shared" si="1"/>
        <v>2.1775949673360757</v>
      </c>
    </row>
    <row r="118" spans="1:16">
      <c r="A118" s="32" t="s">
        <v>45</v>
      </c>
      <c r="B118" s="32">
        <v>100</v>
      </c>
      <c r="C118" s="32">
        <v>600</v>
      </c>
      <c r="D118" s="32">
        <v>1.85</v>
      </c>
      <c r="E118" s="32">
        <v>1353.7230507444972</v>
      </c>
      <c r="F118" s="32">
        <v>32444.968855548443</v>
      </c>
      <c r="G118" s="77">
        <v>1.13E-5</v>
      </c>
      <c r="H118" s="32">
        <v>1.825</v>
      </c>
      <c r="I118" s="32">
        <v>200</v>
      </c>
      <c r="J118" s="32">
        <v>1287</v>
      </c>
      <c r="K118" s="32">
        <v>2471</v>
      </c>
      <c r="L118" s="32">
        <v>0.5</v>
      </c>
      <c r="M118" s="34">
        <v>3.3778321477201221</v>
      </c>
      <c r="N118" s="32">
        <v>62.2</v>
      </c>
      <c r="O118" s="32">
        <v>28.8</v>
      </c>
      <c r="P118" s="34">
        <f t="shared" si="1"/>
        <v>0.46302250803858519</v>
      </c>
    </row>
    <row r="119" spans="1:16">
      <c r="A119" s="32" t="s">
        <v>45</v>
      </c>
      <c r="B119" s="32">
        <v>150</v>
      </c>
      <c r="C119" s="32">
        <v>600</v>
      </c>
      <c r="D119" s="32">
        <v>1.85</v>
      </c>
      <c r="E119" s="32">
        <v>1353.7230507444972</v>
      </c>
      <c r="F119" s="32">
        <v>32444.968855548443</v>
      </c>
      <c r="G119" s="77">
        <v>1.13E-5</v>
      </c>
      <c r="H119" s="32">
        <v>1.825</v>
      </c>
      <c r="I119" s="32">
        <v>200</v>
      </c>
      <c r="J119" s="32">
        <v>1287</v>
      </c>
      <c r="K119" s="32">
        <v>2471</v>
      </c>
      <c r="L119" s="32">
        <v>0.5</v>
      </c>
      <c r="M119" s="34">
        <v>5.0667482215801831</v>
      </c>
      <c r="N119" s="32">
        <v>76.45</v>
      </c>
      <c r="O119" s="32">
        <v>41.88</v>
      </c>
      <c r="P119" s="34">
        <f t="shared" si="1"/>
        <v>0.54780902550686728</v>
      </c>
    </row>
    <row r="120" spans="1:16">
      <c r="A120" s="32" t="s">
        <v>45</v>
      </c>
      <c r="B120" s="32">
        <v>200</v>
      </c>
      <c r="C120" s="32">
        <v>600</v>
      </c>
      <c r="D120" s="32">
        <v>1.85</v>
      </c>
      <c r="E120" s="32">
        <v>1353.7230507444972</v>
      </c>
      <c r="F120" s="32">
        <v>32444.968855548443</v>
      </c>
      <c r="G120" s="77">
        <v>1.13E-5</v>
      </c>
      <c r="H120" s="32">
        <v>1.825</v>
      </c>
      <c r="I120" s="32">
        <v>200</v>
      </c>
      <c r="J120" s="32">
        <v>1287</v>
      </c>
      <c r="K120" s="32">
        <v>2471</v>
      </c>
      <c r="L120" s="32">
        <v>0.5</v>
      </c>
      <c r="M120" s="34">
        <v>6.7556642954402442</v>
      </c>
      <c r="N120" s="32">
        <v>102.34</v>
      </c>
      <c r="O120" s="32">
        <v>107.16</v>
      </c>
      <c r="P120" s="34">
        <f t="shared" si="1"/>
        <v>1.0470979089310142</v>
      </c>
    </row>
    <row r="121" spans="1:16">
      <c r="A121" s="32" t="s">
        <v>45</v>
      </c>
      <c r="B121" s="32">
        <v>250</v>
      </c>
      <c r="C121" s="32">
        <v>600</v>
      </c>
      <c r="D121" s="32">
        <v>1.85</v>
      </c>
      <c r="E121" s="32">
        <v>1353.7230507444972</v>
      </c>
      <c r="F121" s="32">
        <v>32444.968855548443</v>
      </c>
      <c r="G121" s="77">
        <v>1.13E-5</v>
      </c>
      <c r="H121" s="32">
        <v>1.825</v>
      </c>
      <c r="I121" s="32">
        <v>200</v>
      </c>
      <c r="J121" s="32">
        <v>1287</v>
      </c>
      <c r="K121" s="32">
        <v>2471</v>
      </c>
      <c r="L121" s="32">
        <v>0.5</v>
      </c>
      <c r="M121" s="34">
        <v>8.4445803693003043</v>
      </c>
      <c r="N121" s="32">
        <v>101</v>
      </c>
      <c r="O121" s="32">
        <v>146</v>
      </c>
      <c r="P121" s="34">
        <f t="shared" si="1"/>
        <v>1.4455445544554455</v>
      </c>
    </row>
    <row r="122" spans="1:16">
      <c r="A122" s="32" t="s">
        <v>45</v>
      </c>
      <c r="B122" s="32">
        <v>300</v>
      </c>
      <c r="C122" s="32">
        <v>600</v>
      </c>
      <c r="D122" s="32">
        <v>1.85</v>
      </c>
      <c r="E122" s="32">
        <v>1353.7230507444972</v>
      </c>
      <c r="F122" s="32">
        <v>32444.968855548443</v>
      </c>
      <c r="G122" s="77">
        <v>1.13E-5</v>
      </c>
      <c r="H122" s="32">
        <v>1.825</v>
      </c>
      <c r="I122" s="32">
        <v>200</v>
      </c>
      <c r="J122" s="32">
        <v>1287</v>
      </c>
      <c r="K122" s="32">
        <v>2471</v>
      </c>
      <c r="L122" s="32">
        <v>0.5</v>
      </c>
      <c r="M122" s="34">
        <v>10.133496443160366</v>
      </c>
      <c r="N122" s="32">
        <v>105</v>
      </c>
      <c r="O122" s="32">
        <v>168.98</v>
      </c>
      <c r="P122" s="34">
        <f t="shared" si="1"/>
        <v>1.6093333333333333</v>
      </c>
    </row>
    <row r="123" spans="1:16">
      <c r="A123" s="32" t="s">
        <v>45</v>
      </c>
      <c r="B123" s="32">
        <v>100</v>
      </c>
      <c r="C123" s="32">
        <v>900</v>
      </c>
      <c r="D123" s="32">
        <v>1.85</v>
      </c>
      <c r="E123" s="32">
        <v>1353.7230507444972</v>
      </c>
      <c r="F123" s="32">
        <v>32444.968855548443</v>
      </c>
      <c r="G123" s="77">
        <v>1.13E-5</v>
      </c>
      <c r="H123" s="32">
        <v>1.825</v>
      </c>
      <c r="I123" s="32">
        <v>200</v>
      </c>
      <c r="J123" s="32">
        <v>1287</v>
      </c>
      <c r="K123" s="32">
        <v>2471</v>
      </c>
      <c r="L123" s="32">
        <v>0.5</v>
      </c>
      <c r="M123" s="34">
        <v>2.7579883995612371</v>
      </c>
      <c r="N123" s="32">
        <v>99.97</v>
      </c>
      <c r="O123" s="32">
        <v>19.22</v>
      </c>
      <c r="P123" s="34">
        <f t="shared" si="1"/>
        <v>0.19225767730319096</v>
      </c>
    </row>
    <row r="124" spans="1:16">
      <c r="A124" s="32" t="s">
        <v>45</v>
      </c>
      <c r="B124" s="32">
        <v>150</v>
      </c>
      <c r="C124" s="32">
        <v>900</v>
      </c>
      <c r="D124" s="32">
        <v>1.85</v>
      </c>
      <c r="E124" s="32">
        <v>1353.7230507444972</v>
      </c>
      <c r="F124" s="32">
        <v>32444.968855548443</v>
      </c>
      <c r="G124" s="77">
        <v>1.13E-5</v>
      </c>
      <c r="H124" s="32">
        <v>1.825</v>
      </c>
      <c r="I124" s="32">
        <v>200</v>
      </c>
      <c r="J124" s="32">
        <v>1287</v>
      </c>
      <c r="K124" s="32">
        <v>2471</v>
      </c>
      <c r="L124" s="32">
        <v>0.5</v>
      </c>
      <c r="M124" s="34">
        <v>4.136982599341855</v>
      </c>
      <c r="N124" s="32">
        <v>78.209999999999994</v>
      </c>
      <c r="O124" s="32">
        <v>42.15</v>
      </c>
      <c r="P124" s="34">
        <f t="shared" si="1"/>
        <v>0.53893364019946299</v>
      </c>
    </row>
    <row r="125" spans="1:16">
      <c r="A125" s="32" t="s">
        <v>45</v>
      </c>
      <c r="B125" s="32">
        <v>200</v>
      </c>
      <c r="C125" s="32">
        <v>900</v>
      </c>
      <c r="D125" s="32">
        <v>1.85</v>
      </c>
      <c r="E125" s="32">
        <v>1353.7230507444972</v>
      </c>
      <c r="F125" s="32">
        <v>32444.968855548443</v>
      </c>
      <c r="G125" s="77">
        <v>1.13E-5</v>
      </c>
      <c r="H125" s="32">
        <v>1.825</v>
      </c>
      <c r="I125" s="32">
        <v>200</v>
      </c>
      <c r="J125" s="32">
        <v>1287</v>
      </c>
      <c r="K125" s="32">
        <v>2471</v>
      </c>
      <c r="L125" s="32">
        <v>0.5</v>
      </c>
      <c r="M125" s="34">
        <v>5.5159767991224742</v>
      </c>
      <c r="N125" s="32">
        <v>101.56</v>
      </c>
      <c r="O125" s="32">
        <v>58.4</v>
      </c>
      <c r="P125" s="34">
        <f t="shared" si="1"/>
        <v>0.57502953918865696</v>
      </c>
    </row>
    <row r="126" spans="1:16">
      <c r="A126" s="32" t="s">
        <v>45</v>
      </c>
      <c r="B126" s="32">
        <v>250</v>
      </c>
      <c r="C126" s="32">
        <v>900</v>
      </c>
      <c r="D126" s="32">
        <v>1.85</v>
      </c>
      <c r="E126" s="32">
        <v>1353.7230507444972</v>
      </c>
      <c r="F126" s="32">
        <v>32444.968855548443</v>
      </c>
      <c r="G126" s="77">
        <v>1.13E-5</v>
      </c>
      <c r="H126" s="32">
        <v>1.825</v>
      </c>
      <c r="I126" s="32">
        <v>200</v>
      </c>
      <c r="J126" s="32">
        <v>1287</v>
      </c>
      <c r="K126" s="32">
        <v>2471</v>
      </c>
      <c r="L126" s="32">
        <v>0.5</v>
      </c>
      <c r="M126" s="34">
        <v>6.8949709989030925</v>
      </c>
      <c r="N126" s="32">
        <v>107.64</v>
      </c>
      <c r="O126" s="32">
        <v>83.8</v>
      </c>
      <c r="P126" s="34">
        <f t="shared" si="1"/>
        <v>0.77852099591230028</v>
      </c>
    </row>
    <row r="127" spans="1:16">
      <c r="A127" s="32" t="s">
        <v>45</v>
      </c>
      <c r="B127" s="32">
        <v>300</v>
      </c>
      <c r="C127" s="32">
        <v>900</v>
      </c>
      <c r="D127" s="32">
        <v>1.85</v>
      </c>
      <c r="E127" s="32">
        <v>1353.7230507444972</v>
      </c>
      <c r="F127" s="32">
        <v>32444.968855548443</v>
      </c>
      <c r="G127" s="77">
        <v>1.13E-5</v>
      </c>
      <c r="H127" s="32">
        <v>1.825</v>
      </c>
      <c r="I127" s="32">
        <v>200</v>
      </c>
      <c r="J127" s="32">
        <v>1287</v>
      </c>
      <c r="K127" s="32">
        <v>2471</v>
      </c>
      <c r="L127" s="32">
        <v>0.5</v>
      </c>
      <c r="M127" s="34">
        <v>8.2739651986837099</v>
      </c>
      <c r="N127" s="32">
        <v>107.48</v>
      </c>
      <c r="O127" s="32">
        <v>107.25</v>
      </c>
      <c r="P127" s="34">
        <f t="shared" si="1"/>
        <v>0.99786006698920726</v>
      </c>
    </row>
    <row r="128" spans="1:16">
      <c r="A128" s="32" t="s">
        <v>46</v>
      </c>
      <c r="B128" s="32">
        <v>200</v>
      </c>
      <c r="C128" s="32">
        <v>200</v>
      </c>
      <c r="D128" s="32">
        <v>4.5060000000000002</v>
      </c>
      <c r="E128" s="32">
        <v>295.61075479975767</v>
      </c>
      <c r="F128" s="32">
        <v>8878.7682537029687</v>
      </c>
      <c r="G128" s="77">
        <v>8.599999999999999E-6</v>
      </c>
      <c r="H128" s="32">
        <v>0.52300000000000002</v>
      </c>
      <c r="I128" s="32">
        <v>21.9</v>
      </c>
      <c r="J128" s="32">
        <v>1668</v>
      </c>
      <c r="K128" s="32">
        <v>3287</v>
      </c>
      <c r="L128" s="32">
        <v>0.55000000000000004</v>
      </c>
      <c r="M128" s="34">
        <v>34.565226963958409</v>
      </c>
      <c r="N128" s="32">
        <v>492.85</v>
      </c>
      <c r="O128" s="32">
        <v>559.5</v>
      </c>
      <c r="P128" s="34">
        <f t="shared" si="1"/>
        <v>1.135233843968753</v>
      </c>
    </row>
    <row r="129" spans="1:17">
      <c r="A129" s="32" t="s">
        <v>46</v>
      </c>
      <c r="B129" s="32">
        <v>200</v>
      </c>
      <c r="C129" s="32">
        <v>400</v>
      </c>
      <c r="D129" s="32">
        <v>4.5060000000000002</v>
      </c>
      <c r="E129" s="32">
        <v>295.61075479975767</v>
      </c>
      <c r="F129" s="32">
        <v>8878.7682537029687</v>
      </c>
      <c r="G129" s="77">
        <v>8.599999999999999E-6</v>
      </c>
      <c r="H129" s="32">
        <v>0.52300000000000002</v>
      </c>
      <c r="I129" s="32">
        <v>21.9</v>
      </c>
      <c r="J129" s="32">
        <v>1668</v>
      </c>
      <c r="K129" s="32">
        <v>3287</v>
      </c>
      <c r="L129" s="32">
        <v>0.55000000000000004</v>
      </c>
      <c r="M129" s="34">
        <v>24.441306379467093</v>
      </c>
      <c r="N129" s="32">
        <v>374.11</v>
      </c>
      <c r="O129" s="32">
        <v>256.64</v>
      </c>
      <c r="P129" s="34">
        <f t="shared" si="1"/>
        <v>0.68600144342573033</v>
      </c>
    </row>
    <row r="130" spans="1:17">
      <c r="A130" s="32" t="s">
        <v>46</v>
      </c>
      <c r="B130" s="32">
        <v>200</v>
      </c>
      <c r="C130" s="32">
        <v>600</v>
      </c>
      <c r="D130" s="32">
        <v>4.5060000000000002</v>
      </c>
      <c r="E130" s="32">
        <v>295.61075479975767</v>
      </c>
      <c r="F130" s="32">
        <v>8878.7682537029687</v>
      </c>
      <c r="G130" s="77">
        <v>8.599999999999999E-6</v>
      </c>
      <c r="H130" s="32">
        <v>0.52300000000000002</v>
      </c>
      <c r="I130" s="32">
        <v>21.9</v>
      </c>
      <c r="J130" s="32">
        <v>1668</v>
      </c>
      <c r="K130" s="32">
        <v>3287</v>
      </c>
      <c r="L130" s="32">
        <v>0.55000000000000004</v>
      </c>
      <c r="M130" s="34">
        <v>19.956243092241898</v>
      </c>
      <c r="N130" s="32">
        <v>251.34</v>
      </c>
      <c r="O130" s="32">
        <v>225.42</v>
      </c>
      <c r="P130" s="34">
        <f t="shared" si="1"/>
        <v>0.89687276199570298</v>
      </c>
    </row>
    <row r="131" spans="1:17">
      <c r="A131" s="32" t="s">
        <v>46</v>
      </c>
      <c r="B131" s="32">
        <v>200</v>
      </c>
      <c r="C131" s="32">
        <v>800</v>
      </c>
      <c r="D131" s="32">
        <v>4.5060000000000002</v>
      </c>
      <c r="E131" s="32">
        <v>295.61075479975767</v>
      </c>
      <c r="F131" s="32">
        <v>8878.7682537029687</v>
      </c>
      <c r="G131" s="77">
        <v>8.599999999999999E-6</v>
      </c>
      <c r="H131" s="32">
        <v>0.52300000000000002</v>
      </c>
      <c r="I131" s="32">
        <v>21.9</v>
      </c>
      <c r="J131" s="32">
        <v>1668</v>
      </c>
      <c r="K131" s="32">
        <v>3287</v>
      </c>
      <c r="L131" s="32">
        <v>0.55000000000000004</v>
      </c>
      <c r="M131" s="34">
        <v>17.282613481979205</v>
      </c>
      <c r="N131" s="32">
        <v>220.3</v>
      </c>
      <c r="O131" s="32">
        <v>116.85</v>
      </c>
      <c r="P131" s="34">
        <f t="shared" si="1"/>
        <v>0.53041307308216068</v>
      </c>
    </row>
    <row r="132" spans="1:17">
      <c r="A132" s="32" t="s">
        <v>46</v>
      </c>
      <c r="B132" s="32">
        <v>200</v>
      </c>
      <c r="C132" s="32">
        <v>1200</v>
      </c>
      <c r="D132" s="32">
        <v>4.5060000000000002</v>
      </c>
      <c r="E132" s="32">
        <v>295.61075479975767</v>
      </c>
      <c r="F132" s="32">
        <v>8878.7682537029687</v>
      </c>
      <c r="G132" s="77">
        <v>8.599999999999999E-6</v>
      </c>
      <c r="H132" s="32">
        <v>0.52300000000000002</v>
      </c>
      <c r="I132" s="32">
        <v>21.9</v>
      </c>
      <c r="J132" s="32">
        <v>1668</v>
      </c>
      <c r="K132" s="32">
        <v>3287</v>
      </c>
      <c r="L132" s="32">
        <v>0.55000000000000004</v>
      </c>
      <c r="M132" s="34">
        <v>14.111194817531445</v>
      </c>
      <c r="N132" s="32">
        <v>202.09</v>
      </c>
      <c r="O132" s="32">
        <v>61.06</v>
      </c>
      <c r="P132" s="34">
        <f t="shared" si="1"/>
        <v>0.30214260972833884</v>
      </c>
    </row>
    <row r="133" spans="1:17">
      <c r="A133" s="32" t="s">
        <v>46</v>
      </c>
      <c r="B133" s="32">
        <v>200</v>
      </c>
      <c r="C133" s="32">
        <v>1600</v>
      </c>
      <c r="D133" s="32">
        <v>4.5060000000000002</v>
      </c>
      <c r="E133" s="32">
        <v>295.61075479975767</v>
      </c>
      <c r="F133" s="32">
        <v>8878.7682537029687</v>
      </c>
      <c r="G133" s="77">
        <v>8.599999999999999E-6</v>
      </c>
      <c r="H133" s="32">
        <v>0.52300000000000002</v>
      </c>
      <c r="I133" s="32">
        <v>21.9</v>
      </c>
      <c r="J133" s="32">
        <v>1668</v>
      </c>
      <c r="K133" s="32">
        <v>3287</v>
      </c>
      <c r="L133" s="32">
        <v>0.55000000000000004</v>
      </c>
      <c r="M133" s="34">
        <v>12.220653189733547</v>
      </c>
      <c r="N133" s="32">
        <v>141.06</v>
      </c>
      <c r="O133" s="32">
        <v>50.86</v>
      </c>
      <c r="P133" s="34">
        <f t="shared" ref="P133:P196" si="2">O133/N133</f>
        <v>0.36055579186161918</v>
      </c>
    </row>
    <row r="134" spans="1:17">
      <c r="A134" s="32" t="s">
        <v>46</v>
      </c>
      <c r="B134" s="32">
        <v>200</v>
      </c>
      <c r="C134" s="32">
        <v>2000</v>
      </c>
      <c r="D134" s="32">
        <v>4.5060000000000002</v>
      </c>
      <c r="E134" s="32">
        <v>295.61075479975767</v>
      </c>
      <c r="F134" s="32">
        <v>8878.7682537029687</v>
      </c>
      <c r="G134" s="77">
        <v>8.599999999999999E-6</v>
      </c>
      <c r="H134" s="32">
        <v>0.52300000000000002</v>
      </c>
      <c r="I134" s="32">
        <v>21.9</v>
      </c>
      <c r="J134" s="32">
        <v>1668</v>
      </c>
      <c r="K134" s="32">
        <v>3287</v>
      </c>
      <c r="L134" s="32">
        <v>0.55000000000000004</v>
      </c>
      <c r="M134" s="34">
        <v>10.930484504677537</v>
      </c>
      <c r="N134" s="32">
        <v>125.88</v>
      </c>
      <c r="O134" s="32">
        <v>44.94</v>
      </c>
      <c r="P134" s="34">
        <f t="shared" si="2"/>
        <v>0.35700667302192562</v>
      </c>
    </row>
    <row r="135" spans="1:17">
      <c r="A135" s="32" t="s">
        <v>46</v>
      </c>
      <c r="B135" s="32">
        <v>200</v>
      </c>
      <c r="C135" s="32">
        <v>2400</v>
      </c>
      <c r="D135" s="32">
        <v>4.5060000000000002</v>
      </c>
      <c r="E135" s="32">
        <v>295.61075479975767</v>
      </c>
      <c r="F135" s="32">
        <v>8878.7682537029687</v>
      </c>
      <c r="G135" s="77">
        <v>8.599999999999999E-6</v>
      </c>
      <c r="H135" s="32">
        <v>0.52300000000000002</v>
      </c>
      <c r="I135" s="32">
        <v>21.9</v>
      </c>
      <c r="J135" s="32">
        <v>1668</v>
      </c>
      <c r="K135" s="32">
        <v>3287</v>
      </c>
      <c r="L135" s="32">
        <v>0.55000000000000004</v>
      </c>
      <c r="M135" s="34">
        <v>9.9781215461209491</v>
      </c>
      <c r="N135" s="32">
        <v>115.29</v>
      </c>
      <c r="O135" s="32">
        <v>37.49</v>
      </c>
      <c r="P135" s="34">
        <f t="shared" si="2"/>
        <v>0.32517998091768585</v>
      </c>
    </row>
    <row r="136" spans="1:17" s="79" customFormat="1">
      <c r="A136" s="79" t="s">
        <v>46</v>
      </c>
      <c r="B136" s="79">
        <v>350</v>
      </c>
      <c r="C136" s="79">
        <v>400</v>
      </c>
      <c r="D136" s="79">
        <v>4.5060000000000002</v>
      </c>
      <c r="E136" s="79">
        <v>295.61075479975767</v>
      </c>
      <c r="F136" s="79">
        <v>8878.7682537029687</v>
      </c>
      <c r="G136" s="80">
        <v>8.599999999999999E-6</v>
      </c>
      <c r="H136" s="79">
        <v>0.52300000000000002</v>
      </c>
      <c r="I136" s="79">
        <v>21.9</v>
      </c>
      <c r="J136" s="79">
        <v>1668</v>
      </c>
      <c r="K136" s="79">
        <v>3287</v>
      </c>
      <c r="L136" s="79">
        <v>0.55000000000000004</v>
      </c>
      <c r="M136" s="81">
        <v>42.77228616406741</v>
      </c>
      <c r="N136" s="79">
        <v>309.16000000000003</v>
      </c>
      <c r="O136" s="79">
        <v>260.31</v>
      </c>
      <c r="P136" s="81">
        <f t="shared" si="2"/>
        <v>0.84199120196661914</v>
      </c>
      <c r="Q136" s="82"/>
    </row>
    <row r="137" spans="1:17">
      <c r="A137" s="32" t="s">
        <v>46</v>
      </c>
      <c r="B137" s="32">
        <v>350</v>
      </c>
      <c r="C137" s="32">
        <v>600</v>
      </c>
      <c r="D137" s="32">
        <v>4.5060000000000002</v>
      </c>
      <c r="E137" s="32">
        <v>295.61075479975767</v>
      </c>
      <c r="F137" s="32">
        <v>8878.7682537029687</v>
      </c>
      <c r="G137" s="77">
        <v>8.599999999999999E-6</v>
      </c>
      <c r="H137" s="32">
        <v>0.52300000000000002</v>
      </c>
      <c r="I137" s="32">
        <v>21.9</v>
      </c>
      <c r="J137" s="32">
        <v>1668</v>
      </c>
      <c r="K137" s="32">
        <v>3287</v>
      </c>
      <c r="L137" s="32">
        <v>0.55000000000000004</v>
      </c>
      <c r="M137" s="34">
        <v>34.923425411423324</v>
      </c>
      <c r="N137" s="32">
        <v>282.58</v>
      </c>
      <c r="O137" s="32">
        <v>188.77</v>
      </c>
      <c r="P137" s="34">
        <f t="shared" si="2"/>
        <v>0.66802321466487369</v>
      </c>
    </row>
    <row r="138" spans="1:17">
      <c r="A138" s="32" t="s">
        <v>46</v>
      </c>
      <c r="B138" s="32">
        <v>350</v>
      </c>
      <c r="C138" s="32">
        <v>800</v>
      </c>
      <c r="D138" s="32">
        <v>4.5060000000000002</v>
      </c>
      <c r="E138" s="32">
        <v>295.61075479975767</v>
      </c>
      <c r="F138" s="32">
        <v>8878.7682537029687</v>
      </c>
      <c r="G138" s="77">
        <v>8.599999999999999E-6</v>
      </c>
      <c r="H138" s="32">
        <v>0.52300000000000002</v>
      </c>
      <c r="I138" s="32">
        <v>21.9</v>
      </c>
      <c r="J138" s="32">
        <v>1668</v>
      </c>
      <c r="K138" s="32">
        <v>3287</v>
      </c>
      <c r="L138" s="32">
        <v>0.55000000000000004</v>
      </c>
      <c r="M138" s="34">
        <v>30.244573593463606</v>
      </c>
      <c r="N138" s="32">
        <v>241.1</v>
      </c>
      <c r="O138" s="32">
        <v>157.91</v>
      </c>
      <c r="P138" s="34">
        <f t="shared" si="2"/>
        <v>0.65495644960597266</v>
      </c>
    </row>
    <row r="139" spans="1:17">
      <c r="A139" s="32" t="s">
        <v>46</v>
      </c>
      <c r="B139" s="32">
        <v>350</v>
      </c>
      <c r="C139" s="32">
        <v>1000</v>
      </c>
      <c r="D139" s="32">
        <v>4.5060000000000002</v>
      </c>
      <c r="E139" s="32">
        <v>295.61075479975767</v>
      </c>
      <c r="F139" s="32">
        <v>8878.7682537029687</v>
      </c>
      <c r="G139" s="77">
        <v>8.599999999999999E-6</v>
      </c>
      <c r="H139" s="32">
        <v>0.52300000000000002</v>
      </c>
      <c r="I139" s="32">
        <v>21.9</v>
      </c>
      <c r="J139" s="32">
        <v>1668</v>
      </c>
      <c r="K139" s="32">
        <v>3287</v>
      </c>
      <c r="L139" s="32">
        <v>0.55000000000000004</v>
      </c>
      <c r="M139" s="34">
        <v>27.05156900219189</v>
      </c>
      <c r="N139" s="32">
        <v>187.6</v>
      </c>
      <c r="O139" s="32">
        <v>131.65</v>
      </c>
      <c r="P139" s="34">
        <f t="shared" si="2"/>
        <v>0.70175906183368875</v>
      </c>
    </row>
    <row r="140" spans="1:17">
      <c r="A140" s="32" t="s">
        <v>46</v>
      </c>
      <c r="B140" s="32">
        <v>350</v>
      </c>
      <c r="C140" s="32">
        <v>1200</v>
      </c>
      <c r="D140" s="32">
        <v>4.5060000000000002</v>
      </c>
      <c r="E140" s="32">
        <v>295.61075479975767</v>
      </c>
      <c r="F140" s="32">
        <v>8878.7682537029687</v>
      </c>
      <c r="G140" s="77">
        <v>8.599999999999999E-6</v>
      </c>
      <c r="H140" s="32">
        <v>0.52300000000000002</v>
      </c>
      <c r="I140" s="32">
        <v>21.9</v>
      </c>
      <c r="J140" s="32">
        <v>1668</v>
      </c>
      <c r="K140" s="32">
        <v>3287</v>
      </c>
      <c r="L140" s="32">
        <v>0.55000000000000004</v>
      </c>
      <c r="M140" s="34">
        <v>24.694590930680025</v>
      </c>
      <c r="N140" s="32">
        <v>166.03</v>
      </c>
      <c r="O140" s="32">
        <v>110.32</v>
      </c>
      <c r="P140" s="34">
        <f t="shared" si="2"/>
        <v>0.66445823044028185</v>
      </c>
    </row>
    <row r="141" spans="1:17">
      <c r="A141" s="32" t="s">
        <v>46</v>
      </c>
      <c r="B141" s="32">
        <v>350</v>
      </c>
      <c r="C141" s="32">
        <v>1600</v>
      </c>
      <c r="D141" s="32">
        <v>4.5060000000000002</v>
      </c>
      <c r="E141" s="32">
        <v>295.61075479975767</v>
      </c>
      <c r="F141" s="32">
        <v>8878.7682537029687</v>
      </c>
      <c r="G141" s="77">
        <v>8.599999999999999E-6</v>
      </c>
      <c r="H141" s="32">
        <v>0.52300000000000002</v>
      </c>
      <c r="I141" s="32">
        <v>21.9</v>
      </c>
      <c r="J141" s="32">
        <v>1668</v>
      </c>
      <c r="K141" s="32">
        <v>3287</v>
      </c>
      <c r="L141" s="32">
        <v>0.55000000000000004</v>
      </c>
      <c r="M141" s="34">
        <v>21.386143082033705</v>
      </c>
      <c r="N141" s="32">
        <v>149.76</v>
      </c>
      <c r="O141" s="32">
        <v>92.84</v>
      </c>
      <c r="P141" s="34">
        <f t="shared" si="2"/>
        <v>0.61992521367521369</v>
      </c>
    </row>
    <row r="142" spans="1:17">
      <c r="A142" s="32" t="s">
        <v>46</v>
      </c>
      <c r="B142" s="32">
        <v>350</v>
      </c>
      <c r="C142" s="32">
        <v>2000</v>
      </c>
      <c r="D142" s="32">
        <v>4.5060000000000002</v>
      </c>
      <c r="E142" s="32">
        <v>295.61075479975767</v>
      </c>
      <c r="F142" s="32">
        <v>8878.7682537029687</v>
      </c>
      <c r="G142" s="77">
        <v>8.599999999999999E-6</v>
      </c>
      <c r="H142" s="32">
        <v>0.52300000000000002</v>
      </c>
      <c r="I142" s="32">
        <v>21.9</v>
      </c>
      <c r="J142" s="32">
        <v>1668</v>
      </c>
      <c r="K142" s="32">
        <v>3287</v>
      </c>
      <c r="L142" s="32">
        <v>0.55000000000000004</v>
      </c>
      <c r="M142" s="34">
        <v>19.12834788318569</v>
      </c>
      <c r="N142" s="32">
        <v>147.4</v>
      </c>
      <c r="O142" s="32">
        <v>77.22</v>
      </c>
      <c r="P142" s="34">
        <f t="shared" si="2"/>
        <v>0.5238805970149254</v>
      </c>
    </row>
    <row r="143" spans="1:17">
      <c r="A143" s="32" t="s">
        <v>46</v>
      </c>
      <c r="B143" s="32">
        <v>350</v>
      </c>
      <c r="C143" s="32">
        <v>2400</v>
      </c>
      <c r="D143" s="32">
        <v>4.5060000000000002</v>
      </c>
      <c r="E143" s="32">
        <v>295.61075479975767</v>
      </c>
      <c r="F143" s="32">
        <v>8878.7682537029687</v>
      </c>
      <c r="G143" s="77">
        <v>8.599999999999999E-6</v>
      </c>
      <c r="H143" s="32">
        <v>0.52300000000000002</v>
      </c>
      <c r="I143" s="32">
        <v>21.9</v>
      </c>
      <c r="J143" s="32">
        <v>1668</v>
      </c>
      <c r="K143" s="32">
        <v>3287</v>
      </c>
      <c r="L143" s="32">
        <v>0.55000000000000004</v>
      </c>
      <c r="M143" s="34">
        <v>17.461712705711662</v>
      </c>
      <c r="N143" s="32">
        <v>131.71</v>
      </c>
      <c r="O143" s="32">
        <v>46.13</v>
      </c>
      <c r="P143" s="34">
        <f t="shared" si="2"/>
        <v>0.35023916179485232</v>
      </c>
    </row>
    <row r="144" spans="1:17">
      <c r="A144" s="32" t="s">
        <v>46</v>
      </c>
      <c r="B144" s="32">
        <v>100</v>
      </c>
      <c r="C144" s="32">
        <v>300</v>
      </c>
      <c r="D144" s="32">
        <v>4.5060000000000002</v>
      </c>
      <c r="E144" s="32">
        <v>295.61075479975767</v>
      </c>
      <c r="F144" s="32">
        <v>8878.7682537029687</v>
      </c>
      <c r="G144" s="77">
        <v>8.599999999999999E-6</v>
      </c>
      <c r="H144" s="32">
        <v>0.52300000000000002</v>
      </c>
      <c r="I144" s="32">
        <v>21.9</v>
      </c>
      <c r="J144" s="32">
        <v>1668</v>
      </c>
      <c r="K144" s="32">
        <v>3287</v>
      </c>
      <c r="L144" s="32">
        <v>0.55000000000000004</v>
      </c>
      <c r="M144" s="34">
        <v>14.111194817531445</v>
      </c>
      <c r="N144" s="32">
        <v>186.34</v>
      </c>
      <c r="O144" s="32">
        <v>47.93</v>
      </c>
      <c r="P144" s="34">
        <f t="shared" si="2"/>
        <v>0.25721798862294731</v>
      </c>
    </row>
    <row r="145" spans="1:17">
      <c r="A145" s="32" t="s">
        <v>46</v>
      </c>
      <c r="B145" s="32">
        <v>150</v>
      </c>
      <c r="C145" s="32">
        <v>300</v>
      </c>
      <c r="D145" s="32">
        <v>4.5060000000000002</v>
      </c>
      <c r="E145" s="32">
        <v>295.61075479975767</v>
      </c>
      <c r="F145" s="32">
        <v>8878.7682537029687</v>
      </c>
      <c r="G145" s="77">
        <v>8.599999999999999E-6</v>
      </c>
      <c r="H145" s="32">
        <v>0.52300000000000002</v>
      </c>
      <c r="I145" s="32">
        <v>21.9</v>
      </c>
      <c r="J145" s="32">
        <v>1668</v>
      </c>
      <c r="K145" s="32">
        <v>3287</v>
      </c>
      <c r="L145" s="32">
        <v>0.55000000000000004</v>
      </c>
      <c r="M145" s="34">
        <v>21.166792226297169</v>
      </c>
      <c r="N145" s="32">
        <v>285.89999999999998</v>
      </c>
      <c r="O145" s="32">
        <v>280.7</v>
      </c>
      <c r="P145" s="34">
        <f t="shared" si="2"/>
        <v>0.98181182231549502</v>
      </c>
    </row>
    <row r="146" spans="1:17">
      <c r="A146" s="32" t="s">
        <v>46</v>
      </c>
      <c r="B146" s="32">
        <v>200</v>
      </c>
      <c r="C146" s="32">
        <v>300</v>
      </c>
      <c r="D146" s="32">
        <v>4.5060000000000002</v>
      </c>
      <c r="E146" s="32">
        <v>295.61075479975767</v>
      </c>
      <c r="F146" s="32">
        <v>8878.7682537029687</v>
      </c>
      <c r="G146" s="77">
        <v>8.599999999999999E-6</v>
      </c>
      <c r="H146" s="32">
        <v>0.52300000000000002</v>
      </c>
      <c r="I146" s="32">
        <v>21.9</v>
      </c>
      <c r="J146" s="32">
        <v>1668</v>
      </c>
      <c r="K146" s="32">
        <v>3287</v>
      </c>
      <c r="L146" s="32">
        <v>0.55000000000000004</v>
      </c>
      <c r="M146" s="34">
        <v>28.222389635062889</v>
      </c>
      <c r="N146" s="32">
        <v>250.64</v>
      </c>
      <c r="O146" s="32">
        <v>410.94</v>
      </c>
      <c r="P146" s="34">
        <f t="shared" si="2"/>
        <v>1.6395627194382383</v>
      </c>
    </row>
    <row r="147" spans="1:17">
      <c r="A147" s="32" t="s">
        <v>46</v>
      </c>
      <c r="B147" s="32">
        <v>250</v>
      </c>
      <c r="C147" s="32">
        <v>300</v>
      </c>
      <c r="D147" s="32">
        <v>4.5060000000000002</v>
      </c>
      <c r="E147" s="32">
        <v>295.61075479975767</v>
      </c>
      <c r="F147" s="32">
        <v>8878.7682537029687</v>
      </c>
      <c r="G147" s="77">
        <v>8.599999999999999E-6</v>
      </c>
      <c r="H147" s="32">
        <v>0.52300000000000002</v>
      </c>
      <c r="I147" s="32">
        <v>21.9</v>
      </c>
      <c r="J147" s="32">
        <v>1668</v>
      </c>
      <c r="K147" s="32">
        <v>3287</v>
      </c>
      <c r="L147" s="32">
        <v>0.55000000000000004</v>
      </c>
      <c r="M147" s="34">
        <v>35.27798704382861</v>
      </c>
      <c r="N147" s="32">
        <v>304.93</v>
      </c>
      <c r="O147" s="32">
        <v>491.61</v>
      </c>
      <c r="P147" s="34">
        <f t="shared" si="2"/>
        <v>1.6122060800839537</v>
      </c>
    </row>
    <row r="148" spans="1:17">
      <c r="A148" s="32" t="s">
        <v>46</v>
      </c>
      <c r="B148" s="32">
        <v>300</v>
      </c>
      <c r="C148" s="32">
        <v>300</v>
      </c>
      <c r="D148" s="32">
        <v>4.5060000000000002</v>
      </c>
      <c r="E148" s="32">
        <v>295.61075479975767</v>
      </c>
      <c r="F148" s="32">
        <v>8878.7682537029687</v>
      </c>
      <c r="G148" s="77">
        <v>8.599999999999999E-6</v>
      </c>
      <c r="H148" s="32">
        <v>0.52300000000000002</v>
      </c>
      <c r="I148" s="32">
        <v>21.9</v>
      </c>
      <c r="J148" s="32">
        <v>1668</v>
      </c>
      <c r="K148" s="32">
        <v>3287</v>
      </c>
      <c r="L148" s="32">
        <v>0.55000000000000004</v>
      </c>
      <c r="M148" s="34">
        <v>42.333584452594337</v>
      </c>
      <c r="N148" s="32">
        <v>357.14</v>
      </c>
      <c r="O148" s="32">
        <v>568.69000000000005</v>
      </c>
      <c r="P148" s="34">
        <f t="shared" si="2"/>
        <v>1.5923447387579104</v>
      </c>
    </row>
    <row r="149" spans="1:17">
      <c r="A149" s="32" t="s">
        <v>46</v>
      </c>
      <c r="B149" s="32">
        <v>100</v>
      </c>
      <c r="C149" s="32">
        <v>600</v>
      </c>
      <c r="D149" s="32">
        <v>4.5060000000000002</v>
      </c>
      <c r="E149" s="32">
        <v>295.61075479975767</v>
      </c>
      <c r="F149" s="32">
        <v>8878.7682537029687</v>
      </c>
      <c r="G149" s="77">
        <v>8.599999999999999E-6</v>
      </c>
      <c r="H149" s="32">
        <v>0.52300000000000002</v>
      </c>
      <c r="I149" s="32">
        <v>21.9</v>
      </c>
      <c r="J149" s="32">
        <v>1668</v>
      </c>
      <c r="K149" s="32">
        <v>3287</v>
      </c>
      <c r="L149" s="32">
        <v>0.55000000000000004</v>
      </c>
      <c r="M149" s="34">
        <v>9.9781215461209491</v>
      </c>
      <c r="N149" s="32">
        <v>126.88</v>
      </c>
      <c r="O149" s="32">
        <v>91.64</v>
      </c>
      <c r="P149" s="34">
        <f t="shared" si="2"/>
        <v>0.72225725094577553</v>
      </c>
    </row>
    <row r="150" spans="1:17">
      <c r="A150" s="32" t="s">
        <v>46</v>
      </c>
      <c r="B150" s="32">
        <v>150</v>
      </c>
      <c r="C150" s="32">
        <v>600</v>
      </c>
      <c r="D150" s="32">
        <v>4.5060000000000002</v>
      </c>
      <c r="E150" s="32">
        <v>295.61075479975767</v>
      </c>
      <c r="F150" s="32">
        <v>8878.7682537029687</v>
      </c>
      <c r="G150" s="77">
        <v>8.599999999999999E-6</v>
      </c>
      <c r="H150" s="32">
        <v>0.52300000000000002</v>
      </c>
      <c r="I150" s="32">
        <v>21.9</v>
      </c>
      <c r="J150" s="32">
        <v>1668</v>
      </c>
      <c r="K150" s="32">
        <v>3287</v>
      </c>
      <c r="L150" s="32">
        <v>0.55000000000000004</v>
      </c>
      <c r="M150" s="34">
        <v>14.967182319181425</v>
      </c>
      <c r="N150" s="32">
        <v>148.30000000000001</v>
      </c>
      <c r="O150" s="32">
        <v>158</v>
      </c>
      <c r="P150" s="34">
        <f t="shared" si="2"/>
        <v>1.0654079568442345</v>
      </c>
    </row>
    <row r="151" spans="1:17">
      <c r="A151" s="32" t="s">
        <v>46</v>
      </c>
      <c r="B151" s="32">
        <v>200</v>
      </c>
      <c r="C151" s="32">
        <v>600</v>
      </c>
      <c r="D151" s="32">
        <v>4.5060000000000002</v>
      </c>
      <c r="E151" s="32">
        <v>295.61075479975767</v>
      </c>
      <c r="F151" s="32">
        <v>8878.7682537029687</v>
      </c>
      <c r="G151" s="77">
        <v>8.599999999999999E-6</v>
      </c>
      <c r="H151" s="32">
        <v>0.52300000000000002</v>
      </c>
      <c r="I151" s="32">
        <v>21.9</v>
      </c>
      <c r="J151" s="32">
        <v>1668</v>
      </c>
      <c r="K151" s="32">
        <v>3287</v>
      </c>
      <c r="L151" s="32">
        <v>0.55000000000000004</v>
      </c>
      <c r="M151" s="34">
        <v>19.956243092241898</v>
      </c>
      <c r="N151" s="32">
        <v>203.98</v>
      </c>
      <c r="O151" s="32">
        <v>228.88</v>
      </c>
      <c r="P151" s="34">
        <f t="shared" si="2"/>
        <v>1.1220707912540446</v>
      </c>
    </row>
    <row r="152" spans="1:17">
      <c r="A152" s="32" t="s">
        <v>46</v>
      </c>
      <c r="B152" s="32">
        <v>250</v>
      </c>
      <c r="C152" s="32">
        <v>600</v>
      </c>
      <c r="D152" s="32">
        <v>4.5060000000000002</v>
      </c>
      <c r="E152" s="32">
        <v>295.61075479975767</v>
      </c>
      <c r="F152" s="32">
        <v>8878.7682537029687</v>
      </c>
      <c r="G152" s="77">
        <v>8.599999999999999E-6</v>
      </c>
      <c r="H152" s="32">
        <v>0.52300000000000002</v>
      </c>
      <c r="I152" s="32">
        <v>21.9</v>
      </c>
      <c r="J152" s="32">
        <v>1668</v>
      </c>
      <c r="K152" s="32">
        <v>3287</v>
      </c>
      <c r="L152" s="32">
        <v>0.55000000000000004</v>
      </c>
      <c r="M152" s="34">
        <v>24.945303865302375</v>
      </c>
      <c r="N152" s="32">
        <v>196</v>
      </c>
      <c r="O152" s="32">
        <v>312.77</v>
      </c>
      <c r="P152" s="34">
        <f t="shared" si="2"/>
        <v>1.5957653061224488</v>
      </c>
    </row>
    <row r="153" spans="1:17">
      <c r="A153" s="32" t="s">
        <v>46</v>
      </c>
      <c r="B153" s="32">
        <v>300</v>
      </c>
      <c r="C153" s="32">
        <v>600</v>
      </c>
      <c r="D153" s="32">
        <v>4.5060000000000002</v>
      </c>
      <c r="E153" s="32">
        <v>295.61075479975767</v>
      </c>
      <c r="F153" s="32">
        <v>8878.7682537029687</v>
      </c>
      <c r="G153" s="77">
        <v>8.599999999999999E-6</v>
      </c>
      <c r="H153" s="32">
        <v>0.52300000000000002</v>
      </c>
      <c r="I153" s="32">
        <v>21.9</v>
      </c>
      <c r="J153" s="32">
        <v>1668</v>
      </c>
      <c r="K153" s="32">
        <v>3287</v>
      </c>
      <c r="L153" s="32">
        <v>0.55000000000000004</v>
      </c>
      <c r="M153" s="34">
        <v>29.934364638362851</v>
      </c>
      <c r="N153" s="32">
        <v>246.8</v>
      </c>
      <c r="O153" s="32">
        <v>362.69</v>
      </c>
      <c r="P153" s="34">
        <f t="shared" si="2"/>
        <v>1.4695705024311183</v>
      </c>
    </row>
    <row r="154" spans="1:17">
      <c r="A154" s="32" t="s">
        <v>46</v>
      </c>
      <c r="B154" s="32">
        <v>100</v>
      </c>
      <c r="C154" s="32">
        <v>900</v>
      </c>
      <c r="D154" s="32">
        <v>4.5060000000000002</v>
      </c>
      <c r="E154" s="32">
        <v>295.61075479975767</v>
      </c>
      <c r="F154" s="32">
        <v>8878.7682537029687</v>
      </c>
      <c r="G154" s="77">
        <v>8.599999999999999E-6</v>
      </c>
      <c r="H154" s="32">
        <v>0.52300000000000002</v>
      </c>
      <c r="I154" s="32">
        <v>21.9</v>
      </c>
      <c r="J154" s="32">
        <v>1668</v>
      </c>
      <c r="K154" s="32">
        <v>3287</v>
      </c>
      <c r="L154" s="32">
        <v>0.55000000000000004</v>
      </c>
      <c r="M154" s="34">
        <v>8.1471021264890311</v>
      </c>
      <c r="N154" s="32">
        <v>131.32</v>
      </c>
      <c r="O154" s="32">
        <v>47.53</v>
      </c>
      <c r="P154" s="34">
        <f t="shared" si="2"/>
        <v>0.36194029850746273</v>
      </c>
    </row>
    <row r="155" spans="1:17">
      <c r="A155" s="32" t="s">
        <v>46</v>
      </c>
      <c r="B155" s="32">
        <v>150</v>
      </c>
      <c r="C155" s="32">
        <v>900</v>
      </c>
      <c r="D155" s="32">
        <v>4.5060000000000002</v>
      </c>
      <c r="E155" s="32">
        <v>295.61075479975767</v>
      </c>
      <c r="F155" s="32">
        <v>8878.7682537029687</v>
      </c>
      <c r="G155" s="77">
        <v>8.599999999999999E-6</v>
      </c>
      <c r="H155" s="32">
        <v>0.52300000000000002</v>
      </c>
      <c r="I155" s="32">
        <v>21.9</v>
      </c>
      <c r="J155" s="32">
        <v>1668</v>
      </c>
      <c r="K155" s="32">
        <v>3287</v>
      </c>
      <c r="L155" s="32">
        <v>0.55000000000000004</v>
      </c>
      <c r="M155" s="34">
        <v>12.220653189733548</v>
      </c>
      <c r="N155" s="32">
        <v>170.44</v>
      </c>
      <c r="O155" s="32">
        <v>71.81</v>
      </c>
      <c r="P155" s="34">
        <f t="shared" si="2"/>
        <v>0.42132128608307912</v>
      </c>
    </row>
    <row r="156" spans="1:17">
      <c r="A156" s="32" t="s">
        <v>46</v>
      </c>
      <c r="B156" s="32">
        <v>200</v>
      </c>
      <c r="C156" s="32">
        <v>900</v>
      </c>
      <c r="D156" s="32">
        <v>4.5060000000000002</v>
      </c>
      <c r="E156" s="32">
        <v>295.61075479975767</v>
      </c>
      <c r="F156" s="32">
        <v>8878.7682537029687</v>
      </c>
      <c r="G156" s="77">
        <v>8.599999999999999E-6</v>
      </c>
      <c r="H156" s="32">
        <v>0.52300000000000002</v>
      </c>
      <c r="I156" s="32">
        <v>21.9</v>
      </c>
      <c r="J156" s="32">
        <v>1668</v>
      </c>
      <c r="K156" s="32">
        <v>3287</v>
      </c>
      <c r="L156" s="32">
        <v>0.55000000000000004</v>
      </c>
      <c r="M156" s="34">
        <v>16.294204252978062</v>
      </c>
      <c r="N156" s="32">
        <v>170.65</v>
      </c>
      <c r="O156" s="32">
        <v>132.96</v>
      </c>
      <c r="P156" s="34">
        <f t="shared" si="2"/>
        <v>0.77913858775271028</v>
      </c>
    </row>
    <row r="157" spans="1:17">
      <c r="A157" s="32" t="s">
        <v>46</v>
      </c>
      <c r="B157" s="32">
        <v>250</v>
      </c>
      <c r="C157" s="32">
        <v>900</v>
      </c>
      <c r="D157" s="32">
        <v>4.5060000000000002</v>
      </c>
      <c r="E157" s="32">
        <v>295.61075479975767</v>
      </c>
      <c r="F157" s="32">
        <v>8878.7682537029687</v>
      </c>
      <c r="G157" s="77">
        <v>8.599999999999999E-6</v>
      </c>
      <c r="H157" s="32">
        <v>0.52300000000000002</v>
      </c>
      <c r="I157" s="32">
        <v>21.9</v>
      </c>
      <c r="J157" s="32">
        <v>1668</v>
      </c>
      <c r="K157" s="32">
        <v>3287</v>
      </c>
      <c r="L157" s="32">
        <v>0.55000000000000004</v>
      </c>
      <c r="M157" s="34">
        <v>20.367755316222578</v>
      </c>
      <c r="N157" s="32">
        <v>170.3</v>
      </c>
      <c r="O157" s="32">
        <v>168.38</v>
      </c>
      <c r="P157" s="34">
        <f t="shared" si="2"/>
        <v>0.98872577803875505</v>
      </c>
    </row>
    <row r="158" spans="1:17">
      <c r="A158" s="32" t="s">
        <v>46</v>
      </c>
      <c r="B158" s="32">
        <v>300</v>
      </c>
      <c r="C158" s="32">
        <v>900</v>
      </c>
      <c r="D158" s="32">
        <v>4.5060000000000002</v>
      </c>
      <c r="E158" s="32">
        <v>295.61075479975767</v>
      </c>
      <c r="F158" s="32">
        <v>8878.7682537029687</v>
      </c>
      <c r="G158" s="77">
        <v>8.599999999999999E-6</v>
      </c>
      <c r="H158" s="32">
        <v>0.52300000000000002</v>
      </c>
      <c r="I158" s="32">
        <v>21.9</v>
      </c>
      <c r="J158" s="32">
        <v>1668</v>
      </c>
      <c r="K158" s="32">
        <v>3287</v>
      </c>
      <c r="L158" s="32">
        <v>0.55000000000000004</v>
      </c>
      <c r="M158" s="34">
        <v>24.441306379467097</v>
      </c>
      <c r="N158" s="32">
        <v>170.9</v>
      </c>
      <c r="O158" s="32">
        <v>228.61</v>
      </c>
      <c r="P158" s="34">
        <f t="shared" si="2"/>
        <v>1.3376828554710358</v>
      </c>
    </row>
    <row r="159" spans="1:17" s="79" customFormat="1">
      <c r="A159" s="79" t="s">
        <v>18</v>
      </c>
      <c r="B159" s="79">
        <v>200</v>
      </c>
      <c r="C159" s="79">
        <v>200</v>
      </c>
      <c r="D159" s="79">
        <v>6.11</v>
      </c>
      <c r="E159" s="79">
        <v>422.05274677816715</v>
      </c>
      <c r="F159" s="79">
        <v>9010.3353847059861</v>
      </c>
      <c r="G159" s="80">
        <v>8.3999999999999992E-6</v>
      </c>
      <c r="H159" s="79">
        <v>0.48899999999999999</v>
      </c>
      <c r="I159" s="79">
        <v>30.7</v>
      </c>
      <c r="J159" s="79">
        <v>1910</v>
      </c>
      <c r="K159" s="79">
        <v>3407</v>
      </c>
      <c r="L159" s="79">
        <v>0.6</v>
      </c>
      <c r="M159" s="81">
        <v>18.519201231555346</v>
      </c>
      <c r="N159" s="79">
        <v>393.07</v>
      </c>
      <c r="O159" s="79">
        <v>400.12</v>
      </c>
      <c r="P159" s="81">
        <f t="shared" si="2"/>
        <v>1.0179357366372401</v>
      </c>
      <c r="Q159" s="82"/>
    </row>
    <row r="160" spans="1:17" s="79" customFormat="1">
      <c r="A160" s="79" t="s">
        <v>18</v>
      </c>
      <c r="B160" s="79">
        <v>200</v>
      </c>
      <c r="C160" s="79">
        <v>400</v>
      </c>
      <c r="D160" s="79">
        <v>6.11</v>
      </c>
      <c r="E160" s="79">
        <v>422.05274677816715</v>
      </c>
      <c r="F160" s="79">
        <v>9010.3353847059861</v>
      </c>
      <c r="G160" s="80">
        <v>8.3999999999999992E-6</v>
      </c>
      <c r="H160" s="79">
        <v>0.48899999999999999</v>
      </c>
      <c r="I160" s="79">
        <v>30.7</v>
      </c>
      <c r="J160" s="79">
        <v>1910</v>
      </c>
      <c r="K160" s="79">
        <v>3407</v>
      </c>
      <c r="L160" s="79">
        <v>0.6</v>
      </c>
      <c r="M160" s="81">
        <v>13.095052772991046</v>
      </c>
      <c r="N160" s="79">
        <v>280.91000000000003</v>
      </c>
      <c r="O160" s="79">
        <v>251.12</v>
      </c>
      <c r="P160" s="81">
        <f t="shared" si="2"/>
        <v>0.89395179950873938</v>
      </c>
      <c r="Q160" s="82"/>
    </row>
    <row r="161" spans="1:17" s="79" customFormat="1">
      <c r="A161" s="79" t="s">
        <v>18</v>
      </c>
      <c r="B161" s="79">
        <v>200</v>
      </c>
      <c r="C161" s="79">
        <v>600</v>
      </c>
      <c r="D161" s="79">
        <v>6.11</v>
      </c>
      <c r="E161" s="79">
        <v>422.05274677816715</v>
      </c>
      <c r="F161" s="79">
        <v>9010.3353847059861</v>
      </c>
      <c r="G161" s="80">
        <v>8.3999999999999992E-6</v>
      </c>
      <c r="H161" s="79">
        <v>0.48899999999999999</v>
      </c>
      <c r="I161" s="79">
        <v>30.7</v>
      </c>
      <c r="J161" s="79">
        <v>1910</v>
      </c>
      <c r="K161" s="79">
        <v>3407</v>
      </c>
      <c r="L161" s="79">
        <v>0.6</v>
      </c>
      <c r="M161" s="81">
        <v>10.692065816215328</v>
      </c>
      <c r="N161" s="79">
        <v>188.99</v>
      </c>
      <c r="O161" s="79">
        <v>201.08</v>
      </c>
      <c r="P161" s="81">
        <f t="shared" si="2"/>
        <v>1.0639716387110429</v>
      </c>
      <c r="Q161" s="82"/>
    </row>
    <row r="162" spans="1:17" s="79" customFormat="1">
      <c r="A162" s="79" t="s">
        <v>18</v>
      </c>
      <c r="B162" s="79">
        <v>200</v>
      </c>
      <c r="C162" s="79">
        <v>800</v>
      </c>
      <c r="D162" s="79">
        <v>6.11</v>
      </c>
      <c r="E162" s="79">
        <v>422.05274677816715</v>
      </c>
      <c r="F162" s="79">
        <v>9010.3353847059861</v>
      </c>
      <c r="G162" s="80">
        <v>8.3999999999999992E-6</v>
      </c>
      <c r="H162" s="79">
        <v>0.48899999999999999</v>
      </c>
      <c r="I162" s="79">
        <v>30.7</v>
      </c>
      <c r="J162" s="79">
        <v>1910</v>
      </c>
      <c r="K162" s="79">
        <v>3407</v>
      </c>
      <c r="L162" s="79">
        <v>0.6</v>
      </c>
      <c r="M162" s="81">
        <v>9.2596006157776731</v>
      </c>
      <c r="N162" s="79">
        <v>172.29</v>
      </c>
      <c r="O162" s="79">
        <v>84.83</v>
      </c>
      <c r="P162" s="81">
        <f t="shared" si="2"/>
        <v>0.49236751987927335</v>
      </c>
      <c r="Q162" s="82"/>
    </row>
    <row r="163" spans="1:17" s="79" customFormat="1">
      <c r="A163" s="79" t="s">
        <v>18</v>
      </c>
      <c r="B163" s="79">
        <v>200</v>
      </c>
      <c r="C163" s="79">
        <v>1200</v>
      </c>
      <c r="D163" s="79">
        <v>6.11</v>
      </c>
      <c r="E163" s="79">
        <v>422.05274677816715</v>
      </c>
      <c r="F163" s="79">
        <v>9010.3353847059861</v>
      </c>
      <c r="G163" s="80">
        <v>8.3999999999999992E-6</v>
      </c>
      <c r="H163" s="79">
        <v>0.48899999999999999</v>
      </c>
      <c r="I163" s="79">
        <v>30.7</v>
      </c>
      <c r="J163" s="79">
        <v>1910</v>
      </c>
      <c r="K163" s="79">
        <v>3407</v>
      </c>
      <c r="L163" s="79">
        <v>0.6</v>
      </c>
      <c r="M163" s="81">
        <v>7.5604322435387363</v>
      </c>
      <c r="N163" s="79">
        <v>132.75</v>
      </c>
      <c r="O163" s="79">
        <v>57.98</v>
      </c>
      <c r="P163" s="81">
        <f t="shared" si="2"/>
        <v>0.43676082862523541</v>
      </c>
      <c r="Q163" s="82"/>
    </row>
    <row r="164" spans="1:17" s="79" customFormat="1">
      <c r="A164" s="79" t="s">
        <v>18</v>
      </c>
      <c r="B164" s="79">
        <v>200</v>
      </c>
      <c r="C164" s="79">
        <v>1600</v>
      </c>
      <c r="D164" s="79">
        <v>6.11</v>
      </c>
      <c r="E164" s="79">
        <v>422.05274677816715</v>
      </c>
      <c r="F164" s="79">
        <v>9010.3353847059861</v>
      </c>
      <c r="G164" s="80">
        <v>8.3999999999999992E-6</v>
      </c>
      <c r="H164" s="79">
        <v>0.48899999999999999</v>
      </c>
      <c r="I164" s="79">
        <v>30.7</v>
      </c>
      <c r="J164" s="79">
        <v>1910</v>
      </c>
      <c r="K164" s="79">
        <v>3407</v>
      </c>
      <c r="L164" s="79">
        <v>0.6</v>
      </c>
      <c r="M164" s="81">
        <v>6.5475263864955231</v>
      </c>
      <c r="N164" s="79">
        <v>109.85</v>
      </c>
      <c r="O164" s="79">
        <v>49.23</v>
      </c>
      <c r="P164" s="81">
        <f t="shared" si="2"/>
        <v>0.44815657715065998</v>
      </c>
      <c r="Q164" s="82"/>
    </row>
    <row r="165" spans="1:17" s="79" customFormat="1">
      <c r="A165" s="79" t="s">
        <v>18</v>
      </c>
      <c r="B165" s="79">
        <v>200</v>
      </c>
      <c r="C165" s="79">
        <v>2000</v>
      </c>
      <c r="D165" s="79">
        <v>6.11</v>
      </c>
      <c r="E165" s="79">
        <v>422.05274677816715</v>
      </c>
      <c r="F165" s="79">
        <v>9010.3353847059861</v>
      </c>
      <c r="G165" s="80">
        <v>8.3999999999999992E-6</v>
      </c>
      <c r="H165" s="79">
        <v>0.48899999999999999</v>
      </c>
      <c r="I165" s="79">
        <v>30.7</v>
      </c>
      <c r="J165" s="79">
        <v>1910</v>
      </c>
      <c r="K165" s="79">
        <v>3407</v>
      </c>
      <c r="L165" s="79">
        <v>0.6</v>
      </c>
      <c r="M165" s="81">
        <v>5.8562856338710203</v>
      </c>
      <c r="N165" s="79">
        <v>84.57</v>
      </c>
      <c r="O165" s="79">
        <v>31.44</v>
      </c>
      <c r="P165" s="81">
        <f t="shared" si="2"/>
        <v>0.37176303653777942</v>
      </c>
      <c r="Q165" s="82"/>
    </row>
    <row r="166" spans="1:17" s="79" customFormat="1">
      <c r="A166" s="79" t="s">
        <v>18</v>
      </c>
      <c r="B166" s="79">
        <v>200</v>
      </c>
      <c r="C166" s="79">
        <v>2400</v>
      </c>
      <c r="D166" s="79">
        <v>6.11</v>
      </c>
      <c r="E166" s="79">
        <v>422.05274677816715</v>
      </c>
      <c r="F166" s="79">
        <v>9010.3353847059861</v>
      </c>
      <c r="G166" s="80">
        <v>8.3999999999999992E-6</v>
      </c>
      <c r="H166" s="79">
        <v>0.48899999999999999</v>
      </c>
      <c r="I166" s="79">
        <v>30.7</v>
      </c>
      <c r="J166" s="79">
        <v>1910</v>
      </c>
      <c r="K166" s="79">
        <v>3407</v>
      </c>
      <c r="L166" s="79">
        <v>0.6</v>
      </c>
      <c r="M166" s="81">
        <v>5.3460329081076639</v>
      </c>
      <c r="N166" s="79">
        <v>76.760000000000005</v>
      </c>
      <c r="O166" s="79">
        <v>26.3</v>
      </c>
      <c r="P166" s="81">
        <f t="shared" si="2"/>
        <v>0.34262636789994788</v>
      </c>
      <c r="Q166" s="82"/>
    </row>
    <row r="167" spans="1:17" s="79" customFormat="1">
      <c r="A167" s="79" t="s">
        <v>18</v>
      </c>
      <c r="B167" s="79">
        <v>350</v>
      </c>
      <c r="C167" s="79">
        <v>400</v>
      </c>
      <c r="D167" s="79">
        <v>6.11</v>
      </c>
      <c r="E167" s="79">
        <v>422.05274677816715</v>
      </c>
      <c r="F167" s="79">
        <v>9010.3353847059861</v>
      </c>
      <c r="G167" s="80">
        <v>8.3999999999999992E-6</v>
      </c>
      <c r="H167" s="79">
        <v>0.48899999999999999</v>
      </c>
      <c r="I167" s="79">
        <v>30.7</v>
      </c>
      <c r="J167" s="79">
        <v>1910</v>
      </c>
      <c r="K167" s="79">
        <v>3407</v>
      </c>
      <c r="L167" s="79">
        <v>0.6</v>
      </c>
      <c r="M167" s="81">
        <v>22.916342352734333</v>
      </c>
      <c r="N167" s="79">
        <v>252.43</v>
      </c>
      <c r="O167" s="79">
        <v>289.64</v>
      </c>
      <c r="P167" s="81">
        <f t="shared" si="2"/>
        <v>1.1474072019965931</v>
      </c>
      <c r="Q167" s="82"/>
    </row>
    <row r="168" spans="1:17" s="79" customFormat="1">
      <c r="A168" s="79" t="s">
        <v>18</v>
      </c>
      <c r="B168" s="79">
        <v>350</v>
      </c>
      <c r="C168" s="79">
        <v>600</v>
      </c>
      <c r="D168" s="79">
        <v>6.11</v>
      </c>
      <c r="E168" s="79">
        <v>422.05274677816715</v>
      </c>
      <c r="F168" s="79">
        <v>9010.3353847059861</v>
      </c>
      <c r="G168" s="80">
        <v>8.3999999999999992E-6</v>
      </c>
      <c r="H168" s="79">
        <v>0.48899999999999999</v>
      </c>
      <c r="I168" s="79">
        <v>30.7</v>
      </c>
      <c r="J168" s="79">
        <v>1910</v>
      </c>
      <c r="K168" s="79">
        <v>3407</v>
      </c>
      <c r="L168" s="79">
        <v>0.6</v>
      </c>
      <c r="M168" s="81">
        <v>18.711115178376822</v>
      </c>
      <c r="N168" s="79">
        <v>225.97</v>
      </c>
      <c r="O168" s="79">
        <v>137.88</v>
      </c>
      <c r="P168" s="81">
        <f t="shared" si="2"/>
        <v>0.61016949152542366</v>
      </c>
      <c r="Q168" s="82"/>
    </row>
    <row r="169" spans="1:17" s="79" customFormat="1">
      <c r="A169" s="79" t="s">
        <v>18</v>
      </c>
      <c r="B169" s="79">
        <v>350</v>
      </c>
      <c r="C169" s="79">
        <v>800</v>
      </c>
      <c r="D169" s="79">
        <v>6.11</v>
      </c>
      <c r="E169" s="79">
        <v>422.05274677816715</v>
      </c>
      <c r="F169" s="79">
        <v>9010.3353847059861</v>
      </c>
      <c r="G169" s="80">
        <v>8.3999999999999992E-6</v>
      </c>
      <c r="H169" s="79">
        <v>0.48899999999999999</v>
      </c>
      <c r="I169" s="79">
        <v>30.7</v>
      </c>
      <c r="J169" s="79">
        <v>1910</v>
      </c>
      <c r="K169" s="79">
        <v>3407</v>
      </c>
      <c r="L169" s="79">
        <v>0.6</v>
      </c>
      <c r="M169" s="81">
        <v>16.204301077610928</v>
      </c>
      <c r="N169" s="79">
        <v>158.78</v>
      </c>
      <c r="O169" s="79">
        <v>89.53</v>
      </c>
      <c r="P169" s="81">
        <f t="shared" si="2"/>
        <v>0.56386194734853257</v>
      </c>
      <c r="Q169" s="82"/>
    </row>
    <row r="170" spans="1:17" s="79" customFormat="1">
      <c r="A170" s="79" t="s">
        <v>18</v>
      </c>
      <c r="B170" s="79">
        <v>350</v>
      </c>
      <c r="C170" s="79">
        <v>1000</v>
      </c>
      <c r="D170" s="79">
        <v>6.11</v>
      </c>
      <c r="E170" s="79">
        <v>422.05274677816715</v>
      </c>
      <c r="F170" s="79">
        <v>9010.3353847059861</v>
      </c>
      <c r="G170" s="80">
        <v>8.3999999999999992E-6</v>
      </c>
      <c r="H170" s="79">
        <v>0.48899999999999999</v>
      </c>
      <c r="I170" s="79">
        <v>30.7</v>
      </c>
      <c r="J170" s="79">
        <v>1910</v>
      </c>
      <c r="K170" s="79">
        <v>3407</v>
      </c>
      <c r="L170" s="79">
        <v>0.6</v>
      </c>
      <c r="M170" s="81">
        <v>14.493567494964452</v>
      </c>
      <c r="N170" s="79">
        <v>146.07</v>
      </c>
      <c r="O170" s="79">
        <v>89.13</v>
      </c>
      <c r="P170" s="81">
        <f t="shared" si="2"/>
        <v>0.61018689669336623</v>
      </c>
      <c r="Q170" s="82"/>
    </row>
    <row r="171" spans="1:17" s="79" customFormat="1">
      <c r="A171" s="79" t="s">
        <v>18</v>
      </c>
      <c r="B171" s="79">
        <v>350</v>
      </c>
      <c r="C171" s="79">
        <v>1200</v>
      </c>
      <c r="D171" s="79">
        <v>6.11</v>
      </c>
      <c r="E171" s="79">
        <v>422.05274677816715</v>
      </c>
      <c r="F171" s="79">
        <v>9010.3353847059861</v>
      </c>
      <c r="G171" s="80">
        <v>8.3999999999999992E-6</v>
      </c>
      <c r="H171" s="79">
        <v>0.48899999999999999</v>
      </c>
      <c r="I171" s="79">
        <v>30.7</v>
      </c>
      <c r="J171" s="79">
        <v>1910</v>
      </c>
      <c r="K171" s="79">
        <v>3407</v>
      </c>
      <c r="L171" s="79">
        <v>0.6</v>
      </c>
      <c r="M171" s="81">
        <v>13.230756426192787</v>
      </c>
      <c r="N171" s="79">
        <v>128.25</v>
      </c>
      <c r="O171" s="79">
        <v>78.67</v>
      </c>
      <c r="P171" s="81">
        <f t="shared" si="2"/>
        <v>0.61341130604288496</v>
      </c>
      <c r="Q171" s="82"/>
    </row>
    <row r="172" spans="1:17" s="79" customFormat="1">
      <c r="A172" s="79" t="s">
        <v>18</v>
      </c>
      <c r="B172" s="79">
        <v>350</v>
      </c>
      <c r="C172" s="79">
        <v>1600</v>
      </c>
      <c r="D172" s="79">
        <v>6.11</v>
      </c>
      <c r="E172" s="79">
        <v>422.05274677816715</v>
      </c>
      <c r="F172" s="79">
        <v>9010.3353847059861</v>
      </c>
      <c r="G172" s="80">
        <v>8.3999999999999992E-6</v>
      </c>
      <c r="H172" s="79">
        <v>0.48899999999999999</v>
      </c>
      <c r="I172" s="79">
        <v>30.7</v>
      </c>
      <c r="J172" s="79">
        <v>1910</v>
      </c>
      <c r="K172" s="79">
        <v>3407</v>
      </c>
      <c r="L172" s="79">
        <v>0.6</v>
      </c>
      <c r="M172" s="81">
        <v>11.458171176367166</v>
      </c>
      <c r="N172" s="79">
        <v>121.45</v>
      </c>
      <c r="O172" s="79">
        <v>60.21</v>
      </c>
      <c r="P172" s="81">
        <f t="shared" si="2"/>
        <v>0.49575957184026348</v>
      </c>
      <c r="Q172" s="82"/>
    </row>
    <row r="173" spans="1:17" s="79" customFormat="1">
      <c r="A173" s="79" t="s">
        <v>18</v>
      </c>
      <c r="B173" s="79">
        <v>350</v>
      </c>
      <c r="C173" s="79">
        <v>2000</v>
      </c>
      <c r="D173" s="79">
        <v>6.11</v>
      </c>
      <c r="E173" s="79">
        <v>422.05274677816715</v>
      </c>
      <c r="F173" s="79">
        <v>9010.3353847059861</v>
      </c>
      <c r="G173" s="80">
        <v>8.3999999999999992E-6</v>
      </c>
      <c r="H173" s="79">
        <v>0.48899999999999999</v>
      </c>
      <c r="I173" s="79">
        <v>30.7</v>
      </c>
      <c r="J173" s="79">
        <v>1910</v>
      </c>
      <c r="K173" s="79">
        <v>3407</v>
      </c>
      <c r="L173" s="79">
        <v>0.6</v>
      </c>
      <c r="M173" s="81">
        <v>10.248499859274286</v>
      </c>
      <c r="N173" s="79">
        <v>112.1</v>
      </c>
      <c r="O173" s="79">
        <v>48.08</v>
      </c>
      <c r="P173" s="81">
        <f t="shared" si="2"/>
        <v>0.42890276538804639</v>
      </c>
      <c r="Q173" s="82"/>
    </row>
    <row r="174" spans="1:17" s="79" customFormat="1">
      <c r="A174" s="79" t="s">
        <v>18</v>
      </c>
      <c r="B174" s="79">
        <v>350</v>
      </c>
      <c r="C174" s="79">
        <v>2400</v>
      </c>
      <c r="D174" s="79">
        <v>6.11</v>
      </c>
      <c r="E174" s="79">
        <v>422.05274677816715</v>
      </c>
      <c r="F174" s="79">
        <v>9010.3353847059861</v>
      </c>
      <c r="G174" s="80">
        <v>8.3999999999999992E-6</v>
      </c>
      <c r="H174" s="79">
        <v>0.48899999999999999</v>
      </c>
      <c r="I174" s="79">
        <v>30.7</v>
      </c>
      <c r="J174" s="79">
        <v>1910</v>
      </c>
      <c r="K174" s="79">
        <v>3407</v>
      </c>
      <c r="L174" s="79">
        <v>0.6</v>
      </c>
      <c r="M174" s="81">
        <v>9.3555575891884111</v>
      </c>
      <c r="N174" s="79">
        <v>108.09</v>
      </c>
      <c r="O174" s="79">
        <v>39.25</v>
      </c>
      <c r="P174" s="81">
        <f t="shared" si="2"/>
        <v>0.36312332315662871</v>
      </c>
      <c r="Q174" s="82"/>
    </row>
    <row r="175" spans="1:17" s="79" customFormat="1">
      <c r="A175" s="79" t="s">
        <v>18</v>
      </c>
      <c r="B175" s="79">
        <v>100</v>
      </c>
      <c r="C175" s="79">
        <v>300</v>
      </c>
      <c r="D175" s="79">
        <v>6.11</v>
      </c>
      <c r="E175" s="79">
        <v>422.05274677816715</v>
      </c>
      <c r="F175" s="79">
        <v>9010.3353847059861</v>
      </c>
      <c r="G175" s="80">
        <v>8.3999999999999992E-6</v>
      </c>
      <c r="H175" s="79">
        <v>0.48899999999999999</v>
      </c>
      <c r="I175" s="79">
        <v>30.7</v>
      </c>
      <c r="J175" s="79">
        <v>1910</v>
      </c>
      <c r="K175" s="79">
        <v>3407</v>
      </c>
      <c r="L175" s="79">
        <v>0.6</v>
      </c>
      <c r="M175" s="81">
        <v>7.5604322435387363</v>
      </c>
      <c r="N175" s="79">
        <v>100.7</v>
      </c>
      <c r="O175" s="79">
        <v>44.59</v>
      </c>
      <c r="P175" s="81">
        <f t="shared" si="2"/>
        <v>0.44280039721946379</v>
      </c>
      <c r="Q175" s="82"/>
    </row>
    <row r="176" spans="1:17" s="79" customFormat="1">
      <c r="A176" s="79" t="s">
        <v>18</v>
      </c>
      <c r="B176" s="79">
        <v>150</v>
      </c>
      <c r="C176" s="79">
        <v>300</v>
      </c>
      <c r="D176" s="79">
        <v>6.11</v>
      </c>
      <c r="E176" s="79">
        <v>422.05274677816715</v>
      </c>
      <c r="F176" s="79">
        <v>9010.3353847059861</v>
      </c>
      <c r="G176" s="80">
        <v>8.3999999999999992E-6</v>
      </c>
      <c r="H176" s="79">
        <v>0.48899999999999999</v>
      </c>
      <c r="I176" s="79">
        <v>30.7</v>
      </c>
      <c r="J176" s="79">
        <v>1910</v>
      </c>
      <c r="K176" s="79">
        <v>3407</v>
      </c>
      <c r="L176" s="79">
        <v>0.6</v>
      </c>
      <c r="M176" s="81">
        <v>11.340648365308104</v>
      </c>
      <c r="N176" s="79">
        <v>109.84</v>
      </c>
      <c r="O176" s="79">
        <v>52.91</v>
      </c>
      <c r="P176" s="81">
        <f t="shared" si="2"/>
        <v>0.48170065549890745</v>
      </c>
      <c r="Q176" s="82"/>
    </row>
    <row r="177" spans="1:17" s="79" customFormat="1">
      <c r="A177" s="79" t="s">
        <v>18</v>
      </c>
      <c r="B177" s="79">
        <v>200</v>
      </c>
      <c r="C177" s="79">
        <v>300</v>
      </c>
      <c r="D177" s="79">
        <v>6.11</v>
      </c>
      <c r="E177" s="79">
        <v>422.05274677816715</v>
      </c>
      <c r="F177" s="79">
        <v>9010.3353847059861</v>
      </c>
      <c r="G177" s="80">
        <v>8.3999999999999992E-6</v>
      </c>
      <c r="H177" s="79">
        <v>0.48899999999999999</v>
      </c>
      <c r="I177" s="79">
        <v>30.7</v>
      </c>
      <c r="J177" s="79">
        <v>1910</v>
      </c>
      <c r="K177" s="79">
        <v>3407</v>
      </c>
      <c r="L177" s="79">
        <v>0.6</v>
      </c>
      <c r="M177" s="81">
        <v>15.120864487077473</v>
      </c>
      <c r="N177" s="79">
        <v>180.12</v>
      </c>
      <c r="O177" s="79">
        <v>67.400000000000006</v>
      </c>
      <c r="P177" s="81">
        <f t="shared" si="2"/>
        <v>0.37419498112369531</v>
      </c>
      <c r="Q177" s="82"/>
    </row>
    <row r="178" spans="1:17" s="79" customFormat="1">
      <c r="A178" s="79" t="s">
        <v>18</v>
      </c>
      <c r="B178" s="79">
        <v>250</v>
      </c>
      <c r="C178" s="79">
        <v>300</v>
      </c>
      <c r="D178" s="79">
        <v>6.11</v>
      </c>
      <c r="E178" s="79">
        <v>422.05274677816715</v>
      </c>
      <c r="F178" s="79">
        <v>9010.3353847059861</v>
      </c>
      <c r="G178" s="80">
        <v>8.3999999999999992E-6</v>
      </c>
      <c r="H178" s="79">
        <v>0.48899999999999999</v>
      </c>
      <c r="I178" s="79">
        <v>30.7</v>
      </c>
      <c r="J178" s="79">
        <v>1910</v>
      </c>
      <c r="K178" s="79">
        <v>3407</v>
      </c>
      <c r="L178" s="79">
        <v>0.6</v>
      </c>
      <c r="M178" s="81">
        <v>18.90108060884684</v>
      </c>
      <c r="N178" s="79">
        <v>187.26</v>
      </c>
      <c r="O178" s="79">
        <v>87.89</v>
      </c>
      <c r="P178" s="81">
        <f t="shared" si="2"/>
        <v>0.46934743137883161</v>
      </c>
      <c r="Q178" s="82"/>
    </row>
    <row r="179" spans="1:17" s="79" customFormat="1">
      <c r="A179" s="79" t="s">
        <v>18</v>
      </c>
      <c r="B179" s="79">
        <v>300</v>
      </c>
      <c r="C179" s="79">
        <v>300</v>
      </c>
      <c r="D179" s="79">
        <v>6.11</v>
      </c>
      <c r="E179" s="79">
        <v>422.05274677816715</v>
      </c>
      <c r="F179" s="79">
        <v>9010.3353847059861</v>
      </c>
      <c r="G179" s="80">
        <v>8.3999999999999992E-6</v>
      </c>
      <c r="H179" s="79">
        <v>0.48899999999999999</v>
      </c>
      <c r="I179" s="79">
        <v>30.7</v>
      </c>
      <c r="J179" s="79">
        <v>1910</v>
      </c>
      <c r="K179" s="79">
        <v>3407</v>
      </c>
      <c r="L179" s="79">
        <v>0.6</v>
      </c>
      <c r="M179" s="81">
        <v>22.681296730616207</v>
      </c>
      <c r="N179" s="79">
        <v>222.55</v>
      </c>
      <c r="O179" s="79">
        <v>99.98</v>
      </c>
      <c r="P179" s="81">
        <f t="shared" si="2"/>
        <v>0.44924736014378791</v>
      </c>
      <c r="Q179" s="82"/>
    </row>
    <row r="180" spans="1:17" s="79" customFormat="1">
      <c r="A180" s="79" t="s">
        <v>18</v>
      </c>
      <c r="B180" s="79">
        <v>100</v>
      </c>
      <c r="C180" s="79">
        <v>600</v>
      </c>
      <c r="D180" s="79">
        <v>6.11</v>
      </c>
      <c r="E180" s="79">
        <v>422.05274677816715</v>
      </c>
      <c r="F180" s="79">
        <v>9010.3353847059861</v>
      </c>
      <c r="G180" s="80">
        <v>8.3999999999999992E-6</v>
      </c>
      <c r="H180" s="79">
        <v>0.48899999999999999</v>
      </c>
      <c r="I180" s="79">
        <v>30.7</v>
      </c>
      <c r="J180" s="79">
        <v>1910</v>
      </c>
      <c r="K180" s="79">
        <v>3407</v>
      </c>
      <c r="L180" s="79">
        <v>0.6</v>
      </c>
      <c r="M180" s="81">
        <v>5.3460329081076639</v>
      </c>
      <c r="N180" s="79">
        <v>52.93</v>
      </c>
      <c r="O180" s="79">
        <v>15.4</v>
      </c>
      <c r="P180" s="81">
        <f t="shared" si="2"/>
        <v>0.29095031173247687</v>
      </c>
      <c r="Q180" s="82"/>
    </row>
    <row r="181" spans="1:17" s="79" customFormat="1">
      <c r="A181" s="79" t="s">
        <v>18</v>
      </c>
      <c r="B181" s="79">
        <v>150</v>
      </c>
      <c r="C181" s="79">
        <v>600</v>
      </c>
      <c r="D181" s="79">
        <v>6.11</v>
      </c>
      <c r="E181" s="79">
        <v>422.05274677816715</v>
      </c>
      <c r="F181" s="79">
        <v>9010.3353847059861</v>
      </c>
      <c r="G181" s="80">
        <v>8.3999999999999992E-6</v>
      </c>
      <c r="H181" s="79">
        <v>0.48899999999999999</v>
      </c>
      <c r="I181" s="79">
        <v>30.7</v>
      </c>
      <c r="J181" s="79">
        <v>1910</v>
      </c>
      <c r="K181" s="79">
        <v>3407</v>
      </c>
      <c r="L181" s="79">
        <v>0.6</v>
      </c>
      <c r="M181" s="81">
        <v>8.0190493621614962</v>
      </c>
      <c r="N181" s="79">
        <v>94.95</v>
      </c>
      <c r="O181" s="79">
        <v>17.57</v>
      </c>
      <c r="P181" s="81">
        <f t="shared" si="2"/>
        <v>0.18504476040021064</v>
      </c>
      <c r="Q181" s="82"/>
    </row>
    <row r="182" spans="1:17" s="79" customFormat="1">
      <c r="A182" s="79" t="s">
        <v>18</v>
      </c>
      <c r="B182" s="79">
        <v>200</v>
      </c>
      <c r="C182" s="79">
        <v>600</v>
      </c>
      <c r="D182" s="79">
        <v>6.11</v>
      </c>
      <c r="E182" s="79">
        <v>422.05274677816715</v>
      </c>
      <c r="F182" s="79">
        <v>9010.3353847059861</v>
      </c>
      <c r="G182" s="80">
        <v>8.3999999999999992E-6</v>
      </c>
      <c r="H182" s="79">
        <v>0.48899999999999999</v>
      </c>
      <c r="I182" s="79">
        <v>30.7</v>
      </c>
      <c r="J182" s="79">
        <v>1910</v>
      </c>
      <c r="K182" s="79">
        <v>3407</v>
      </c>
      <c r="L182" s="79">
        <v>0.6</v>
      </c>
      <c r="M182" s="81">
        <v>10.692065816215328</v>
      </c>
      <c r="N182" s="79">
        <v>115.08</v>
      </c>
      <c r="O182" s="79">
        <v>28.67</v>
      </c>
      <c r="P182" s="81">
        <f t="shared" si="2"/>
        <v>0.24913103927702471</v>
      </c>
      <c r="Q182" s="82"/>
    </row>
    <row r="183" spans="1:17" s="79" customFormat="1">
      <c r="A183" s="79" t="s">
        <v>18</v>
      </c>
      <c r="B183" s="79">
        <v>250</v>
      </c>
      <c r="C183" s="79">
        <v>600</v>
      </c>
      <c r="D183" s="79">
        <v>6.11</v>
      </c>
      <c r="E183" s="79">
        <v>422.05274677816715</v>
      </c>
      <c r="F183" s="79">
        <v>9010.3353847059861</v>
      </c>
      <c r="G183" s="80">
        <v>8.3999999999999992E-6</v>
      </c>
      <c r="H183" s="79">
        <v>0.48899999999999999</v>
      </c>
      <c r="I183" s="79">
        <v>30.7</v>
      </c>
      <c r="J183" s="79">
        <v>1910</v>
      </c>
      <c r="K183" s="79">
        <v>3407</v>
      </c>
      <c r="L183" s="79">
        <v>0.6</v>
      </c>
      <c r="M183" s="81">
        <v>13.365082270269159</v>
      </c>
      <c r="N183" s="79">
        <v>120.6</v>
      </c>
      <c r="O183" s="79">
        <v>42.54</v>
      </c>
      <c r="P183" s="81">
        <f t="shared" si="2"/>
        <v>0.35273631840796021</v>
      </c>
      <c r="Q183" s="82"/>
    </row>
    <row r="184" spans="1:17" s="79" customFormat="1">
      <c r="A184" s="79" t="s">
        <v>18</v>
      </c>
      <c r="B184" s="79">
        <v>300</v>
      </c>
      <c r="C184" s="79">
        <v>600</v>
      </c>
      <c r="D184" s="79">
        <v>6.11</v>
      </c>
      <c r="E184" s="79">
        <v>422.05274677816715</v>
      </c>
      <c r="F184" s="79">
        <v>9010.3353847059861</v>
      </c>
      <c r="G184" s="80">
        <v>8.3999999999999992E-6</v>
      </c>
      <c r="H184" s="79">
        <v>0.48899999999999999</v>
      </c>
      <c r="I184" s="79">
        <v>30.7</v>
      </c>
      <c r="J184" s="79">
        <v>1910</v>
      </c>
      <c r="K184" s="79">
        <v>3407</v>
      </c>
      <c r="L184" s="79">
        <v>0.6</v>
      </c>
      <c r="M184" s="81">
        <v>16.038098724322992</v>
      </c>
      <c r="N184" s="79">
        <v>122.02</v>
      </c>
      <c r="O184" s="79">
        <v>42.64</v>
      </c>
      <c r="P184" s="81">
        <f t="shared" si="2"/>
        <v>0.34945090968693659</v>
      </c>
      <c r="Q184" s="82"/>
    </row>
    <row r="185" spans="1:17" s="79" customFormat="1">
      <c r="A185" s="79" t="s">
        <v>18</v>
      </c>
      <c r="B185" s="79">
        <v>100</v>
      </c>
      <c r="C185" s="79">
        <v>900</v>
      </c>
      <c r="D185" s="79">
        <v>6.11</v>
      </c>
      <c r="E185" s="79">
        <v>422.05274677816715</v>
      </c>
      <c r="F185" s="79">
        <v>9010.3353847059861</v>
      </c>
      <c r="G185" s="80">
        <v>8.3999999999999992E-6</v>
      </c>
      <c r="H185" s="79">
        <v>0.48899999999999999</v>
      </c>
      <c r="I185" s="79">
        <v>30.7</v>
      </c>
      <c r="J185" s="79">
        <v>1910</v>
      </c>
      <c r="K185" s="79">
        <v>3407</v>
      </c>
      <c r="L185" s="79">
        <v>0.6</v>
      </c>
      <c r="M185" s="81">
        <v>4.3650175909970157</v>
      </c>
      <c r="N185" s="79">
        <v>61.1</v>
      </c>
      <c r="O185" s="79">
        <v>23.57</v>
      </c>
      <c r="P185" s="81">
        <f t="shared" si="2"/>
        <v>0.38576104746317513</v>
      </c>
      <c r="Q185" s="82"/>
    </row>
    <row r="186" spans="1:17" s="79" customFormat="1">
      <c r="A186" s="79" t="s">
        <v>18</v>
      </c>
      <c r="B186" s="79">
        <v>150</v>
      </c>
      <c r="C186" s="79">
        <v>900</v>
      </c>
      <c r="D186" s="79">
        <v>6.11</v>
      </c>
      <c r="E186" s="79">
        <v>422.05274677816715</v>
      </c>
      <c r="F186" s="79">
        <v>9010.3353847059861</v>
      </c>
      <c r="G186" s="80">
        <v>8.3999999999999992E-6</v>
      </c>
      <c r="H186" s="79">
        <v>0.48899999999999999</v>
      </c>
      <c r="I186" s="79">
        <v>30.7</v>
      </c>
      <c r="J186" s="79">
        <v>1910</v>
      </c>
      <c r="K186" s="79">
        <v>3407</v>
      </c>
      <c r="L186" s="79">
        <v>0.6</v>
      </c>
      <c r="M186" s="81">
        <v>6.547526386495524</v>
      </c>
      <c r="N186" s="79">
        <v>89.3</v>
      </c>
      <c r="O186" s="79">
        <v>42.92</v>
      </c>
      <c r="P186" s="81">
        <f t="shared" si="2"/>
        <v>0.48062709966405376</v>
      </c>
      <c r="Q186" s="82"/>
    </row>
    <row r="187" spans="1:17" s="79" customFormat="1">
      <c r="A187" s="79" t="s">
        <v>18</v>
      </c>
      <c r="B187" s="79">
        <v>200</v>
      </c>
      <c r="C187" s="79">
        <v>900</v>
      </c>
      <c r="D187" s="79">
        <v>6.11</v>
      </c>
      <c r="E187" s="79">
        <v>422.05274677816715</v>
      </c>
      <c r="F187" s="79">
        <v>9010.3353847059861</v>
      </c>
      <c r="G187" s="80">
        <v>8.3999999999999992E-6</v>
      </c>
      <c r="H187" s="79">
        <v>0.48899999999999999</v>
      </c>
      <c r="I187" s="79">
        <v>30.7</v>
      </c>
      <c r="J187" s="79">
        <v>1910</v>
      </c>
      <c r="K187" s="79">
        <v>3407</v>
      </c>
      <c r="L187" s="79">
        <v>0.6</v>
      </c>
      <c r="M187" s="81">
        <v>8.7300351819940314</v>
      </c>
      <c r="N187" s="79">
        <v>113</v>
      </c>
      <c r="O187" s="79">
        <v>30.43</v>
      </c>
      <c r="P187" s="81">
        <f t="shared" si="2"/>
        <v>0.2692920353982301</v>
      </c>
      <c r="Q187" s="82"/>
    </row>
    <row r="188" spans="1:17" s="79" customFormat="1">
      <c r="A188" s="79" t="s">
        <v>18</v>
      </c>
      <c r="B188" s="79">
        <v>250</v>
      </c>
      <c r="C188" s="79">
        <v>900</v>
      </c>
      <c r="D188" s="79">
        <v>6.11</v>
      </c>
      <c r="E188" s="79">
        <v>422.05274677816715</v>
      </c>
      <c r="F188" s="79">
        <v>9010.3353847059861</v>
      </c>
      <c r="G188" s="80">
        <v>8.3999999999999992E-6</v>
      </c>
      <c r="H188" s="79">
        <v>0.48899999999999999</v>
      </c>
      <c r="I188" s="79">
        <v>30.7</v>
      </c>
      <c r="J188" s="79">
        <v>1910</v>
      </c>
      <c r="K188" s="79">
        <v>3407</v>
      </c>
      <c r="L188" s="79">
        <v>0.6</v>
      </c>
      <c r="M188" s="81">
        <v>10.91254397749254</v>
      </c>
      <c r="N188" s="79">
        <v>154.25</v>
      </c>
      <c r="O188" s="79">
        <v>64.92</v>
      </c>
      <c r="P188" s="81">
        <f t="shared" si="2"/>
        <v>0.42087520259319289</v>
      </c>
      <c r="Q188" s="82"/>
    </row>
    <row r="189" spans="1:17" s="79" customFormat="1">
      <c r="A189" s="79" t="s">
        <v>18</v>
      </c>
      <c r="B189" s="79">
        <v>300</v>
      </c>
      <c r="C189" s="79">
        <v>900</v>
      </c>
      <c r="D189" s="79">
        <v>6.11</v>
      </c>
      <c r="E189" s="79">
        <v>422.05274677816715</v>
      </c>
      <c r="F189" s="79">
        <v>9010.3353847059861</v>
      </c>
      <c r="G189" s="80">
        <v>8.3999999999999992E-6</v>
      </c>
      <c r="H189" s="79">
        <v>0.48899999999999999</v>
      </c>
      <c r="I189" s="79">
        <v>30.7</v>
      </c>
      <c r="J189" s="79">
        <v>1910</v>
      </c>
      <c r="K189" s="79">
        <v>3407</v>
      </c>
      <c r="L189" s="79">
        <v>0.6</v>
      </c>
      <c r="M189" s="81">
        <v>13.095052772991048</v>
      </c>
      <c r="N189" s="79">
        <v>176</v>
      </c>
      <c r="O189" s="79">
        <v>71.5</v>
      </c>
      <c r="P189" s="81">
        <f t="shared" si="2"/>
        <v>0.40625</v>
      </c>
      <c r="Q189" s="82"/>
    </row>
    <row r="190" spans="1:17">
      <c r="A190" s="32" t="s">
        <v>47</v>
      </c>
      <c r="B190" s="32">
        <v>200</v>
      </c>
      <c r="C190" s="32">
        <v>200</v>
      </c>
      <c r="D190" s="32">
        <v>7.19</v>
      </c>
      <c r="E190" s="32">
        <v>325.02437682826212</v>
      </c>
      <c r="F190" s="32">
        <v>6621.6504699390916</v>
      </c>
      <c r="G190" s="77">
        <v>4.9000000000000005E-6</v>
      </c>
      <c r="H190" s="32">
        <v>0.44900000000000001</v>
      </c>
      <c r="I190" s="32">
        <v>93.9</v>
      </c>
      <c r="J190" s="32">
        <v>1907</v>
      </c>
      <c r="K190" s="32">
        <v>2671</v>
      </c>
      <c r="L190" s="32">
        <v>0.75</v>
      </c>
      <c r="M190" s="34">
        <v>6.7143247281264999</v>
      </c>
      <c r="N190" s="32">
        <v>150.1</v>
      </c>
      <c r="O190" s="32">
        <v>71.94</v>
      </c>
      <c r="P190" s="34">
        <f t="shared" si="2"/>
        <v>0.4792804796802132</v>
      </c>
    </row>
    <row r="191" spans="1:17">
      <c r="A191" s="32" t="s">
        <v>47</v>
      </c>
      <c r="B191" s="32">
        <v>200</v>
      </c>
      <c r="C191" s="32">
        <v>400</v>
      </c>
      <c r="D191" s="32">
        <v>7.19</v>
      </c>
      <c r="E191" s="32">
        <v>325.02437682826212</v>
      </c>
      <c r="F191" s="32">
        <v>6621.6504699390916</v>
      </c>
      <c r="G191" s="77">
        <v>4.9000000000000005E-6</v>
      </c>
      <c r="H191" s="32">
        <v>0.44900000000000001</v>
      </c>
      <c r="I191" s="32">
        <v>93.9</v>
      </c>
      <c r="J191" s="32">
        <v>1907</v>
      </c>
      <c r="K191" s="32">
        <v>2671</v>
      </c>
      <c r="L191" s="32">
        <v>0.75</v>
      </c>
      <c r="M191" s="34">
        <v>4.7477445463467696</v>
      </c>
      <c r="N191" s="32">
        <v>138.6</v>
      </c>
      <c r="O191" s="32">
        <v>55.93</v>
      </c>
      <c r="P191" s="34">
        <f t="shared" si="2"/>
        <v>0.40353535353535352</v>
      </c>
    </row>
    <row r="192" spans="1:17">
      <c r="A192" s="32" t="s">
        <v>47</v>
      </c>
      <c r="B192" s="32">
        <v>200</v>
      </c>
      <c r="C192" s="32">
        <v>600</v>
      </c>
      <c r="D192" s="32">
        <v>7.19</v>
      </c>
      <c r="E192" s="32">
        <v>325.02437682826212</v>
      </c>
      <c r="F192" s="32">
        <v>6621.6504699390916</v>
      </c>
      <c r="G192" s="77">
        <v>4.9000000000000005E-6</v>
      </c>
      <c r="H192" s="32">
        <v>0.44900000000000001</v>
      </c>
      <c r="I192" s="32">
        <v>93.9</v>
      </c>
      <c r="J192" s="32">
        <v>1907</v>
      </c>
      <c r="K192" s="32">
        <v>2671</v>
      </c>
      <c r="L192" s="32">
        <v>0.75</v>
      </c>
      <c r="M192" s="34">
        <v>3.8765171892103956</v>
      </c>
      <c r="N192" s="32">
        <v>124.77</v>
      </c>
      <c r="O192" s="32">
        <v>57.98</v>
      </c>
      <c r="P192" s="34">
        <f t="shared" si="2"/>
        <v>0.46469503887152358</v>
      </c>
    </row>
    <row r="193" spans="1:16">
      <c r="A193" s="32" t="s">
        <v>47</v>
      </c>
      <c r="B193" s="32">
        <v>200</v>
      </c>
      <c r="C193" s="32">
        <v>800</v>
      </c>
      <c r="D193" s="32">
        <v>7.19</v>
      </c>
      <c r="E193" s="32">
        <v>325.02437682826212</v>
      </c>
      <c r="F193" s="32">
        <v>6621.6504699390916</v>
      </c>
      <c r="G193" s="77">
        <v>4.9000000000000005E-6</v>
      </c>
      <c r="H193" s="32">
        <v>0.44900000000000001</v>
      </c>
      <c r="I193" s="32">
        <v>93.9</v>
      </c>
      <c r="J193" s="32">
        <v>1907</v>
      </c>
      <c r="K193" s="32">
        <v>2671</v>
      </c>
      <c r="L193" s="32">
        <v>0.75</v>
      </c>
      <c r="M193" s="34">
        <v>3.35716236406325</v>
      </c>
      <c r="N193" s="32">
        <v>108.58</v>
      </c>
      <c r="O193" s="32">
        <v>49.21</v>
      </c>
      <c r="P193" s="34">
        <f t="shared" si="2"/>
        <v>0.45321421993000555</v>
      </c>
    </row>
    <row r="194" spans="1:16">
      <c r="A194" s="32" t="s">
        <v>47</v>
      </c>
      <c r="B194" s="32">
        <v>200</v>
      </c>
      <c r="C194" s="32">
        <v>1200</v>
      </c>
      <c r="D194" s="32">
        <v>7.19</v>
      </c>
      <c r="E194" s="32">
        <v>325.02437682826212</v>
      </c>
      <c r="F194" s="32">
        <v>6621.6504699390916</v>
      </c>
      <c r="G194" s="77">
        <v>4.9000000000000005E-6</v>
      </c>
      <c r="H194" s="32">
        <v>0.44900000000000001</v>
      </c>
      <c r="I194" s="32">
        <v>93.9</v>
      </c>
      <c r="J194" s="32">
        <v>1907</v>
      </c>
      <c r="K194" s="32">
        <v>2671</v>
      </c>
      <c r="L194" s="32">
        <v>0.75</v>
      </c>
      <c r="M194" s="34">
        <v>2.7411115918768858</v>
      </c>
      <c r="N194" s="32">
        <v>102.85</v>
      </c>
      <c r="O194" s="32">
        <v>43.65</v>
      </c>
      <c r="P194" s="34">
        <f t="shared" si="2"/>
        <v>0.42440447253281477</v>
      </c>
    </row>
    <row r="195" spans="1:16">
      <c r="A195" s="32" t="s">
        <v>47</v>
      </c>
      <c r="B195" s="32">
        <v>200</v>
      </c>
      <c r="C195" s="32">
        <v>1600</v>
      </c>
      <c r="D195" s="32">
        <v>7.19</v>
      </c>
      <c r="E195" s="32">
        <v>325.02437682826212</v>
      </c>
      <c r="F195" s="32">
        <v>6621.6504699390916</v>
      </c>
      <c r="G195" s="77">
        <v>4.9000000000000005E-6</v>
      </c>
      <c r="H195" s="32">
        <v>0.44900000000000001</v>
      </c>
      <c r="I195" s="32">
        <v>93.9</v>
      </c>
      <c r="J195" s="32">
        <v>1907</v>
      </c>
      <c r="K195" s="32">
        <v>2671</v>
      </c>
      <c r="L195" s="32">
        <v>0.75</v>
      </c>
      <c r="M195" s="34">
        <v>2.3738722731733848</v>
      </c>
      <c r="N195" s="32">
        <v>97.93</v>
      </c>
      <c r="O195" s="32">
        <v>45.28</v>
      </c>
      <c r="P195" s="34">
        <f t="shared" si="2"/>
        <v>0.46237108138466249</v>
      </c>
    </row>
    <row r="196" spans="1:16">
      <c r="A196" s="32" t="s">
        <v>47</v>
      </c>
      <c r="B196" s="32">
        <v>200</v>
      </c>
      <c r="C196" s="32">
        <v>2000</v>
      </c>
      <c r="D196" s="32">
        <v>7.19</v>
      </c>
      <c r="E196" s="32">
        <v>325.02437682826212</v>
      </c>
      <c r="F196" s="32">
        <v>6621.6504699390916</v>
      </c>
      <c r="G196" s="77">
        <v>4.9000000000000005E-6</v>
      </c>
      <c r="H196" s="32">
        <v>0.44900000000000001</v>
      </c>
      <c r="I196" s="32">
        <v>93.9</v>
      </c>
      <c r="J196" s="32">
        <v>1907</v>
      </c>
      <c r="K196" s="32">
        <v>2671</v>
      </c>
      <c r="L196" s="32">
        <v>0.75</v>
      </c>
      <c r="M196" s="34">
        <v>2.1232559090870557</v>
      </c>
      <c r="N196" s="32">
        <v>80.52</v>
      </c>
      <c r="O196" s="32">
        <v>34.83</v>
      </c>
      <c r="P196" s="34">
        <f t="shared" si="2"/>
        <v>0.43256333830104321</v>
      </c>
    </row>
    <row r="197" spans="1:16">
      <c r="A197" s="32" t="s">
        <v>47</v>
      </c>
      <c r="B197" s="32">
        <v>200</v>
      </c>
      <c r="C197" s="32">
        <v>2400</v>
      </c>
      <c r="D197" s="32">
        <v>7.19</v>
      </c>
      <c r="E197" s="32">
        <v>325.02437682826212</v>
      </c>
      <c r="F197" s="32">
        <v>6621.6504699390916</v>
      </c>
      <c r="G197" s="77">
        <v>4.9000000000000005E-6</v>
      </c>
      <c r="H197" s="32">
        <v>0.44900000000000001</v>
      </c>
      <c r="I197" s="32">
        <v>93.9</v>
      </c>
      <c r="J197" s="32">
        <v>1907</v>
      </c>
      <c r="K197" s="32">
        <v>2671</v>
      </c>
      <c r="L197" s="32">
        <v>0.75</v>
      </c>
      <c r="M197" s="34">
        <v>1.9382585946051978</v>
      </c>
      <c r="N197" s="32">
        <v>77.23</v>
      </c>
      <c r="O197" s="32">
        <v>32.159999999999997</v>
      </c>
      <c r="P197" s="34">
        <f t="shared" ref="P197:P260" si="3">O197/N197</f>
        <v>0.41641849022400618</v>
      </c>
    </row>
    <row r="198" spans="1:16">
      <c r="A198" s="32" t="s">
        <v>47</v>
      </c>
      <c r="B198" s="32">
        <v>350</v>
      </c>
      <c r="C198" s="32">
        <v>400</v>
      </c>
      <c r="D198" s="32">
        <v>7.19</v>
      </c>
      <c r="E198" s="32">
        <v>325.02437682826212</v>
      </c>
      <c r="F198" s="32">
        <v>6621.6504699390916</v>
      </c>
      <c r="G198" s="77">
        <v>4.9000000000000005E-6</v>
      </c>
      <c r="H198" s="32">
        <v>0.44900000000000001</v>
      </c>
      <c r="I198" s="32">
        <v>93.9</v>
      </c>
      <c r="J198" s="32">
        <v>1907</v>
      </c>
      <c r="K198" s="32">
        <v>2671</v>
      </c>
      <c r="L198" s="32">
        <v>0.75</v>
      </c>
      <c r="M198" s="34">
        <v>8.3085529561068476</v>
      </c>
      <c r="N198" s="32">
        <v>239</v>
      </c>
      <c r="O198" s="32">
        <v>136.4</v>
      </c>
      <c r="P198" s="34">
        <f t="shared" si="3"/>
        <v>0.57071129707112978</v>
      </c>
    </row>
    <row r="199" spans="1:16">
      <c r="A199" s="32" t="s">
        <v>47</v>
      </c>
      <c r="B199" s="32">
        <v>350</v>
      </c>
      <c r="C199" s="32">
        <v>600</v>
      </c>
      <c r="D199" s="32">
        <v>7.19</v>
      </c>
      <c r="E199" s="32">
        <v>325.02437682826212</v>
      </c>
      <c r="F199" s="32">
        <v>6621.6504699390916</v>
      </c>
      <c r="G199" s="77">
        <v>4.9000000000000005E-6</v>
      </c>
      <c r="H199" s="32">
        <v>0.44900000000000001</v>
      </c>
      <c r="I199" s="32">
        <v>93.9</v>
      </c>
      <c r="J199" s="32">
        <v>1907</v>
      </c>
      <c r="K199" s="32">
        <v>2671</v>
      </c>
      <c r="L199" s="32">
        <v>0.75</v>
      </c>
      <c r="M199" s="34">
        <v>6.783905081118192</v>
      </c>
      <c r="N199" s="32">
        <v>168.24</v>
      </c>
      <c r="O199" s="32">
        <v>73.099999999999994</v>
      </c>
      <c r="P199" s="34">
        <f t="shared" si="3"/>
        <v>0.43449833571088914</v>
      </c>
    </row>
    <row r="200" spans="1:16">
      <c r="A200" s="32" t="s">
        <v>47</v>
      </c>
      <c r="B200" s="32">
        <v>350</v>
      </c>
      <c r="C200" s="32">
        <v>800</v>
      </c>
      <c r="D200" s="32">
        <v>7.19</v>
      </c>
      <c r="E200" s="32">
        <v>325.02437682826212</v>
      </c>
      <c r="F200" s="32">
        <v>6621.6504699390916</v>
      </c>
      <c r="G200" s="77">
        <v>4.9000000000000005E-6</v>
      </c>
      <c r="H200" s="32">
        <v>0.44900000000000001</v>
      </c>
      <c r="I200" s="32">
        <v>93.9</v>
      </c>
      <c r="J200" s="32">
        <v>1907</v>
      </c>
      <c r="K200" s="32">
        <v>2671</v>
      </c>
      <c r="L200" s="32">
        <v>0.75</v>
      </c>
      <c r="M200" s="34">
        <v>5.8750341371106876</v>
      </c>
      <c r="N200" s="32">
        <v>140</v>
      </c>
      <c r="O200" s="32">
        <v>47.59</v>
      </c>
      <c r="P200" s="34">
        <f t="shared" si="3"/>
        <v>0.33992857142857147</v>
      </c>
    </row>
    <row r="201" spans="1:16">
      <c r="A201" s="32" t="s">
        <v>47</v>
      </c>
      <c r="B201" s="32">
        <v>350</v>
      </c>
      <c r="C201" s="32">
        <v>1000</v>
      </c>
      <c r="D201" s="32">
        <v>7.19</v>
      </c>
      <c r="E201" s="32">
        <v>325.02437682826212</v>
      </c>
      <c r="F201" s="32">
        <v>6621.6504699390916</v>
      </c>
      <c r="G201" s="77">
        <v>4.9000000000000005E-6</v>
      </c>
      <c r="H201" s="32">
        <v>0.44900000000000001</v>
      </c>
      <c r="I201" s="32">
        <v>93.9</v>
      </c>
      <c r="J201" s="32">
        <v>1907</v>
      </c>
      <c r="K201" s="32">
        <v>2671</v>
      </c>
      <c r="L201" s="32">
        <v>0.75</v>
      </c>
      <c r="M201" s="34">
        <v>5.2547902802845261</v>
      </c>
      <c r="N201" s="32">
        <v>110</v>
      </c>
      <c r="O201" s="32">
        <v>44.46</v>
      </c>
      <c r="P201" s="34">
        <f t="shared" si="3"/>
        <v>0.4041818181818182</v>
      </c>
    </row>
    <row r="202" spans="1:16">
      <c r="A202" s="32" t="s">
        <v>47</v>
      </c>
      <c r="B202" s="32">
        <v>350</v>
      </c>
      <c r="C202" s="32">
        <v>1200</v>
      </c>
      <c r="D202" s="32">
        <v>7.19</v>
      </c>
      <c r="E202" s="32">
        <v>325.02437682826212</v>
      </c>
      <c r="F202" s="32">
        <v>6621.6504699390916</v>
      </c>
      <c r="G202" s="77">
        <v>4.9000000000000005E-6</v>
      </c>
      <c r="H202" s="32">
        <v>0.44900000000000001</v>
      </c>
      <c r="I202" s="32">
        <v>93.9</v>
      </c>
      <c r="J202" s="32">
        <v>1907</v>
      </c>
      <c r="K202" s="32">
        <v>2671</v>
      </c>
      <c r="L202" s="32">
        <v>0.75</v>
      </c>
      <c r="M202" s="34">
        <v>4.7969452857845498</v>
      </c>
      <c r="N202" s="32">
        <v>77.44</v>
      </c>
      <c r="O202" s="32">
        <v>25.43</v>
      </c>
      <c r="P202" s="34">
        <f t="shared" si="3"/>
        <v>0.32838326446280991</v>
      </c>
    </row>
    <row r="203" spans="1:16">
      <c r="A203" s="32" t="s">
        <v>47</v>
      </c>
      <c r="B203" s="32">
        <v>350</v>
      </c>
      <c r="C203" s="32">
        <v>1600</v>
      </c>
      <c r="D203" s="32">
        <v>7.19</v>
      </c>
      <c r="E203" s="32">
        <v>325.02437682826212</v>
      </c>
      <c r="F203" s="32">
        <v>6621.6504699390916</v>
      </c>
      <c r="G203" s="77">
        <v>4.9000000000000005E-6</v>
      </c>
      <c r="H203" s="32">
        <v>0.44900000000000001</v>
      </c>
      <c r="I203" s="32">
        <v>93.9</v>
      </c>
      <c r="J203" s="32">
        <v>1907</v>
      </c>
      <c r="K203" s="32">
        <v>2671</v>
      </c>
      <c r="L203" s="32">
        <v>0.75</v>
      </c>
      <c r="M203" s="34">
        <v>4.1542764780534238</v>
      </c>
      <c r="N203" s="32">
        <v>75.400000000000006</v>
      </c>
      <c r="O203" s="32">
        <v>23.57</v>
      </c>
      <c r="P203" s="34">
        <f t="shared" si="3"/>
        <v>0.31259946949602119</v>
      </c>
    </row>
    <row r="204" spans="1:16">
      <c r="A204" s="32" t="s">
        <v>47</v>
      </c>
      <c r="B204" s="32">
        <v>350</v>
      </c>
      <c r="C204" s="32">
        <v>2000</v>
      </c>
      <c r="D204" s="32">
        <v>7.19</v>
      </c>
      <c r="E204" s="32">
        <v>325.02437682826212</v>
      </c>
      <c r="F204" s="32">
        <v>6621.6504699390916</v>
      </c>
      <c r="G204" s="77">
        <v>4.9000000000000005E-6</v>
      </c>
      <c r="H204" s="32">
        <v>0.44900000000000001</v>
      </c>
      <c r="I204" s="32">
        <v>93.9</v>
      </c>
      <c r="J204" s="32">
        <v>1907</v>
      </c>
      <c r="K204" s="32">
        <v>2671</v>
      </c>
      <c r="L204" s="32">
        <v>0.75</v>
      </c>
      <c r="M204" s="34">
        <v>3.7156978409023478</v>
      </c>
      <c r="N204" s="32">
        <v>70.28</v>
      </c>
      <c r="O204" s="32">
        <v>20</v>
      </c>
      <c r="P204" s="34">
        <f t="shared" si="3"/>
        <v>0.28457598178713717</v>
      </c>
    </row>
    <row r="205" spans="1:16">
      <c r="A205" s="32" t="s">
        <v>47</v>
      </c>
      <c r="B205" s="32">
        <v>350</v>
      </c>
      <c r="C205" s="32">
        <v>2400</v>
      </c>
      <c r="D205" s="32">
        <v>7.19</v>
      </c>
      <c r="E205" s="32">
        <v>325.02437682826212</v>
      </c>
      <c r="F205" s="32">
        <v>6621.6504699390916</v>
      </c>
      <c r="G205" s="77">
        <v>4.9000000000000005E-6</v>
      </c>
      <c r="H205" s="32">
        <v>0.44900000000000001</v>
      </c>
      <c r="I205" s="32">
        <v>93.9</v>
      </c>
      <c r="J205" s="32">
        <v>1907</v>
      </c>
      <c r="K205" s="32">
        <v>2671</v>
      </c>
      <c r="L205" s="32">
        <v>0.75</v>
      </c>
      <c r="M205" s="34">
        <v>3.391952540559096</v>
      </c>
      <c r="N205" s="32">
        <v>61.26</v>
      </c>
      <c r="O205" s="32">
        <v>15.45</v>
      </c>
      <c r="P205" s="34">
        <f t="shared" si="3"/>
        <v>0.25220372184133205</v>
      </c>
    </row>
    <row r="206" spans="1:16">
      <c r="A206" s="32" t="s">
        <v>47</v>
      </c>
      <c r="B206" s="32">
        <v>100</v>
      </c>
      <c r="C206" s="32">
        <v>300</v>
      </c>
      <c r="D206" s="32">
        <v>7.19</v>
      </c>
      <c r="E206" s="32">
        <v>325.02437682826212</v>
      </c>
      <c r="F206" s="32">
        <v>6621.6504699390916</v>
      </c>
      <c r="G206" s="77">
        <v>4.9000000000000005E-6</v>
      </c>
      <c r="H206" s="32">
        <v>0.44900000000000001</v>
      </c>
      <c r="I206" s="32">
        <v>93.9</v>
      </c>
      <c r="J206" s="32">
        <v>1907</v>
      </c>
      <c r="K206" s="32">
        <v>2671</v>
      </c>
      <c r="L206" s="32">
        <v>0.75</v>
      </c>
      <c r="M206" s="34">
        <v>2.7411115918768858</v>
      </c>
      <c r="N206" s="32">
        <v>84</v>
      </c>
      <c r="O206" s="32">
        <v>26.43</v>
      </c>
      <c r="P206" s="34">
        <f t="shared" si="3"/>
        <v>0.31464285714285711</v>
      </c>
    </row>
    <row r="207" spans="1:16">
      <c r="A207" s="32" t="s">
        <v>47</v>
      </c>
      <c r="B207" s="32">
        <v>150</v>
      </c>
      <c r="C207" s="32">
        <v>300</v>
      </c>
      <c r="D207" s="32">
        <v>7.19</v>
      </c>
      <c r="E207" s="32">
        <v>325.02437682826212</v>
      </c>
      <c r="F207" s="32">
        <v>6621.6504699390916</v>
      </c>
      <c r="G207" s="77">
        <v>4.9000000000000005E-6</v>
      </c>
      <c r="H207" s="32">
        <v>0.44900000000000001</v>
      </c>
      <c r="I207" s="32">
        <v>93.9</v>
      </c>
      <c r="J207" s="32">
        <v>1907</v>
      </c>
      <c r="K207" s="32">
        <v>2671</v>
      </c>
      <c r="L207" s="32">
        <v>0.75</v>
      </c>
      <c r="M207" s="34">
        <v>4.1116673878153289</v>
      </c>
      <c r="N207" s="32">
        <v>115.95</v>
      </c>
      <c r="O207" s="32">
        <v>45.31</v>
      </c>
      <c r="P207" s="34">
        <f t="shared" si="3"/>
        <v>0.39077188443294525</v>
      </c>
    </row>
    <row r="208" spans="1:16">
      <c r="A208" s="32" t="s">
        <v>47</v>
      </c>
      <c r="B208" s="32">
        <v>200</v>
      </c>
      <c r="C208" s="32">
        <v>300</v>
      </c>
      <c r="D208" s="32">
        <v>7.19</v>
      </c>
      <c r="E208" s="32">
        <v>325.02437682826212</v>
      </c>
      <c r="F208" s="32">
        <v>6621.6504699390916</v>
      </c>
      <c r="G208" s="77">
        <v>4.9000000000000005E-6</v>
      </c>
      <c r="H208" s="32">
        <v>0.44900000000000001</v>
      </c>
      <c r="I208" s="32">
        <v>93.9</v>
      </c>
      <c r="J208" s="32">
        <v>1907</v>
      </c>
      <c r="K208" s="32">
        <v>2671</v>
      </c>
      <c r="L208" s="32">
        <v>0.75</v>
      </c>
      <c r="M208" s="34">
        <v>5.4822231837537716</v>
      </c>
      <c r="N208" s="32">
        <v>122.71</v>
      </c>
      <c r="O208" s="32">
        <v>54.09</v>
      </c>
      <c r="P208" s="34">
        <f t="shared" si="3"/>
        <v>0.4407953712003912</v>
      </c>
    </row>
    <row r="209" spans="1:16">
      <c r="A209" s="32" t="s">
        <v>47</v>
      </c>
      <c r="B209" s="32">
        <v>250</v>
      </c>
      <c r="C209" s="32">
        <v>300</v>
      </c>
      <c r="D209" s="32">
        <v>7.19</v>
      </c>
      <c r="E209" s="32">
        <v>325.02437682826212</v>
      </c>
      <c r="F209" s="32">
        <v>6621.6504699390916</v>
      </c>
      <c r="G209" s="77">
        <v>4.9000000000000005E-6</v>
      </c>
      <c r="H209" s="32">
        <v>0.44900000000000001</v>
      </c>
      <c r="I209" s="32">
        <v>93.9</v>
      </c>
      <c r="J209" s="32">
        <v>1907</v>
      </c>
      <c r="K209" s="32">
        <v>2671</v>
      </c>
      <c r="L209" s="32">
        <v>0.75</v>
      </c>
      <c r="M209" s="34">
        <v>6.8527789796922143</v>
      </c>
      <c r="N209" s="32">
        <v>112.2</v>
      </c>
      <c r="O209" s="32">
        <v>62.12</v>
      </c>
      <c r="P209" s="34">
        <f t="shared" si="3"/>
        <v>0.55365418894830654</v>
      </c>
    </row>
    <row r="210" spans="1:16">
      <c r="A210" s="32" t="s">
        <v>47</v>
      </c>
      <c r="B210" s="32">
        <v>300</v>
      </c>
      <c r="C210" s="32">
        <v>300</v>
      </c>
      <c r="D210" s="32">
        <v>7.19</v>
      </c>
      <c r="E210" s="32">
        <v>325.02437682826212</v>
      </c>
      <c r="F210" s="32">
        <v>6621.6504699390916</v>
      </c>
      <c r="G210" s="77">
        <v>4.9000000000000005E-6</v>
      </c>
      <c r="H210" s="32">
        <v>0.44900000000000001</v>
      </c>
      <c r="I210" s="32">
        <v>93.9</v>
      </c>
      <c r="J210" s="32">
        <v>1907</v>
      </c>
      <c r="K210" s="32">
        <v>2671</v>
      </c>
      <c r="L210" s="32">
        <v>0.75</v>
      </c>
      <c r="M210" s="34">
        <v>8.2233347756306578</v>
      </c>
      <c r="N210" s="32">
        <v>114.52</v>
      </c>
      <c r="O210" s="32">
        <v>64.94</v>
      </c>
      <c r="P210" s="34">
        <f t="shared" si="3"/>
        <v>0.56706252183024797</v>
      </c>
    </row>
    <row r="211" spans="1:16">
      <c r="A211" s="32" t="s">
        <v>47</v>
      </c>
      <c r="B211" s="32">
        <v>100</v>
      </c>
      <c r="C211" s="32">
        <v>600</v>
      </c>
      <c r="D211" s="32">
        <v>7.19</v>
      </c>
      <c r="E211" s="32">
        <v>325.02437682826212</v>
      </c>
      <c r="F211" s="32">
        <v>6621.6504699390916</v>
      </c>
      <c r="G211" s="77">
        <v>4.9000000000000005E-6</v>
      </c>
      <c r="H211" s="32">
        <v>0.44900000000000001</v>
      </c>
      <c r="I211" s="32">
        <v>93.9</v>
      </c>
      <c r="J211" s="32">
        <v>1907</v>
      </c>
      <c r="K211" s="32">
        <v>2671</v>
      </c>
      <c r="L211" s="32">
        <v>0.75</v>
      </c>
      <c r="M211" s="34">
        <v>1.9382585946051978</v>
      </c>
      <c r="N211" s="32">
        <v>33.19</v>
      </c>
      <c r="O211" s="32">
        <v>15.37</v>
      </c>
      <c r="P211" s="34">
        <f t="shared" si="3"/>
        <v>0.46309129255799941</v>
      </c>
    </row>
    <row r="212" spans="1:16">
      <c r="A212" s="32" t="s">
        <v>47</v>
      </c>
      <c r="B212" s="32">
        <v>150</v>
      </c>
      <c r="C212" s="32">
        <v>600</v>
      </c>
      <c r="D212" s="32">
        <v>7.19</v>
      </c>
      <c r="E212" s="32">
        <v>325.02437682826212</v>
      </c>
      <c r="F212" s="32">
        <v>6621.6504699390916</v>
      </c>
      <c r="G212" s="77">
        <v>4.9000000000000005E-6</v>
      </c>
      <c r="H212" s="32">
        <v>0.44900000000000001</v>
      </c>
      <c r="I212" s="32">
        <v>93.9</v>
      </c>
      <c r="J212" s="32">
        <v>1907</v>
      </c>
      <c r="K212" s="32">
        <v>2671</v>
      </c>
      <c r="L212" s="32">
        <v>0.75</v>
      </c>
      <c r="M212" s="34">
        <v>2.9073878919077969</v>
      </c>
      <c r="N212" s="32">
        <v>88.93</v>
      </c>
      <c r="O212" s="32">
        <v>34.22</v>
      </c>
      <c r="P212" s="34">
        <f t="shared" si="3"/>
        <v>0.38479703137298993</v>
      </c>
    </row>
    <row r="213" spans="1:16">
      <c r="A213" s="32" t="s">
        <v>47</v>
      </c>
      <c r="B213" s="32">
        <v>200</v>
      </c>
      <c r="C213" s="32">
        <v>600</v>
      </c>
      <c r="D213" s="32">
        <v>7.19</v>
      </c>
      <c r="E213" s="32">
        <v>325.02437682826212</v>
      </c>
      <c r="F213" s="32">
        <v>6621.6504699390916</v>
      </c>
      <c r="G213" s="77">
        <v>4.9000000000000005E-6</v>
      </c>
      <c r="H213" s="32">
        <v>0.44900000000000001</v>
      </c>
      <c r="I213" s="32">
        <v>93.9</v>
      </c>
      <c r="J213" s="32">
        <v>1907</v>
      </c>
      <c r="K213" s="32">
        <v>2671</v>
      </c>
      <c r="L213" s="32">
        <v>0.75</v>
      </c>
      <c r="M213" s="34">
        <v>3.8765171892103956</v>
      </c>
      <c r="N213" s="32">
        <v>97.51</v>
      </c>
      <c r="O213" s="32">
        <v>43.23</v>
      </c>
      <c r="P213" s="34">
        <f t="shared" si="3"/>
        <v>0.44333914470310731</v>
      </c>
    </row>
    <row r="214" spans="1:16">
      <c r="A214" s="32" t="s">
        <v>47</v>
      </c>
      <c r="B214" s="32">
        <v>250</v>
      </c>
      <c r="C214" s="32">
        <v>600</v>
      </c>
      <c r="D214" s="32">
        <v>7.19</v>
      </c>
      <c r="E214" s="32">
        <v>325.02437682826212</v>
      </c>
      <c r="F214" s="32">
        <v>6621.6504699390916</v>
      </c>
      <c r="G214" s="77">
        <v>4.9000000000000005E-6</v>
      </c>
      <c r="H214" s="32">
        <v>0.44900000000000001</v>
      </c>
      <c r="I214" s="32">
        <v>93.9</v>
      </c>
      <c r="J214" s="32">
        <v>1907</v>
      </c>
      <c r="K214" s="32">
        <v>2671</v>
      </c>
      <c r="L214" s="32">
        <v>0.75</v>
      </c>
      <c r="M214" s="34">
        <v>4.8456464865129947</v>
      </c>
      <c r="N214" s="32">
        <v>98.74</v>
      </c>
      <c r="O214" s="32">
        <v>49.37</v>
      </c>
      <c r="P214" s="34">
        <f t="shared" si="3"/>
        <v>0.5</v>
      </c>
    </row>
    <row r="215" spans="1:16">
      <c r="A215" s="32" t="s">
        <v>47</v>
      </c>
      <c r="B215" s="32">
        <v>300</v>
      </c>
      <c r="C215" s="32">
        <v>600</v>
      </c>
      <c r="D215" s="32">
        <v>7.19</v>
      </c>
      <c r="E215" s="32">
        <v>325.02437682826212</v>
      </c>
      <c r="F215" s="32">
        <v>6621.6504699390916</v>
      </c>
      <c r="G215" s="77">
        <v>4.9000000000000005E-6</v>
      </c>
      <c r="H215" s="32">
        <v>0.44900000000000001</v>
      </c>
      <c r="I215" s="32">
        <v>93.9</v>
      </c>
      <c r="J215" s="32">
        <v>1907</v>
      </c>
      <c r="K215" s="32">
        <v>2671</v>
      </c>
      <c r="L215" s="32">
        <v>0.75</v>
      </c>
      <c r="M215" s="34">
        <v>5.8147757838155938</v>
      </c>
      <c r="N215" s="32">
        <v>99.21</v>
      </c>
      <c r="O215" s="32">
        <v>36.880000000000003</v>
      </c>
      <c r="P215" s="34">
        <f t="shared" si="3"/>
        <v>0.37173672008870079</v>
      </c>
    </row>
    <row r="216" spans="1:16">
      <c r="A216" s="32" t="s">
        <v>47</v>
      </c>
      <c r="B216" s="32">
        <v>100</v>
      </c>
      <c r="C216" s="32">
        <v>900</v>
      </c>
      <c r="D216" s="32">
        <v>7.19</v>
      </c>
      <c r="E216" s="32">
        <v>325.02437682826212</v>
      </c>
      <c r="F216" s="32">
        <v>6621.6504699390916</v>
      </c>
      <c r="G216" s="77">
        <v>4.9000000000000005E-6</v>
      </c>
      <c r="H216" s="32">
        <v>0.44900000000000001</v>
      </c>
      <c r="I216" s="32">
        <v>93.9</v>
      </c>
      <c r="J216" s="32">
        <v>1907</v>
      </c>
      <c r="K216" s="32">
        <v>2671</v>
      </c>
      <c r="L216" s="32">
        <v>0.75</v>
      </c>
      <c r="M216" s="34">
        <v>1.5825815154489233</v>
      </c>
      <c r="N216" s="32">
        <v>58.81</v>
      </c>
      <c r="O216" s="32">
        <v>17.41</v>
      </c>
      <c r="P216" s="34">
        <f t="shared" si="3"/>
        <v>0.29603808876041487</v>
      </c>
    </row>
    <row r="217" spans="1:16">
      <c r="A217" s="32" t="s">
        <v>47</v>
      </c>
      <c r="B217" s="32">
        <v>150</v>
      </c>
      <c r="C217" s="32">
        <v>900</v>
      </c>
      <c r="D217" s="32">
        <v>7.19</v>
      </c>
      <c r="E217" s="32">
        <v>325.02437682826212</v>
      </c>
      <c r="F217" s="32">
        <v>6621.6504699390916</v>
      </c>
      <c r="G217" s="77">
        <v>4.9000000000000005E-6</v>
      </c>
      <c r="H217" s="32">
        <v>0.44900000000000001</v>
      </c>
      <c r="I217" s="32">
        <v>93.9</v>
      </c>
      <c r="J217" s="32">
        <v>1907</v>
      </c>
      <c r="K217" s="32">
        <v>2671</v>
      </c>
      <c r="L217" s="32">
        <v>0.75</v>
      </c>
      <c r="M217" s="34">
        <v>2.3738722731733852</v>
      </c>
      <c r="N217" s="32">
        <v>72.33</v>
      </c>
      <c r="O217" s="32">
        <v>23.15</v>
      </c>
      <c r="P217" s="34">
        <f t="shared" si="3"/>
        <v>0.32006083229641918</v>
      </c>
    </row>
    <row r="218" spans="1:16">
      <c r="A218" s="32" t="s">
        <v>47</v>
      </c>
      <c r="B218" s="32">
        <v>200</v>
      </c>
      <c r="C218" s="32">
        <v>900</v>
      </c>
      <c r="D218" s="32">
        <v>7.19</v>
      </c>
      <c r="E218" s="32">
        <v>325.02437682826212</v>
      </c>
      <c r="F218" s="32">
        <v>6621.6504699390916</v>
      </c>
      <c r="G218" s="77">
        <v>4.9000000000000005E-6</v>
      </c>
      <c r="H218" s="32">
        <v>0.44900000000000001</v>
      </c>
      <c r="I218" s="32">
        <v>93.9</v>
      </c>
      <c r="J218" s="32">
        <v>1907</v>
      </c>
      <c r="K218" s="32">
        <v>2671</v>
      </c>
      <c r="L218" s="32">
        <v>0.75</v>
      </c>
      <c r="M218" s="34">
        <v>3.1651630308978467</v>
      </c>
      <c r="N218" s="32">
        <v>73.97</v>
      </c>
      <c r="O218" s="32">
        <v>25.61</v>
      </c>
      <c r="P218" s="34">
        <f t="shared" si="3"/>
        <v>0.34622144112478032</v>
      </c>
    </row>
    <row r="219" spans="1:16">
      <c r="A219" s="32" t="s">
        <v>47</v>
      </c>
      <c r="B219" s="32">
        <v>250</v>
      </c>
      <c r="C219" s="32">
        <v>900</v>
      </c>
      <c r="D219" s="32">
        <v>7.19</v>
      </c>
      <c r="E219" s="32">
        <v>325.02437682826212</v>
      </c>
      <c r="F219" s="32">
        <v>6621.6504699390916</v>
      </c>
      <c r="G219" s="77">
        <v>4.9000000000000005E-6</v>
      </c>
      <c r="H219" s="32">
        <v>0.44900000000000001</v>
      </c>
      <c r="I219" s="32">
        <v>93.9</v>
      </c>
      <c r="J219" s="32">
        <v>1907</v>
      </c>
      <c r="K219" s="32">
        <v>2671</v>
      </c>
      <c r="L219" s="32">
        <v>0.75</v>
      </c>
      <c r="M219" s="34">
        <v>3.9564537886223086</v>
      </c>
      <c r="N219" s="32">
        <v>78.48</v>
      </c>
      <c r="O219" s="32">
        <v>26.66</v>
      </c>
      <c r="P219" s="34">
        <f t="shared" si="3"/>
        <v>0.33970438328236491</v>
      </c>
    </row>
    <row r="220" spans="1:16">
      <c r="A220" s="32" t="s">
        <v>47</v>
      </c>
      <c r="B220" s="32">
        <v>300</v>
      </c>
      <c r="C220" s="32">
        <v>900</v>
      </c>
      <c r="D220" s="32">
        <v>7.19</v>
      </c>
      <c r="E220" s="32">
        <v>325.02437682826212</v>
      </c>
      <c r="F220" s="32">
        <v>6621.6504699390916</v>
      </c>
      <c r="G220" s="77">
        <v>4.9000000000000005E-6</v>
      </c>
      <c r="H220" s="32">
        <v>0.44900000000000001</v>
      </c>
      <c r="I220" s="32">
        <v>93.9</v>
      </c>
      <c r="J220" s="32">
        <v>1907</v>
      </c>
      <c r="K220" s="32">
        <v>2671</v>
      </c>
      <c r="L220" s="32">
        <v>0.75</v>
      </c>
      <c r="M220" s="34">
        <v>4.7477445463467705</v>
      </c>
      <c r="N220" s="32">
        <v>85.85</v>
      </c>
      <c r="O220" s="32">
        <v>38.1</v>
      </c>
      <c r="P220" s="34">
        <f t="shared" si="3"/>
        <v>0.4437973209085615</v>
      </c>
    </row>
    <row r="221" spans="1:16">
      <c r="A221" s="32" t="s">
        <v>48</v>
      </c>
      <c r="B221" s="32">
        <v>200</v>
      </c>
      <c r="C221" s="32">
        <v>200</v>
      </c>
      <c r="D221" s="32">
        <v>7.8739999999999997</v>
      </c>
      <c r="E221" s="32">
        <v>247.11254364759603</v>
      </c>
      <c r="F221" s="32">
        <v>6088.2800608828011</v>
      </c>
      <c r="G221" s="77">
        <v>1.1800000000000001E-5</v>
      </c>
      <c r="H221" s="32">
        <v>0.44900000000000001</v>
      </c>
      <c r="I221" s="32">
        <v>80.400000000000006</v>
      </c>
      <c r="J221" s="32">
        <v>1538</v>
      </c>
      <c r="K221" s="32">
        <v>2862</v>
      </c>
      <c r="L221" s="32">
        <v>0.7</v>
      </c>
      <c r="M221" s="34">
        <v>10.508359424948425</v>
      </c>
      <c r="N221" s="32">
        <v>235.41</v>
      </c>
      <c r="O221" s="32">
        <v>120.66</v>
      </c>
      <c r="P221" s="34">
        <f t="shared" si="3"/>
        <v>0.51255256786032877</v>
      </c>
    </row>
    <row r="222" spans="1:16">
      <c r="A222" s="32" t="s">
        <v>48</v>
      </c>
      <c r="B222" s="32">
        <v>200</v>
      </c>
      <c r="C222" s="32">
        <v>400</v>
      </c>
      <c r="D222" s="32">
        <v>7.8739999999999997</v>
      </c>
      <c r="E222" s="32">
        <v>247.11254364759603</v>
      </c>
      <c r="F222" s="32">
        <v>6088.2800608828011</v>
      </c>
      <c r="G222" s="77">
        <v>1.1800000000000001E-5</v>
      </c>
      <c r="H222" s="32">
        <v>0.44900000000000001</v>
      </c>
      <c r="I222" s="32">
        <v>80.400000000000006</v>
      </c>
      <c r="J222" s="32">
        <v>1538</v>
      </c>
      <c r="K222" s="32">
        <v>2862</v>
      </c>
      <c r="L222" s="32">
        <v>0.7</v>
      </c>
      <c r="M222" s="34">
        <v>7.4305322085266008</v>
      </c>
      <c r="N222" s="32">
        <v>228.68</v>
      </c>
      <c r="O222" s="32">
        <v>105.68</v>
      </c>
      <c r="P222" s="34">
        <f t="shared" si="3"/>
        <v>0.4621304880181914</v>
      </c>
    </row>
    <row r="223" spans="1:16">
      <c r="A223" s="32" t="s">
        <v>48</v>
      </c>
      <c r="B223" s="32">
        <v>200</v>
      </c>
      <c r="C223" s="32">
        <v>600</v>
      </c>
      <c r="D223" s="32">
        <v>7.8739999999999997</v>
      </c>
      <c r="E223" s="32">
        <v>247.11254364759603</v>
      </c>
      <c r="F223" s="32">
        <v>6088.2800608828011</v>
      </c>
      <c r="G223" s="77">
        <v>1.1800000000000001E-5</v>
      </c>
      <c r="H223" s="32">
        <v>0.44900000000000001</v>
      </c>
      <c r="I223" s="32">
        <v>80.400000000000006</v>
      </c>
      <c r="J223" s="32">
        <v>1538</v>
      </c>
      <c r="K223" s="32">
        <v>2862</v>
      </c>
      <c r="L223" s="32">
        <v>0.7</v>
      </c>
      <c r="M223" s="34">
        <v>6.067004142735315</v>
      </c>
      <c r="N223" s="32">
        <v>166.16</v>
      </c>
      <c r="O223" s="32">
        <v>74.569999999999993</v>
      </c>
      <c r="P223" s="34">
        <f t="shared" si="3"/>
        <v>0.44878430428502647</v>
      </c>
    </row>
    <row r="224" spans="1:16">
      <c r="A224" s="32" t="s">
        <v>48</v>
      </c>
      <c r="B224" s="32">
        <v>200</v>
      </c>
      <c r="C224" s="32">
        <v>800</v>
      </c>
      <c r="D224" s="32">
        <v>7.8739999999999997</v>
      </c>
      <c r="E224" s="32">
        <v>247.11254364759603</v>
      </c>
      <c r="F224" s="32">
        <v>6088.2800608828011</v>
      </c>
      <c r="G224" s="77">
        <v>1.1800000000000001E-5</v>
      </c>
      <c r="H224" s="32">
        <v>0.44900000000000001</v>
      </c>
      <c r="I224" s="32">
        <v>80.400000000000006</v>
      </c>
      <c r="J224" s="32">
        <v>1538</v>
      </c>
      <c r="K224" s="32">
        <v>2862</v>
      </c>
      <c r="L224" s="32">
        <v>0.7</v>
      </c>
      <c r="M224" s="34">
        <v>5.2541797124742127</v>
      </c>
      <c r="N224" s="32">
        <v>137.49</v>
      </c>
      <c r="O224" s="32">
        <v>66.89</v>
      </c>
      <c r="P224" s="34">
        <f t="shared" si="3"/>
        <v>0.48650810968070402</v>
      </c>
    </row>
    <row r="225" spans="1:16">
      <c r="A225" s="32" t="s">
        <v>48</v>
      </c>
      <c r="B225" s="32">
        <v>200</v>
      </c>
      <c r="C225" s="32">
        <v>1200</v>
      </c>
      <c r="D225" s="32">
        <v>7.8739999999999997</v>
      </c>
      <c r="E225" s="32">
        <v>247.11254364759603</v>
      </c>
      <c r="F225" s="32">
        <v>6088.2800608828011</v>
      </c>
      <c r="G225" s="77">
        <v>1.1800000000000001E-5</v>
      </c>
      <c r="H225" s="32">
        <v>0.44900000000000001</v>
      </c>
      <c r="I225" s="32">
        <v>80.400000000000006</v>
      </c>
      <c r="J225" s="32">
        <v>1538</v>
      </c>
      <c r="K225" s="32">
        <v>2862</v>
      </c>
      <c r="L225" s="32">
        <v>0.7</v>
      </c>
      <c r="M225" s="34">
        <v>4.2900197708150172</v>
      </c>
      <c r="N225" s="32">
        <v>143.99</v>
      </c>
      <c r="O225" s="32">
        <v>55.31</v>
      </c>
      <c r="P225" s="34">
        <f t="shared" si="3"/>
        <v>0.38412389749288145</v>
      </c>
    </row>
    <row r="226" spans="1:16">
      <c r="A226" s="32" t="s">
        <v>48</v>
      </c>
      <c r="B226" s="32">
        <v>200</v>
      </c>
      <c r="C226" s="32">
        <v>1600</v>
      </c>
      <c r="D226" s="32">
        <v>7.8739999999999997</v>
      </c>
      <c r="E226" s="32">
        <v>247.11254364759603</v>
      </c>
      <c r="F226" s="32">
        <v>6088.2800608828011</v>
      </c>
      <c r="G226" s="77">
        <v>1.1800000000000001E-5</v>
      </c>
      <c r="H226" s="32">
        <v>0.44900000000000001</v>
      </c>
      <c r="I226" s="32">
        <v>80.400000000000006</v>
      </c>
      <c r="J226" s="32">
        <v>1538</v>
      </c>
      <c r="K226" s="32">
        <v>2862</v>
      </c>
      <c r="L226" s="32">
        <v>0.7</v>
      </c>
      <c r="M226" s="34">
        <v>3.7152661042633004</v>
      </c>
      <c r="N226" s="32">
        <v>122.11</v>
      </c>
      <c r="O226" s="32">
        <v>37.270000000000003</v>
      </c>
      <c r="P226" s="34">
        <f t="shared" si="3"/>
        <v>0.30521660797641476</v>
      </c>
    </row>
    <row r="227" spans="1:16">
      <c r="A227" s="32" t="s">
        <v>48</v>
      </c>
      <c r="B227" s="32">
        <v>200</v>
      </c>
      <c r="C227" s="32">
        <v>2000</v>
      </c>
      <c r="D227" s="32">
        <v>7.8739999999999997</v>
      </c>
      <c r="E227" s="32">
        <v>247.11254364759603</v>
      </c>
      <c r="F227" s="32">
        <v>6088.2800608828011</v>
      </c>
      <c r="G227" s="77">
        <v>1.1800000000000001E-5</v>
      </c>
      <c r="H227" s="32">
        <v>0.44900000000000001</v>
      </c>
      <c r="I227" s="32">
        <v>80.400000000000006</v>
      </c>
      <c r="J227" s="32">
        <v>1538</v>
      </c>
      <c r="K227" s="32">
        <v>2862</v>
      </c>
      <c r="L227" s="32">
        <v>0.7</v>
      </c>
      <c r="M227" s="34">
        <v>3.3230350254534247</v>
      </c>
      <c r="N227" s="32">
        <v>83.63</v>
      </c>
      <c r="O227" s="32">
        <v>41.77</v>
      </c>
      <c r="P227" s="34">
        <f t="shared" si="3"/>
        <v>0.49946191558053338</v>
      </c>
    </row>
    <row r="228" spans="1:16">
      <c r="A228" s="32" t="s">
        <v>48</v>
      </c>
      <c r="B228" s="32">
        <v>200</v>
      </c>
      <c r="C228" s="32">
        <v>2400</v>
      </c>
      <c r="D228" s="32">
        <v>7.8739999999999997</v>
      </c>
      <c r="E228" s="32">
        <v>247.11254364759603</v>
      </c>
      <c r="F228" s="32">
        <v>6088.2800608828011</v>
      </c>
      <c r="G228" s="77">
        <v>1.1800000000000001E-5</v>
      </c>
      <c r="H228" s="32">
        <v>0.44900000000000001</v>
      </c>
      <c r="I228" s="32">
        <v>80.400000000000006</v>
      </c>
      <c r="J228" s="32">
        <v>1538</v>
      </c>
      <c r="K228" s="32">
        <v>2862</v>
      </c>
      <c r="L228" s="32">
        <v>0.7</v>
      </c>
      <c r="M228" s="34">
        <v>3.0335020713676575</v>
      </c>
      <c r="N228" s="32">
        <v>80.14</v>
      </c>
      <c r="O228" s="32">
        <v>22.62</v>
      </c>
      <c r="P228" s="34">
        <f t="shared" si="3"/>
        <v>0.28225605190915898</v>
      </c>
    </row>
    <row r="229" spans="1:16">
      <c r="A229" s="32" t="s">
        <v>48</v>
      </c>
      <c r="B229" s="32">
        <v>350</v>
      </c>
      <c r="C229" s="32">
        <v>400</v>
      </c>
      <c r="D229" s="32">
        <v>7.8739999999999997</v>
      </c>
      <c r="E229" s="32">
        <v>247.11254364759603</v>
      </c>
      <c r="F229" s="32">
        <v>6088.2800608828011</v>
      </c>
      <c r="G229" s="77">
        <v>1.1800000000000001E-5</v>
      </c>
      <c r="H229" s="32">
        <v>0.44900000000000001</v>
      </c>
      <c r="I229" s="32">
        <v>80.400000000000006</v>
      </c>
      <c r="J229" s="32">
        <v>1538</v>
      </c>
      <c r="K229" s="32">
        <v>2862</v>
      </c>
      <c r="L229" s="32">
        <v>0.7</v>
      </c>
      <c r="M229" s="34">
        <v>13.003431364921552</v>
      </c>
      <c r="N229" s="32">
        <v>208.61</v>
      </c>
      <c r="O229" s="32">
        <v>154.06</v>
      </c>
      <c r="P229" s="34">
        <f t="shared" si="3"/>
        <v>0.73850726235559172</v>
      </c>
    </row>
    <row r="230" spans="1:16">
      <c r="A230" s="32" t="s">
        <v>48</v>
      </c>
      <c r="B230" s="32">
        <v>350</v>
      </c>
      <c r="C230" s="32">
        <v>600</v>
      </c>
      <c r="D230" s="32">
        <v>7.8739999999999997</v>
      </c>
      <c r="E230" s="32">
        <v>247.11254364759603</v>
      </c>
      <c r="F230" s="32">
        <v>6088.2800608828011</v>
      </c>
      <c r="G230" s="77">
        <v>1.1800000000000001E-5</v>
      </c>
      <c r="H230" s="32">
        <v>0.44900000000000001</v>
      </c>
      <c r="I230" s="32">
        <v>80.400000000000006</v>
      </c>
      <c r="J230" s="32">
        <v>1538</v>
      </c>
      <c r="K230" s="32">
        <v>2862</v>
      </c>
      <c r="L230" s="32">
        <v>0.7</v>
      </c>
      <c r="M230" s="34">
        <v>10.617257249786801</v>
      </c>
      <c r="N230" s="32">
        <v>193.67</v>
      </c>
      <c r="O230" s="32">
        <v>84.74</v>
      </c>
      <c r="P230" s="34">
        <f t="shared" si="3"/>
        <v>0.43754840708421544</v>
      </c>
    </row>
    <row r="231" spans="1:16">
      <c r="A231" s="32" t="s">
        <v>48</v>
      </c>
      <c r="B231" s="32">
        <v>350</v>
      </c>
      <c r="C231" s="32">
        <v>800</v>
      </c>
      <c r="D231" s="32">
        <v>7.8739999999999997</v>
      </c>
      <c r="E231" s="32">
        <v>247.11254364759603</v>
      </c>
      <c r="F231" s="32">
        <v>6088.2800608828011</v>
      </c>
      <c r="G231" s="77">
        <v>1.1800000000000001E-5</v>
      </c>
      <c r="H231" s="32">
        <v>0.44900000000000001</v>
      </c>
      <c r="I231" s="32">
        <v>80.400000000000006</v>
      </c>
      <c r="J231" s="32">
        <v>1538</v>
      </c>
      <c r="K231" s="32">
        <v>2862</v>
      </c>
      <c r="L231" s="32">
        <v>0.7</v>
      </c>
      <c r="M231" s="34">
        <v>9.1948144968298724</v>
      </c>
      <c r="N231" s="32">
        <v>157.65</v>
      </c>
      <c r="O231" s="32">
        <v>62.98</v>
      </c>
      <c r="P231" s="34">
        <f t="shared" si="3"/>
        <v>0.39949254678084362</v>
      </c>
    </row>
    <row r="232" spans="1:16">
      <c r="A232" s="32" t="s">
        <v>48</v>
      </c>
      <c r="B232" s="32">
        <v>350</v>
      </c>
      <c r="C232" s="32">
        <v>1000</v>
      </c>
      <c r="D232" s="32">
        <v>7.8739999999999997</v>
      </c>
      <c r="E232" s="32">
        <v>247.11254364759603</v>
      </c>
      <c r="F232" s="32">
        <v>6088.2800608828011</v>
      </c>
      <c r="G232" s="77">
        <v>1.1800000000000001E-5</v>
      </c>
      <c r="H232" s="32">
        <v>0.44900000000000001</v>
      </c>
      <c r="I232" s="32">
        <v>80.400000000000006</v>
      </c>
      <c r="J232" s="32">
        <v>1538</v>
      </c>
      <c r="K232" s="32">
        <v>2862</v>
      </c>
      <c r="L232" s="32">
        <v>0.7</v>
      </c>
      <c r="M232" s="34">
        <v>8.2240921021648496</v>
      </c>
      <c r="N232" s="32">
        <v>136.99</v>
      </c>
      <c r="O232" s="32">
        <v>61.17</v>
      </c>
      <c r="P232" s="34">
        <f t="shared" si="3"/>
        <v>0.44652894371851959</v>
      </c>
    </row>
    <row r="233" spans="1:16">
      <c r="A233" s="32" t="s">
        <v>48</v>
      </c>
      <c r="B233" s="32">
        <v>350</v>
      </c>
      <c r="C233" s="32">
        <v>1200</v>
      </c>
      <c r="D233" s="32">
        <v>7.8739999999999997</v>
      </c>
      <c r="E233" s="32">
        <v>247.11254364759603</v>
      </c>
      <c r="F233" s="32">
        <v>6088.2800608828011</v>
      </c>
      <c r="G233" s="77">
        <v>1.1800000000000001E-5</v>
      </c>
      <c r="H233" s="32">
        <v>0.44900000000000001</v>
      </c>
      <c r="I233" s="32">
        <v>80.400000000000006</v>
      </c>
      <c r="J233" s="32">
        <v>1538</v>
      </c>
      <c r="K233" s="32">
        <v>2862</v>
      </c>
      <c r="L233" s="32">
        <v>0.7</v>
      </c>
      <c r="M233" s="34">
        <v>7.5075345989262807</v>
      </c>
      <c r="N233" s="32">
        <v>127.2</v>
      </c>
      <c r="O233" s="32">
        <v>43.29</v>
      </c>
      <c r="P233" s="34">
        <f t="shared" si="3"/>
        <v>0.34033018867924525</v>
      </c>
    </row>
    <row r="234" spans="1:16">
      <c r="A234" s="32" t="s">
        <v>48</v>
      </c>
      <c r="B234" s="32">
        <v>350</v>
      </c>
      <c r="C234" s="32">
        <v>1600</v>
      </c>
      <c r="D234" s="32">
        <v>7.8739999999999997</v>
      </c>
      <c r="E234" s="32">
        <v>247.11254364759603</v>
      </c>
      <c r="F234" s="32">
        <v>6088.2800608828011</v>
      </c>
      <c r="G234" s="77">
        <v>1.1800000000000001E-5</v>
      </c>
      <c r="H234" s="32">
        <v>0.44900000000000001</v>
      </c>
      <c r="I234" s="32">
        <v>80.400000000000006</v>
      </c>
      <c r="J234" s="32">
        <v>1538</v>
      </c>
      <c r="K234" s="32">
        <v>2862</v>
      </c>
      <c r="L234" s="32">
        <v>0.7</v>
      </c>
      <c r="M234" s="34">
        <v>6.5017156824607758</v>
      </c>
      <c r="N234" s="32">
        <v>114.6</v>
      </c>
      <c r="O234" s="32">
        <v>22.09</v>
      </c>
      <c r="P234" s="34">
        <f t="shared" si="3"/>
        <v>0.19275741710296684</v>
      </c>
    </row>
    <row r="235" spans="1:16">
      <c r="A235" s="32" t="s">
        <v>48</v>
      </c>
      <c r="B235" s="32">
        <v>350</v>
      </c>
      <c r="C235" s="32">
        <v>2000</v>
      </c>
      <c r="D235" s="32">
        <v>7.8739999999999997</v>
      </c>
      <c r="E235" s="32">
        <v>247.11254364759603</v>
      </c>
      <c r="F235" s="32">
        <v>6088.2800608828011</v>
      </c>
      <c r="G235" s="77">
        <v>1.1800000000000001E-5</v>
      </c>
      <c r="H235" s="32">
        <v>0.44900000000000001</v>
      </c>
      <c r="I235" s="32">
        <v>80.400000000000006</v>
      </c>
      <c r="J235" s="32">
        <v>1538</v>
      </c>
      <c r="K235" s="32">
        <v>2862</v>
      </c>
      <c r="L235" s="32">
        <v>0.7</v>
      </c>
      <c r="M235" s="34">
        <v>5.815311294543493</v>
      </c>
      <c r="N235" s="32">
        <v>110.25</v>
      </c>
      <c r="O235" s="32">
        <v>22.3</v>
      </c>
      <c r="P235" s="34">
        <f t="shared" si="3"/>
        <v>0.20226757369614512</v>
      </c>
    </row>
    <row r="236" spans="1:16">
      <c r="A236" s="32" t="s">
        <v>48</v>
      </c>
      <c r="B236" s="32">
        <v>350</v>
      </c>
      <c r="C236" s="32">
        <v>2400</v>
      </c>
      <c r="D236" s="32">
        <v>7.8739999999999997</v>
      </c>
      <c r="E236" s="32">
        <v>247.11254364759603</v>
      </c>
      <c r="F236" s="32">
        <v>6088.2800608828011</v>
      </c>
      <c r="G236" s="77">
        <v>1.1800000000000001E-5</v>
      </c>
      <c r="H236" s="32">
        <v>0.44900000000000001</v>
      </c>
      <c r="I236" s="32">
        <v>80.400000000000006</v>
      </c>
      <c r="J236" s="32">
        <v>1538</v>
      </c>
      <c r="K236" s="32">
        <v>2862</v>
      </c>
      <c r="L236" s="32">
        <v>0.7</v>
      </c>
      <c r="M236" s="34">
        <v>5.3086286248934007</v>
      </c>
      <c r="N236" s="32">
        <v>106.15</v>
      </c>
      <c r="O236" s="32">
        <v>21.99</v>
      </c>
      <c r="P236" s="34">
        <f t="shared" si="3"/>
        <v>0.20715967969853977</v>
      </c>
    </row>
    <row r="237" spans="1:16">
      <c r="A237" s="32" t="s">
        <v>48</v>
      </c>
      <c r="B237" s="32">
        <v>100</v>
      </c>
      <c r="C237" s="32">
        <v>300</v>
      </c>
      <c r="D237" s="32">
        <v>7.8739999999999997</v>
      </c>
      <c r="E237" s="32">
        <v>247.11254364759603</v>
      </c>
      <c r="F237" s="32">
        <v>6088.2800608828011</v>
      </c>
      <c r="G237" s="77">
        <v>1.1800000000000001E-5</v>
      </c>
      <c r="H237" s="32">
        <v>0.44900000000000001</v>
      </c>
      <c r="I237" s="32">
        <v>80.400000000000006</v>
      </c>
      <c r="J237" s="32">
        <v>1538</v>
      </c>
      <c r="K237" s="32">
        <v>2862</v>
      </c>
      <c r="L237" s="32">
        <v>0.7</v>
      </c>
      <c r="M237" s="34">
        <v>4.2900197708150172</v>
      </c>
      <c r="N237" s="32">
        <v>109.43</v>
      </c>
      <c r="O237" s="32">
        <v>97.77</v>
      </c>
      <c r="P237" s="34">
        <f t="shared" si="3"/>
        <v>0.8934478662158456</v>
      </c>
    </row>
    <row r="238" spans="1:16">
      <c r="A238" s="32" t="s">
        <v>48</v>
      </c>
      <c r="B238" s="32">
        <v>150</v>
      </c>
      <c r="C238" s="32">
        <v>300</v>
      </c>
      <c r="D238" s="32">
        <v>7.8739999999999997</v>
      </c>
      <c r="E238" s="32">
        <v>247.11254364759603</v>
      </c>
      <c r="F238" s="32">
        <v>6088.2800608828011</v>
      </c>
      <c r="G238" s="77">
        <v>1.1800000000000001E-5</v>
      </c>
      <c r="H238" s="32">
        <v>0.44900000000000001</v>
      </c>
      <c r="I238" s="32">
        <v>80.400000000000006</v>
      </c>
      <c r="J238" s="32">
        <v>1538</v>
      </c>
      <c r="K238" s="32">
        <v>2862</v>
      </c>
      <c r="L238" s="32">
        <v>0.7</v>
      </c>
      <c r="M238" s="34">
        <v>6.4350296562225262</v>
      </c>
      <c r="N238" s="32">
        <v>129</v>
      </c>
      <c r="O238" s="32">
        <v>169.47</v>
      </c>
      <c r="P238" s="34">
        <f t="shared" si="3"/>
        <v>1.3137209302325581</v>
      </c>
    </row>
    <row r="239" spans="1:16">
      <c r="A239" s="32" t="s">
        <v>48</v>
      </c>
      <c r="B239" s="32">
        <v>200</v>
      </c>
      <c r="C239" s="32">
        <v>300</v>
      </c>
      <c r="D239" s="32">
        <v>7.8739999999999997</v>
      </c>
      <c r="E239" s="32">
        <v>247.11254364759603</v>
      </c>
      <c r="F239" s="32">
        <v>6088.2800608828011</v>
      </c>
      <c r="G239" s="77">
        <v>1.1800000000000001E-5</v>
      </c>
      <c r="H239" s="32">
        <v>0.44900000000000001</v>
      </c>
      <c r="I239" s="32">
        <v>80.400000000000006</v>
      </c>
      <c r="J239" s="32">
        <v>1538</v>
      </c>
      <c r="K239" s="32">
        <v>2862</v>
      </c>
      <c r="L239" s="32">
        <v>0.7</v>
      </c>
      <c r="M239" s="34">
        <v>8.5800395416300343</v>
      </c>
      <c r="N239" s="32">
        <v>160.62</v>
      </c>
      <c r="O239" s="32">
        <v>254.31</v>
      </c>
      <c r="P239" s="34">
        <f t="shared" si="3"/>
        <v>1.5833022039596563</v>
      </c>
    </row>
    <row r="240" spans="1:16">
      <c r="A240" s="32" t="s">
        <v>48</v>
      </c>
      <c r="B240" s="32">
        <v>250</v>
      </c>
      <c r="C240" s="32">
        <v>300</v>
      </c>
      <c r="D240" s="32">
        <v>7.8739999999999997</v>
      </c>
      <c r="E240" s="32">
        <v>247.11254364759603</v>
      </c>
      <c r="F240" s="32">
        <v>6088.2800608828011</v>
      </c>
      <c r="G240" s="77">
        <v>1.1800000000000001E-5</v>
      </c>
      <c r="H240" s="32">
        <v>0.44900000000000001</v>
      </c>
      <c r="I240" s="32">
        <v>80.400000000000006</v>
      </c>
      <c r="J240" s="32">
        <v>1538</v>
      </c>
      <c r="K240" s="32">
        <v>2862</v>
      </c>
      <c r="L240" s="32">
        <v>0.7</v>
      </c>
      <c r="M240" s="34">
        <v>10.725049427037545</v>
      </c>
      <c r="N240" s="32">
        <v>177.23</v>
      </c>
      <c r="O240" s="32">
        <v>331.7</v>
      </c>
      <c r="P240" s="34">
        <f t="shared" si="3"/>
        <v>1.8715793037296169</v>
      </c>
    </row>
    <row r="241" spans="1:16">
      <c r="A241" s="32" t="s">
        <v>48</v>
      </c>
      <c r="B241" s="32">
        <v>300</v>
      </c>
      <c r="C241" s="32">
        <v>300</v>
      </c>
      <c r="D241" s="32">
        <v>7.8739999999999997</v>
      </c>
      <c r="E241" s="32">
        <v>247.11254364759603</v>
      </c>
      <c r="F241" s="32">
        <v>6088.2800608828011</v>
      </c>
      <c r="G241" s="77">
        <v>1.1800000000000001E-5</v>
      </c>
      <c r="H241" s="32">
        <v>0.44900000000000001</v>
      </c>
      <c r="I241" s="32">
        <v>80.400000000000006</v>
      </c>
      <c r="J241" s="32">
        <v>1538</v>
      </c>
      <c r="K241" s="32">
        <v>2862</v>
      </c>
      <c r="L241" s="32">
        <v>0.7</v>
      </c>
      <c r="M241" s="34">
        <v>12.870059312445052</v>
      </c>
      <c r="N241" s="32">
        <v>247.28</v>
      </c>
      <c r="O241" s="32">
        <v>215.59</v>
      </c>
      <c r="P241" s="34">
        <f t="shared" si="3"/>
        <v>0.87184568100938209</v>
      </c>
    </row>
    <row r="242" spans="1:16">
      <c r="A242" s="32" t="s">
        <v>48</v>
      </c>
      <c r="B242" s="32">
        <v>100</v>
      </c>
      <c r="C242" s="32">
        <v>600</v>
      </c>
      <c r="D242" s="32">
        <v>7.8739999999999997</v>
      </c>
      <c r="E242" s="32">
        <v>247.11254364759603</v>
      </c>
      <c r="F242" s="32">
        <v>6088.2800608828011</v>
      </c>
      <c r="G242" s="77">
        <v>1.1800000000000001E-5</v>
      </c>
      <c r="H242" s="32">
        <v>0.44900000000000001</v>
      </c>
      <c r="I242" s="32">
        <v>80.400000000000006</v>
      </c>
      <c r="J242" s="32">
        <v>1538</v>
      </c>
      <c r="K242" s="32">
        <v>2862</v>
      </c>
      <c r="L242" s="32">
        <v>0.7</v>
      </c>
      <c r="M242" s="34">
        <v>3.0335020713676575</v>
      </c>
      <c r="N242" s="32">
        <v>65.55</v>
      </c>
      <c r="O242" s="32">
        <v>14.8</v>
      </c>
      <c r="P242" s="34">
        <f t="shared" si="3"/>
        <v>0.22578184591914571</v>
      </c>
    </row>
    <row r="243" spans="1:16">
      <c r="A243" s="32" t="s">
        <v>48</v>
      </c>
      <c r="B243" s="32">
        <v>150</v>
      </c>
      <c r="C243" s="32">
        <v>600</v>
      </c>
      <c r="D243" s="32">
        <v>7.8739999999999997</v>
      </c>
      <c r="E243" s="32">
        <v>247.11254364759603</v>
      </c>
      <c r="F243" s="32">
        <v>6088.2800608828011</v>
      </c>
      <c r="G243" s="77">
        <v>1.1800000000000001E-5</v>
      </c>
      <c r="H243" s="32">
        <v>0.44900000000000001</v>
      </c>
      <c r="I243" s="32">
        <v>80.400000000000006</v>
      </c>
      <c r="J243" s="32">
        <v>1538</v>
      </c>
      <c r="K243" s="32">
        <v>2862</v>
      </c>
      <c r="L243" s="32">
        <v>0.7</v>
      </c>
      <c r="M243" s="34">
        <v>4.5502531070514864</v>
      </c>
      <c r="N243" s="32">
        <v>104.59</v>
      </c>
      <c r="O243" s="32">
        <v>23.12</v>
      </c>
      <c r="P243" s="34">
        <f t="shared" si="3"/>
        <v>0.22105363801510661</v>
      </c>
    </row>
    <row r="244" spans="1:16">
      <c r="A244" s="32" t="s">
        <v>48</v>
      </c>
      <c r="B244" s="32">
        <v>200</v>
      </c>
      <c r="C244" s="32">
        <v>600</v>
      </c>
      <c r="D244" s="32">
        <v>7.8739999999999997</v>
      </c>
      <c r="E244" s="32">
        <v>247.11254364759603</v>
      </c>
      <c r="F244" s="32">
        <v>6088.2800608828011</v>
      </c>
      <c r="G244" s="77">
        <v>1.1800000000000001E-5</v>
      </c>
      <c r="H244" s="32">
        <v>0.44900000000000001</v>
      </c>
      <c r="I244" s="32">
        <v>80.400000000000006</v>
      </c>
      <c r="J244" s="32">
        <v>1538</v>
      </c>
      <c r="K244" s="32">
        <v>2862</v>
      </c>
      <c r="L244" s="32">
        <v>0.7</v>
      </c>
      <c r="M244" s="34">
        <v>6.067004142735315</v>
      </c>
      <c r="N244" s="32">
        <v>135.30000000000001</v>
      </c>
      <c r="O244" s="32">
        <v>104</v>
      </c>
      <c r="P244" s="34">
        <f t="shared" si="3"/>
        <v>0.76866223207686613</v>
      </c>
    </row>
    <row r="245" spans="1:16">
      <c r="A245" s="32" t="s">
        <v>48</v>
      </c>
      <c r="B245" s="32">
        <v>250</v>
      </c>
      <c r="C245" s="32">
        <v>600</v>
      </c>
      <c r="D245" s="32">
        <v>7.8739999999999997</v>
      </c>
      <c r="E245" s="32">
        <v>247.11254364759603</v>
      </c>
      <c r="F245" s="32">
        <v>6088.2800608828011</v>
      </c>
      <c r="G245" s="77">
        <v>1.1800000000000001E-5</v>
      </c>
      <c r="H245" s="32">
        <v>0.44900000000000001</v>
      </c>
      <c r="I245" s="32">
        <v>80.400000000000006</v>
      </c>
      <c r="J245" s="32">
        <v>1538</v>
      </c>
      <c r="K245" s="32">
        <v>2862</v>
      </c>
      <c r="L245" s="32">
        <v>0.7</v>
      </c>
      <c r="M245" s="34">
        <v>7.5837551784191444</v>
      </c>
      <c r="N245" s="32">
        <v>164.43</v>
      </c>
      <c r="O245" s="32">
        <v>124</v>
      </c>
      <c r="P245" s="34">
        <f t="shared" si="3"/>
        <v>0.75412029435017935</v>
      </c>
    </row>
    <row r="246" spans="1:16">
      <c r="A246" s="32" t="s">
        <v>48</v>
      </c>
      <c r="B246" s="32">
        <v>300</v>
      </c>
      <c r="C246" s="32">
        <v>600</v>
      </c>
      <c r="D246" s="32">
        <v>7.8739999999999997</v>
      </c>
      <c r="E246" s="32">
        <v>247.11254364759603</v>
      </c>
      <c r="F246" s="32">
        <v>6088.2800608828011</v>
      </c>
      <c r="G246" s="77">
        <v>1.1800000000000001E-5</v>
      </c>
      <c r="H246" s="32">
        <v>0.44900000000000001</v>
      </c>
      <c r="I246" s="32">
        <v>80.400000000000006</v>
      </c>
      <c r="J246" s="32">
        <v>1538</v>
      </c>
      <c r="K246" s="32">
        <v>2862</v>
      </c>
      <c r="L246" s="32">
        <v>0.7</v>
      </c>
      <c r="M246" s="34">
        <v>9.1005062141029729</v>
      </c>
      <c r="N246" s="32">
        <v>188.5</v>
      </c>
      <c r="O246" s="32">
        <v>128.53</v>
      </c>
      <c r="P246" s="34">
        <f t="shared" si="3"/>
        <v>0.68185676392572947</v>
      </c>
    </row>
    <row r="247" spans="1:16">
      <c r="A247" s="32" t="s">
        <v>48</v>
      </c>
      <c r="B247" s="32">
        <v>100</v>
      </c>
      <c r="C247" s="32">
        <v>900</v>
      </c>
      <c r="D247" s="32">
        <v>7.8739999999999997</v>
      </c>
      <c r="E247" s="32">
        <v>247.11254364759603</v>
      </c>
      <c r="F247" s="32">
        <v>6088.2800608828011</v>
      </c>
      <c r="G247" s="77">
        <v>1.1800000000000001E-5</v>
      </c>
      <c r="H247" s="32">
        <v>0.44900000000000001</v>
      </c>
      <c r="I247" s="32">
        <v>80.400000000000006</v>
      </c>
      <c r="J247" s="32">
        <v>1538</v>
      </c>
      <c r="K247" s="32">
        <v>2862</v>
      </c>
      <c r="L247" s="32">
        <v>0.7</v>
      </c>
      <c r="M247" s="34">
        <v>2.4768440695088669</v>
      </c>
      <c r="N247" s="32">
        <v>75.41</v>
      </c>
      <c r="O247" s="32">
        <v>29.8</v>
      </c>
      <c r="P247" s="34">
        <f t="shared" si="3"/>
        <v>0.39517305397162183</v>
      </c>
    </row>
    <row r="248" spans="1:16">
      <c r="A248" s="32" t="s">
        <v>48</v>
      </c>
      <c r="B248" s="32">
        <v>150</v>
      </c>
      <c r="C248" s="32">
        <v>900</v>
      </c>
      <c r="D248" s="32">
        <v>7.8739999999999997</v>
      </c>
      <c r="E248" s="32">
        <v>247.11254364759603</v>
      </c>
      <c r="F248" s="32">
        <v>6088.2800608828011</v>
      </c>
      <c r="G248" s="77">
        <v>1.1800000000000001E-5</v>
      </c>
      <c r="H248" s="32">
        <v>0.44900000000000001</v>
      </c>
      <c r="I248" s="32">
        <v>80.400000000000006</v>
      </c>
      <c r="J248" s="32">
        <v>1538</v>
      </c>
      <c r="K248" s="32">
        <v>2862</v>
      </c>
      <c r="L248" s="32">
        <v>0.7</v>
      </c>
      <c r="M248" s="34">
        <v>3.7152661042633004</v>
      </c>
      <c r="N248" s="32">
        <v>106.75</v>
      </c>
      <c r="O248" s="32">
        <v>39.36</v>
      </c>
      <c r="P248" s="34">
        <f t="shared" si="3"/>
        <v>0.36871194379391098</v>
      </c>
    </row>
    <row r="249" spans="1:16">
      <c r="A249" s="32" t="s">
        <v>48</v>
      </c>
      <c r="B249" s="32">
        <v>200</v>
      </c>
      <c r="C249" s="32">
        <v>900</v>
      </c>
      <c r="D249" s="32">
        <v>7.8739999999999997</v>
      </c>
      <c r="E249" s="32">
        <v>247.11254364759603</v>
      </c>
      <c r="F249" s="32">
        <v>6088.2800608828011</v>
      </c>
      <c r="G249" s="77">
        <v>1.1800000000000001E-5</v>
      </c>
      <c r="H249" s="32">
        <v>0.44900000000000001</v>
      </c>
      <c r="I249" s="32">
        <v>80.400000000000006</v>
      </c>
      <c r="J249" s="32">
        <v>1538</v>
      </c>
      <c r="K249" s="32">
        <v>2862</v>
      </c>
      <c r="L249" s="32">
        <v>0.7</v>
      </c>
      <c r="M249" s="34">
        <v>4.9536881390177339</v>
      </c>
      <c r="N249" s="32">
        <v>125.17</v>
      </c>
      <c r="O249" s="32">
        <v>59</v>
      </c>
      <c r="P249" s="34">
        <f t="shared" si="3"/>
        <v>0.47135895182551729</v>
      </c>
    </row>
    <row r="250" spans="1:16">
      <c r="A250" s="32" t="s">
        <v>48</v>
      </c>
      <c r="B250" s="32">
        <v>250</v>
      </c>
      <c r="C250" s="32">
        <v>900</v>
      </c>
      <c r="D250" s="32">
        <v>7.8739999999999997</v>
      </c>
      <c r="E250" s="32">
        <v>247.11254364759603</v>
      </c>
      <c r="F250" s="32">
        <v>6088.2800608828011</v>
      </c>
      <c r="G250" s="77">
        <v>1.1800000000000001E-5</v>
      </c>
      <c r="H250" s="32">
        <v>0.44900000000000001</v>
      </c>
      <c r="I250" s="32">
        <v>80.400000000000006</v>
      </c>
      <c r="J250" s="32">
        <v>1538</v>
      </c>
      <c r="K250" s="32">
        <v>2862</v>
      </c>
      <c r="L250" s="32">
        <v>0.7</v>
      </c>
      <c r="M250" s="34">
        <v>6.1921101737721678</v>
      </c>
      <c r="N250" s="32">
        <v>122.1</v>
      </c>
      <c r="O250" s="32">
        <v>57.57</v>
      </c>
      <c r="P250" s="34">
        <f t="shared" si="3"/>
        <v>0.47149877149877151</v>
      </c>
    </row>
    <row r="251" spans="1:16">
      <c r="A251" s="32" t="s">
        <v>48</v>
      </c>
      <c r="B251" s="32">
        <v>300</v>
      </c>
      <c r="C251" s="32">
        <v>900</v>
      </c>
      <c r="D251" s="32">
        <v>7.8739999999999997</v>
      </c>
      <c r="E251" s="32">
        <v>247.11254364759603</v>
      </c>
      <c r="F251" s="32">
        <v>6088.2800608828011</v>
      </c>
      <c r="G251" s="77">
        <v>1.1800000000000001E-5</v>
      </c>
      <c r="H251" s="32">
        <v>0.44900000000000001</v>
      </c>
      <c r="I251" s="32">
        <v>80.400000000000006</v>
      </c>
      <c r="J251" s="32">
        <v>1538</v>
      </c>
      <c r="K251" s="32">
        <v>2862</v>
      </c>
      <c r="L251" s="32">
        <v>0.7</v>
      </c>
      <c r="M251" s="34">
        <v>7.4305322085266008</v>
      </c>
      <c r="N251" s="32">
        <v>148.53</v>
      </c>
      <c r="O251" s="32">
        <v>68</v>
      </c>
      <c r="P251" s="34">
        <f t="shared" si="3"/>
        <v>0.45781996902982564</v>
      </c>
    </row>
    <row r="252" spans="1:16">
      <c r="A252" s="32" t="s">
        <v>49</v>
      </c>
      <c r="B252" s="32">
        <v>200</v>
      </c>
      <c r="C252" s="32">
        <v>200</v>
      </c>
      <c r="D252" s="32">
        <v>8.9</v>
      </c>
      <c r="E252" s="32">
        <v>274.8875277318246</v>
      </c>
      <c r="F252" s="32">
        <v>6397.0739478332025</v>
      </c>
      <c r="G252" s="77">
        <v>1.2999999999999999E-5</v>
      </c>
      <c r="H252" s="32">
        <v>0.42099999999999999</v>
      </c>
      <c r="I252" s="32">
        <v>100</v>
      </c>
      <c r="J252" s="32">
        <v>1495</v>
      </c>
      <c r="K252" s="32">
        <v>2927</v>
      </c>
      <c r="L252" s="32">
        <v>0.65</v>
      </c>
      <c r="M252" s="34">
        <v>10.378446984933904</v>
      </c>
      <c r="N252" s="32">
        <v>230.92</v>
      </c>
      <c r="O252" s="32">
        <v>213.32</v>
      </c>
      <c r="P252" s="34">
        <f t="shared" si="3"/>
        <v>0.92378312835614063</v>
      </c>
    </row>
    <row r="253" spans="1:16">
      <c r="A253" s="32" t="s">
        <v>49</v>
      </c>
      <c r="B253" s="32">
        <v>200</v>
      </c>
      <c r="C253" s="32">
        <v>400</v>
      </c>
      <c r="D253" s="32">
        <v>8.9</v>
      </c>
      <c r="E253" s="32">
        <v>274.8875277318246</v>
      </c>
      <c r="F253" s="32">
        <v>6397.0739478332025</v>
      </c>
      <c r="G253" s="77">
        <v>1.2999999999999999E-5</v>
      </c>
      <c r="H253" s="32">
        <v>0.42099999999999999</v>
      </c>
      <c r="I253" s="32">
        <v>100</v>
      </c>
      <c r="J253" s="32">
        <v>1495</v>
      </c>
      <c r="K253" s="32">
        <v>2927</v>
      </c>
      <c r="L253" s="32">
        <v>0.65</v>
      </c>
      <c r="M253" s="34">
        <v>7.3386702412318403</v>
      </c>
      <c r="N253" s="32">
        <v>136.03</v>
      </c>
      <c r="O253" s="32">
        <v>228.28</v>
      </c>
      <c r="P253" s="34">
        <f t="shared" si="3"/>
        <v>1.6781592295817098</v>
      </c>
    </row>
    <row r="254" spans="1:16">
      <c r="A254" s="32" t="s">
        <v>49</v>
      </c>
      <c r="B254" s="32">
        <v>200</v>
      </c>
      <c r="C254" s="32">
        <v>600</v>
      </c>
      <c r="D254" s="32">
        <v>8.9</v>
      </c>
      <c r="E254" s="32">
        <v>274.8875277318246</v>
      </c>
      <c r="F254" s="32">
        <v>6397.0739478332025</v>
      </c>
      <c r="G254" s="77">
        <v>1.2999999999999999E-5</v>
      </c>
      <c r="H254" s="32">
        <v>0.42099999999999999</v>
      </c>
      <c r="I254" s="32">
        <v>100</v>
      </c>
      <c r="J254" s="32">
        <v>1495</v>
      </c>
      <c r="K254" s="32">
        <v>2927</v>
      </c>
      <c r="L254" s="32">
        <v>0.65</v>
      </c>
      <c r="M254" s="34">
        <v>5.9919991605218499</v>
      </c>
      <c r="N254" s="32">
        <v>89.96</v>
      </c>
      <c r="O254" s="32">
        <v>127.64</v>
      </c>
      <c r="P254" s="34">
        <f t="shared" si="3"/>
        <v>1.418852823477101</v>
      </c>
    </row>
    <row r="255" spans="1:16">
      <c r="A255" s="32" t="s">
        <v>49</v>
      </c>
      <c r="B255" s="32">
        <v>200</v>
      </c>
      <c r="C255" s="32">
        <v>800</v>
      </c>
      <c r="D255" s="32">
        <v>8.9</v>
      </c>
      <c r="E255" s="32">
        <v>274.8875277318246</v>
      </c>
      <c r="F255" s="32">
        <v>6397.0739478332025</v>
      </c>
      <c r="G255" s="77">
        <v>1.2999999999999999E-5</v>
      </c>
      <c r="H255" s="32">
        <v>0.42099999999999999</v>
      </c>
      <c r="I255" s="32">
        <v>100</v>
      </c>
      <c r="J255" s="32">
        <v>1495</v>
      </c>
      <c r="K255" s="32">
        <v>2927</v>
      </c>
      <c r="L255" s="32">
        <v>0.65</v>
      </c>
      <c r="M255" s="34">
        <v>5.1892234924669518</v>
      </c>
      <c r="N255" s="32">
        <v>91.29</v>
      </c>
      <c r="O255" s="32">
        <v>54.35</v>
      </c>
      <c r="P255" s="34">
        <f t="shared" si="3"/>
        <v>0.59535546062000222</v>
      </c>
    </row>
    <row r="256" spans="1:16">
      <c r="A256" s="32" t="s">
        <v>49</v>
      </c>
      <c r="B256" s="32">
        <v>200</v>
      </c>
      <c r="C256" s="32">
        <v>1200</v>
      </c>
      <c r="D256" s="32">
        <v>8.9</v>
      </c>
      <c r="E256" s="32">
        <v>274.8875277318246</v>
      </c>
      <c r="F256" s="32">
        <v>6397.0739478332025</v>
      </c>
      <c r="G256" s="77">
        <v>1.2999999999999999E-5</v>
      </c>
      <c r="H256" s="32">
        <v>0.42099999999999999</v>
      </c>
      <c r="I256" s="32">
        <v>100</v>
      </c>
      <c r="J256" s="32">
        <v>1495</v>
      </c>
      <c r="K256" s="32">
        <v>2927</v>
      </c>
      <c r="L256" s="32">
        <v>0.65</v>
      </c>
      <c r="M256" s="34">
        <v>4.2369832392690991</v>
      </c>
      <c r="N256" s="32">
        <v>99.77</v>
      </c>
      <c r="O256" s="32">
        <v>37.83</v>
      </c>
      <c r="P256" s="34">
        <f t="shared" si="3"/>
        <v>0.37917209582038691</v>
      </c>
    </row>
    <row r="257" spans="1:16">
      <c r="A257" s="32" t="s">
        <v>49</v>
      </c>
      <c r="B257" s="32">
        <v>200</v>
      </c>
      <c r="C257" s="32">
        <v>1600</v>
      </c>
      <c r="D257" s="32">
        <v>8.9</v>
      </c>
      <c r="E257" s="32">
        <v>274.8875277318246</v>
      </c>
      <c r="F257" s="32">
        <v>6397.0739478332025</v>
      </c>
      <c r="G257" s="77">
        <v>1.2999999999999999E-5</v>
      </c>
      <c r="H257" s="32">
        <v>0.42099999999999999</v>
      </c>
      <c r="I257" s="32">
        <v>100</v>
      </c>
      <c r="J257" s="32">
        <v>1495</v>
      </c>
      <c r="K257" s="32">
        <v>2927</v>
      </c>
      <c r="L257" s="32">
        <v>0.65</v>
      </c>
      <c r="M257" s="34">
        <v>3.6693351206159202</v>
      </c>
      <c r="N257" s="32">
        <v>87</v>
      </c>
      <c r="O257" s="32">
        <v>13.57</v>
      </c>
      <c r="P257" s="34">
        <f t="shared" si="3"/>
        <v>0.15597701149425289</v>
      </c>
    </row>
    <row r="258" spans="1:16">
      <c r="A258" s="32" t="s">
        <v>49</v>
      </c>
      <c r="B258" s="32">
        <v>200</v>
      </c>
      <c r="C258" s="32">
        <v>2000</v>
      </c>
      <c r="D258" s="32">
        <v>8.9</v>
      </c>
      <c r="E258" s="32">
        <v>274.8875277318246</v>
      </c>
      <c r="F258" s="32">
        <v>6397.0739478332025</v>
      </c>
      <c r="G258" s="77">
        <v>1.2999999999999999E-5</v>
      </c>
      <c r="H258" s="32">
        <v>0.42099999999999999</v>
      </c>
      <c r="I258" s="32">
        <v>100</v>
      </c>
      <c r="J258" s="32">
        <v>1495</v>
      </c>
      <c r="K258" s="32">
        <v>2927</v>
      </c>
      <c r="L258" s="32">
        <v>0.65</v>
      </c>
      <c r="M258" s="34">
        <v>3.2819531047698356</v>
      </c>
      <c r="N258" s="32">
        <v>81.06</v>
      </c>
      <c r="O258" s="32">
        <v>10.07</v>
      </c>
      <c r="P258" s="34">
        <f t="shared" si="3"/>
        <v>0.12422896619787811</v>
      </c>
    </row>
    <row r="259" spans="1:16">
      <c r="A259" s="32" t="s">
        <v>49</v>
      </c>
      <c r="B259" s="32">
        <v>200</v>
      </c>
      <c r="C259" s="32">
        <v>2400</v>
      </c>
      <c r="D259" s="32">
        <v>8.9</v>
      </c>
      <c r="E259" s="32">
        <v>274.8875277318246</v>
      </c>
      <c r="F259" s="32">
        <v>6397.0739478332025</v>
      </c>
      <c r="G259" s="77">
        <v>1.2999999999999999E-5</v>
      </c>
      <c r="H259" s="32">
        <v>0.42099999999999999</v>
      </c>
      <c r="I259" s="32">
        <v>100</v>
      </c>
      <c r="J259" s="32">
        <v>1495</v>
      </c>
      <c r="K259" s="32">
        <v>2927</v>
      </c>
      <c r="L259" s="32">
        <v>0.65</v>
      </c>
      <c r="M259" s="34">
        <v>2.9959995802609249</v>
      </c>
      <c r="N259" s="32">
        <v>76</v>
      </c>
      <c r="O259" s="32">
        <v>6.99</v>
      </c>
      <c r="P259" s="34">
        <f t="shared" si="3"/>
        <v>9.1973684210526319E-2</v>
      </c>
    </row>
    <row r="260" spans="1:16">
      <c r="A260" s="32" t="s">
        <v>49</v>
      </c>
      <c r="B260" s="32">
        <v>350</v>
      </c>
      <c r="C260" s="32">
        <v>400</v>
      </c>
      <c r="D260" s="32">
        <v>8.9</v>
      </c>
      <c r="E260" s="32">
        <v>274.8875277318246</v>
      </c>
      <c r="F260" s="32">
        <v>6397.0739478332025</v>
      </c>
      <c r="G260" s="77">
        <v>1.2999999999999999E-5</v>
      </c>
      <c r="H260" s="32">
        <v>0.42099999999999999</v>
      </c>
      <c r="I260" s="32">
        <v>100</v>
      </c>
      <c r="J260" s="32">
        <v>1495</v>
      </c>
      <c r="K260" s="32">
        <v>2927</v>
      </c>
      <c r="L260" s="32">
        <v>0.65</v>
      </c>
      <c r="M260" s="34">
        <v>12.842672922155719</v>
      </c>
      <c r="N260" s="32">
        <v>211.26</v>
      </c>
      <c r="O260" s="32">
        <v>99.85</v>
      </c>
      <c r="P260" s="34">
        <f t="shared" si="3"/>
        <v>0.47264034838587521</v>
      </c>
    </row>
    <row r="261" spans="1:16">
      <c r="A261" s="32" t="s">
        <v>49</v>
      </c>
      <c r="B261" s="32">
        <v>350</v>
      </c>
      <c r="C261" s="32">
        <v>600</v>
      </c>
      <c r="D261" s="32">
        <v>8.9</v>
      </c>
      <c r="E261" s="32">
        <v>274.8875277318246</v>
      </c>
      <c r="F261" s="32">
        <v>6397.0739478332025</v>
      </c>
      <c r="G261" s="77">
        <v>1.2999999999999999E-5</v>
      </c>
      <c r="H261" s="32">
        <v>0.42099999999999999</v>
      </c>
      <c r="I261" s="32">
        <v>100</v>
      </c>
      <c r="J261" s="32">
        <v>1495</v>
      </c>
      <c r="K261" s="32">
        <v>2927</v>
      </c>
      <c r="L261" s="32">
        <v>0.65</v>
      </c>
      <c r="M261" s="34">
        <v>10.485998530913236</v>
      </c>
      <c r="N261" s="32">
        <v>163.06</v>
      </c>
      <c r="O261" s="32">
        <v>87.29</v>
      </c>
      <c r="P261" s="34">
        <f t="shared" ref="P261:P324" si="4">O261/N261</f>
        <v>0.53532442045872686</v>
      </c>
    </row>
    <row r="262" spans="1:16">
      <c r="A262" s="32" t="s">
        <v>49</v>
      </c>
      <c r="B262" s="32">
        <v>350</v>
      </c>
      <c r="C262" s="32">
        <v>800</v>
      </c>
      <c r="D262" s="32">
        <v>8.9</v>
      </c>
      <c r="E262" s="32">
        <v>274.8875277318246</v>
      </c>
      <c r="F262" s="32">
        <v>6397.0739478332025</v>
      </c>
      <c r="G262" s="77">
        <v>1.2999999999999999E-5</v>
      </c>
      <c r="H262" s="32">
        <v>0.42099999999999999</v>
      </c>
      <c r="I262" s="32">
        <v>100</v>
      </c>
      <c r="J262" s="32">
        <v>1495</v>
      </c>
      <c r="K262" s="32">
        <v>2927</v>
      </c>
      <c r="L262" s="32">
        <v>0.65</v>
      </c>
      <c r="M262" s="34">
        <v>9.0811411118171641</v>
      </c>
      <c r="N262" s="32">
        <v>144.34</v>
      </c>
      <c r="O262" s="32">
        <v>23.52</v>
      </c>
      <c r="P262" s="34">
        <f t="shared" si="4"/>
        <v>0.1629485935984481</v>
      </c>
    </row>
    <row r="263" spans="1:16">
      <c r="A263" s="32" t="s">
        <v>49</v>
      </c>
      <c r="B263" s="32">
        <v>350</v>
      </c>
      <c r="C263" s="32">
        <v>1000</v>
      </c>
      <c r="D263" s="32">
        <v>8.9</v>
      </c>
      <c r="E263" s="32">
        <v>274.8875277318246</v>
      </c>
      <c r="F263" s="32">
        <v>6397.0739478332025</v>
      </c>
      <c r="G263" s="77">
        <v>1.2999999999999999E-5</v>
      </c>
      <c r="H263" s="32">
        <v>0.42099999999999999</v>
      </c>
      <c r="I263" s="32">
        <v>100</v>
      </c>
      <c r="J263" s="32">
        <v>1495</v>
      </c>
      <c r="K263" s="32">
        <v>2927</v>
      </c>
      <c r="L263" s="32">
        <v>0.65</v>
      </c>
      <c r="M263" s="34">
        <v>8.1224195357164799</v>
      </c>
      <c r="N263" s="32">
        <v>129.43</v>
      </c>
      <c r="O263" s="32">
        <v>22.93</v>
      </c>
      <c r="P263" s="34">
        <f t="shared" si="4"/>
        <v>0.17716139998454761</v>
      </c>
    </row>
    <row r="264" spans="1:16">
      <c r="A264" s="32" t="s">
        <v>49</v>
      </c>
      <c r="B264" s="32">
        <v>350</v>
      </c>
      <c r="C264" s="32">
        <v>1200</v>
      </c>
      <c r="D264" s="32">
        <v>8.9</v>
      </c>
      <c r="E264" s="32">
        <v>274.8875277318246</v>
      </c>
      <c r="F264" s="32">
        <v>6397.0739478332025</v>
      </c>
      <c r="G264" s="77">
        <v>1.2999999999999999E-5</v>
      </c>
      <c r="H264" s="32">
        <v>0.42099999999999999</v>
      </c>
      <c r="I264" s="32">
        <v>100</v>
      </c>
      <c r="J264" s="32">
        <v>1495</v>
      </c>
      <c r="K264" s="32">
        <v>2927</v>
      </c>
      <c r="L264" s="32">
        <v>0.65</v>
      </c>
      <c r="M264" s="34">
        <v>7.4147206687209231</v>
      </c>
      <c r="N264" s="32">
        <v>122.62</v>
      </c>
      <c r="O264" s="32">
        <v>19.36</v>
      </c>
      <c r="P264" s="34">
        <f t="shared" si="4"/>
        <v>0.15788615234056433</v>
      </c>
    </row>
    <row r="265" spans="1:16">
      <c r="A265" s="32" t="s">
        <v>49</v>
      </c>
      <c r="B265" s="32">
        <v>350</v>
      </c>
      <c r="C265" s="32">
        <v>1600</v>
      </c>
      <c r="D265" s="32">
        <v>8.9</v>
      </c>
      <c r="E265" s="32">
        <v>274.8875277318246</v>
      </c>
      <c r="F265" s="32">
        <v>6397.0739478332025</v>
      </c>
      <c r="G265" s="77">
        <v>1.2999999999999999E-5</v>
      </c>
      <c r="H265" s="32">
        <v>0.42099999999999999</v>
      </c>
      <c r="I265" s="32">
        <v>100</v>
      </c>
      <c r="J265" s="32">
        <v>1495</v>
      </c>
      <c r="K265" s="32">
        <v>2927</v>
      </c>
      <c r="L265" s="32">
        <v>0.65</v>
      </c>
      <c r="M265" s="34">
        <v>6.4213364610778596</v>
      </c>
      <c r="N265" s="32">
        <v>103.99</v>
      </c>
      <c r="O265" s="32">
        <v>19</v>
      </c>
      <c r="P265" s="34">
        <f t="shared" si="4"/>
        <v>0.18270987594961055</v>
      </c>
    </row>
    <row r="266" spans="1:16">
      <c r="A266" s="32" t="s">
        <v>49</v>
      </c>
      <c r="B266" s="32">
        <v>350</v>
      </c>
      <c r="C266" s="32">
        <v>2000</v>
      </c>
      <c r="D266" s="32">
        <v>8.9</v>
      </c>
      <c r="E266" s="32">
        <v>274.8875277318246</v>
      </c>
      <c r="F266" s="32">
        <v>6397.0739478332025</v>
      </c>
      <c r="G266" s="77">
        <v>1.2999999999999999E-5</v>
      </c>
      <c r="H266" s="32">
        <v>0.42099999999999999</v>
      </c>
      <c r="I266" s="32">
        <v>100</v>
      </c>
      <c r="J266" s="32">
        <v>1495</v>
      </c>
      <c r="K266" s="32">
        <v>2927</v>
      </c>
      <c r="L266" s="32">
        <v>0.65</v>
      </c>
      <c r="M266" s="34">
        <v>5.743417933347212</v>
      </c>
      <c r="N266" s="32">
        <v>96.26</v>
      </c>
      <c r="O266" s="32">
        <v>14.49</v>
      </c>
      <c r="P266" s="34">
        <f t="shared" si="4"/>
        <v>0.15052981508414709</v>
      </c>
    </row>
    <row r="267" spans="1:16">
      <c r="A267" s="32" t="s">
        <v>49</v>
      </c>
      <c r="B267" s="32">
        <v>350</v>
      </c>
      <c r="C267" s="32">
        <v>2400</v>
      </c>
      <c r="D267" s="32">
        <v>8.9</v>
      </c>
      <c r="E267" s="32">
        <v>274.8875277318246</v>
      </c>
      <c r="F267" s="32">
        <v>6397.0739478332025</v>
      </c>
      <c r="G267" s="77">
        <v>1.2999999999999999E-5</v>
      </c>
      <c r="H267" s="32">
        <v>0.42099999999999999</v>
      </c>
      <c r="I267" s="32">
        <v>100</v>
      </c>
      <c r="J267" s="32">
        <v>1495</v>
      </c>
      <c r="K267" s="32">
        <v>2927</v>
      </c>
      <c r="L267" s="32">
        <v>0.65</v>
      </c>
      <c r="M267" s="34">
        <v>5.2429992654566178</v>
      </c>
      <c r="N267" s="32">
        <v>92.41</v>
      </c>
      <c r="O267" s="32">
        <v>9.66</v>
      </c>
      <c r="P267" s="34">
        <f t="shared" si="4"/>
        <v>0.10453414132669625</v>
      </c>
    </row>
    <row r="268" spans="1:16">
      <c r="A268" s="32" t="s">
        <v>49</v>
      </c>
      <c r="B268" s="32">
        <v>100</v>
      </c>
      <c r="C268" s="32">
        <v>300</v>
      </c>
      <c r="D268" s="32">
        <v>8.9</v>
      </c>
      <c r="E268" s="32">
        <v>274.8875277318246</v>
      </c>
      <c r="F268" s="32">
        <v>6397.0739478332025</v>
      </c>
      <c r="G268" s="77">
        <v>1.2999999999999999E-5</v>
      </c>
      <c r="H268" s="32">
        <v>0.42099999999999999</v>
      </c>
      <c r="I268" s="32">
        <v>100</v>
      </c>
      <c r="J268" s="32">
        <v>1495</v>
      </c>
      <c r="K268" s="32">
        <v>2927</v>
      </c>
      <c r="L268" s="32">
        <v>0.65</v>
      </c>
      <c r="M268" s="34">
        <v>4.2369832392690991</v>
      </c>
      <c r="N268" s="32">
        <v>86.86</v>
      </c>
      <c r="O268" s="32">
        <v>60.44</v>
      </c>
      <c r="P268" s="34">
        <f t="shared" si="4"/>
        <v>0.69583237393506792</v>
      </c>
    </row>
    <row r="269" spans="1:16">
      <c r="A269" s="32" t="s">
        <v>49</v>
      </c>
      <c r="B269" s="32">
        <v>150</v>
      </c>
      <c r="C269" s="32">
        <v>300</v>
      </c>
      <c r="D269" s="32">
        <v>8.9</v>
      </c>
      <c r="E269" s="32">
        <v>274.8875277318246</v>
      </c>
      <c r="F269" s="32">
        <v>6397.0739478332025</v>
      </c>
      <c r="G269" s="77">
        <v>1.2999999999999999E-5</v>
      </c>
      <c r="H269" s="32">
        <v>0.42099999999999999</v>
      </c>
      <c r="I269" s="32">
        <v>100</v>
      </c>
      <c r="J269" s="32">
        <v>1495</v>
      </c>
      <c r="K269" s="32">
        <v>2927</v>
      </c>
      <c r="L269" s="32">
        <v>0.65</v>
      </c>
      <c r="M269" s="34">
        <v>6.3554748589036496</v>
      </c>
      <c r="N269" s="32">
        <v>106.55</v>
      </c>
      <c r="O269" s="32">
        <v>48.93</v>
      </c>
      <c r="P269" s="34">
        <f t="shared" si="4"/>
        <v>0.45922102299389961</v>
      </c>
    </row>
    <row r="270" spans="1:16">
      <c r="A270" s="32" t="s">
        <v>49</v>
      </c>
      <c r="B270" s="32">
        <v>200</v>
      </c>
      <c r="C270" s="32">
        <v>300</v>
      </c>
      <c r="D270" s="32">
        <v>8.9</v>
      </c>
      <c r="E270" s="32">
        <v>274.8875277318246</v>
      </c>
      <c r="F270" s="32">
        <v>6397.0739478332025</v>
      </c>
      <c r="G270" s="77">
        <v>1.2999999999999999E-5</v>
      </c>
      <c r="H270" s="32">
        <v>0.42099999999999999</v>
      </c>
      <c r="I270" s="32">
        <v>100</v>
      </c>
      <c r="J270" s="32">
        <v>1495</v>
      </c>
      <c r="K270" s="32">
        <v>2927</v>
      </c>
      <c r="L270" s="32">
        <v>0.65</v>
      </c>
      <c r="M270" s="34">
        <v>8.4739664785381983</v>
      </c>
      <c r="N270" s="32">
        <v>109.85</v>
      </c>
      <c r="O270" s="32">
        <v>59.2</v>
      </c>
      <c r="P270" s="34">
        <f t="shared" si="4"/>
        <v>0.538916704597178</v>
      </c>
    </row>
    <row r="271" spans="1:16">
      <c r="A271" s="32" t="s">
        <v>49</v>
      </c>
      <c r="B271" s="32">
        <v>250</v>
      </c>
      <c r="C271" s="32">
        <v>300</v>
      </c>
      <c r="D271" s="32">
        <v>8.9</v>
      </c>
      <c r="E271" s="32">
        <v>274.8875277318246</v>
      </c>
      <c r="F271" s="32">
        <v>6397.0739478332025</v>
      </c>
      <c r="G271" s="77">
        <v>1.2999999999999999E-5</v>
      </c>
      <c r="H271" s="32">
        <v>0.42099999999999999</v>
      </c>
      <c r="I271" s="32">
        <v>100</v>
      </c>
      <c r="J271" s="32">
        <v>1495</v>
      </c>
      <c r="K271" s="32">
        <v>2927</v>
      </c>
      <c r="L271" s="32">
        <v>0.65</v>
      </c>
      <c r="M271" s="34">
        <v>10.592458098172749</v>
      </c>
      <c r="N271" s="32">
        <v>138.93</v>
      </c>
      <c r="O271" s="32">
        <v>87.53</v>
      </c>
      <c r="P271" s="34">
        <f t="shared" si="4"/>
        <v>0.63002951126466566</v>
      </c>
    </row>
    <row r="272" spans="1:16">
      <c r="A272" s="32" t="s">
        <v>49</v>
      </c>
      <c r="B272" s="32">
        <v>300</v>
      </c>
      <c r="C272" s="32">
        <v>300</v>
      </c>
      <c r="D272" s="32">
        <v>8.9</v>
      </c>
      <c r="E272" s="32">
        <v>274.8875277318246</v>
      </c>
      <c r="F272" s="32">
        <v>6397.0739478332025</v>
      </c>
      <c r="G272" s="77">
        <v>1.2999999999999999E-5</v>
      </c>
      <c r="H272" s="32">
        <v>0.42099999999999999</v>
      </c>
      <c r="I272" s="32">
        <v>100</v>
      </c>
      <c r="J272" s="32">
        <v>1495</v>
      </c>
      <c r="K272" s="32">
        <v>2927</v>
      </c>
      <c r="L272" s="32">
        <v>0.65</v>
      </c>
      <c r="M272" s="34">
        <v>12.710949717807299</v>
      </c>
      <c r="N272" s="32">
        <v>162.47</v>
      </c>
      <c r="O272" s="32">
        <v>117.81</v>
      </c>
      <c r="P272" s="34">
        <f t="shared" si="4"/>
        <v>0.72511848341232232</v>
      </c>
    </row>
    <row r="273" spans="1:16">
      <c r="A273" s="32" t="s">
        <v>49</v>
      </c>
      <c r="B273" s="32">
        <v>100</v>
      </c>
      <c r="C273" s="32">
        <v>600</v>
      </c>
      <c r="D273" s="32">
        <v>8.9</v>
      </c>
      <c r="E273" s="32">
        <v>274.8875277318246</v>
      </c>
      <c r="F273" s="32">
        <v>6397.0739478332025</v>
      </c>
      <c r="G273" s="77">
        <v>1.2999999999999999E-5</v>
      </c>
      <c r="H273" s="32">
        <v>0.42099999999999999</v>
      </c>
      <c r="I273" s="32">
        <v>100</v>
      </c>
      <c r="J273" s="32">
        <v>1495</v>
      </c>
      <c r="K273" s="32">
        <v>2927</v>
      </c>
      <c r="L273" s="32">
        <v>0.65</v>
      </c>
      <c r="M273" s="34">
        <v>2.9959995802609249</v>
      </c>
      <c r="N273" s="32">
        <v>72.97</v>
      </c>
      <c r="O273" s="32">
        <v>51.83</v>
      </c>
      <c r="P273" s="34">
        <f t="shared" si="4"/>
        <v>0.7102919007811429</v>
      </c>
    </row>
    <row r="274" spans="1:16">
      <c r="A274" s="32" t="s">
        <v>49</v>
      </c>
      <c r="B274" s="32">
        <v>150</v>
      </c>
      <c r="C274" s="32">
        <v>600</v>
      </c>
      <c r="D274" s="32">
        <v>8.9</v>
      </c>
      <c r="E274" s="32">
        <v>274.8875277318246</v>
      </c>
      <c r="F274" s="32">
        <v>6397.0739478332025</v>
      </c>
      <c r="G274" s="77">
        <v>1.2999999999999999E-5</v>
      </c>
      <c r="H274" s="32">
        <v>0.42099999999999999</v>
      </c>
      <c r="I274" s="32">
        <v>100</v>
      </c>
      <c r="J274" s="32">
        <v>1495</v>
      </c>
      <c r="K274" s="32">
        <v>2927</v>
      </c>
      <c r="L274" s="32">
        <v>0.65</v>
      </c>
      <c r="M274" s="34">
        <v>4.4939993703913874</v>
      </c>
      <c r="N274" s="32">
        <v>90.55</v>
      </c>
      <c r="O274" s="32">
        <v>55.73</v>
      </c>
      <c r="P274" s="34">
        <f t="shared" si="4"/>
        <v>0.61546107123136384</v>
      </c>
    </row>
    <row r="275" spans="1:16">
      <c r="A275" s="32" t="s">
        <v>49</v>
      </c>
      <c r="B275" s="32">
        <v>200</v>
      </c>
      <c r="C275" s="32">
        <v>600</v>
      </c>
      <c r="D275" s="32">
        <v>8.9</v>
      </c>
      <c r="E275" s="32">
        <v>274.8875277318246</v>
      </c>
      <c r="F275" s="32">
        <v>6397.0739478332025</v>
      </c>
      <c r="G275" s="77">
        <v>1.2999999999999999E-5</v>
      </c>
      <c r="H275" s="32">
        <v>0.42099999999999999</v>
      </c>
      <c r="I275" s="32">
        <v>100</v>
      </c>
      <c r="J275" s="32">
        <v>1495</v>
      </c>
      <c r="K275" s="32">
        <v>2927</v>
      </c>
      <c r="L275" s="32">
        <v>0.65</v>
      </c>
      <c r="M275" s="34">
        <v>5.9919991605218499</v>
      </c>
      <c r="N275" s="32">
        <v>87.37</v>
      </c>
      <c r="O275" s="32">
        <v>51.21</v>
      </c>
      <c r="P275" s="34">
        <f t="shared" si="4"/>
        <v>0.58612796154286362</v>
      </c>
    </row>
    <row r="276" spans="1:16">
      <c r="A276" s="32" t="s">
        <v>49</v>
      </c>
      <c r="B276" s="32">
        <v>250</v>
      </c>
      <c r="C276" s="32">
        <v>600</v>
      </c>
      <c r="D276" s="32">
        <v>8.9</v>
      </c>
      <c r="E276" s="32">
        <v>274.8875277318246</v>
      </c>
      <c r="F276" s="32">
        <v>6397.0739478332025</v>
      </c>
      <c r="G276" s="77">
        <v>1.2999999999999999E-5</v>
      </c>
      <c r="H276" s="32">
        <v>0.42099999999999999</v>
      </c>
      <c r="I276" s="32">
        <v>100</v>
      </c>
      <c r="J276" s="32">
        <v>1495</v>
      </c>
      <c r="K276" s="32">
        <v>2927</v>
      </c>
      <c r="L276" s="32">
        <v>0.65</v>
      </c>
      <c r="M276" s="34">
        <v>7.4899989506523124</v>
      </c>
      <c r="N276" s="32">
        <v>107.14</v>
      </c>
      <c r="O276" s="32">
        <v>85</v>
      </c>
      <c r="P276" s="34">
        <f t="shared" si="4"/>
        <v>0.79335448945305209</v>
      </c>
    </row>
    <row r="277" spans="1:16">
      <c r="A277" s="32" t="s">
        <v>49</v>
      </c>
      <c r="B277" s="32">
        <v>300</v>
      </c>
      <c r="C277" s="32">
        <v>600</v>
      </c>
      <c r="D277" s="32">
        <v>8.9</v>
      </c>
      <c r="E277" s="32">
        <v>274.8875277318246</v>
      </c>
      <c r="F277" s="32">
        <v>6397.0739478332025</v>
      </c>
      <c r="G277" s="77">
        <v>1.2999999999999999E-5</v>
      </c>
      <c r="H277" s="32">
        <v>0.42099999999999999</v>
      </c>
      <c r="I277" s="32">
        <v>100</v>
      </c>
      <c r="J277" s="32">
        <v>1495</v>
      </c>
      <c r="K277" s="32">
        <v>2927</v>
      </c>
      <c r="L277" s="32">
        <v>0.65</v>
      </c>
      <c r="M277" s="34">
        <v>8.9879987407827748</v>
      </c>
      <c r="N277" s="32">
        <v>117</v>
      </c>
      <c r="O277" s="32">
        <v>206.56</v>
      </c>
      <c r="P277" s="34">
        <f t="shared" si="4"/>
        <v>1.7654700854700855</v>
      </c>
    </row>
    <row r="278" spans="1:16">
      <c r="A278" s="32" t="s">
        <v>49</v>
      </c>
      <c r="B278" s="32">
        <v>100</v>
      </c>
      <c r="C278" s="32">
        <v>900</v>
      </c>
      <c r="D278" s="32">
        <v>8.9</v>
      </c>
      <c r="E278" s="32">
        <v>274.8875277318246</v>
      </c>
      <c r="F278" s="32">
        <v>6397.0739478332025</v>
      </c>
      <c r="G278" s="77">
        <v>1.2999999999999999E-5</v>
      </c>
      <c r="H278" s="32">
        <v>0.42099999999999999</v>
      </c>
      <c r="I278" s="32">
        <v>100</v>
      </c>
      <c r="J278" s="32">
        <v>1495</v>
      </c>
      <c r="K278" s="32">
        <v>2927</v>
      </c>
      <c r="L278" s="32">
        <v>0.65</v>
      </c>
      <c r="M278" s="34">
        <v>2.4462234137439474</v>
      </c>
      <c r="N278" s="32">
        <v>64.55</v>
      </c>
      <c r="O278" s="32">
        <v>20.25</v>
      </c>
      <c r="P278" s="34">
        <f t="shared" si="4"/>
        <v>0.31371030209140205</v>
      </c>
    </row>
    <row r="279" spans="1:16">
      <c r="A279" s="32" t="s">
        <v>49</v>
      </c>
      <c r="B279" s="32">
        <v>150</v>
      </c>
      <c r="C279" s="32">
        <v>900</v>
      </c>
      <c r="D279" s="32">
        <v>8.9</v>
      </c>
      <c r="E279" s="32">
        <v>274.8875277318246</v>
      </c>
      <c r="F279" s="32">
        <v>6397.0739478332025</v>
      </c>
      <c r="G279" s="77">
        <v>1.2999999999999999E-5</v>
      </c>
      <c r="H279" s="32">
        <v>0.42099999999999999</v>
      </c>
      <c r="I279" s="32">
        <v>100</v>
      </c>
      <c r="J279" s="32">
        <v>1495</v>
      </c>
      <c r="K279" s="32">
        <v>2927</v>
      </c>
      <c r="L279" s="32">
        <v>0.65</v>
      </c>
      <c r="M279" s="34">
        <v>3.6693351206159206</v>
      </c>
      <c r="N279" s="32">
        <v>70</v>
      </c>
      <c r="O279" s="32">
        <v>26.4</v>
      </c>
      <c r="P279" s="34">
        <f t="shared" si="4"/>
        <v>0.37714285714285711</v>
      </c>
    </row>
    <row r="280" spans="1:16">
      <c r="A280" s="32" t="s">
        <v>49</v>
      </c>
      <c r="B280" s="32">
        <v>200</v>
      </c>
      <c r="C280" s="32">
        <v>900</v>
      </c>
      <c r="D280" s="32">
        <v>8.9</v>
      </c>
      <c r="E280" s="32">
        <v>274.8875277318246</v>
      </c>
      <c r="F280" s="32">
        <v>6397.0739478332025</v>
      </c>
      <c r="G280" s="77">
        <v>1.2999999999999999E-5</v>
      </c>
      <c r="H280" s="32">
        <v>0.42099999999999999</v>
      </c>
      <c r="I280" s="32">
        <v>100</v>
      </c>
      <c r="J280" s="32">
        <v>1495</v>
      </c>
      <c r="K280" s="32">
        <v>2927</v>
      </c>
      <c r="L280" s="32">
        <v>0.65</v>
      </c>
      <c r="M280" s="34">
        <v>4.8924468274878947</v>
      </c>
      <c r="N280" s="32">
        <v>88.91</v>
      </c>
      <c r="O280" s="32">
        <v>30.75</v>
      </c>
      <c r="P280" s="34">
        <f t="shared" si="4"/>
        <v>0.34585535935215389</v>
      </c>
    </row>
    <row r="281" spans="1:16">
      <c r="A281" s="32" t="s">
        <v>49</v>
      </c>
      <c r="B281" s="32">
        <v>250</v>
      </c>
      <c r="C281" s="32">
        <v>900</v>
      </c>
      <c r="D281" s="32">
        <v>8.9</v>
      </c>
      <c r="E281" s="32">
        <v>274.8875277318246</v>
      </c>
      <c r="F281" s="32">
        <v>6397.0739478332025</v>
      </c>
      <c r="G281" s="77">
        <v>1.2999999999999999E-5</v>
      </c>
      <c r="H281" s="32">
        <v>0.42099999999999999</v>
      </c>
      <c r="I281" s="32">
        <v>100</v>
      </c>
      <c r="J281" s="32">
        <v>1495</v>
      </c>
      <c r="K281" s="32">
        <v>2927</v>
      </c>
      <c r="L281" s="32">
        <v>0.65</v>
      </c>
      <c r="M281" s="34">
        <v>6.1155585343598675</v>
      </c>
      <c r="N281" s="32">
        <v>102.27</v>
      </c>
      <c r="O281" s="32">
        <v>50.81</v>
      </c>
      <c r="P281" s="34">
        <f t="shared" si="4"/>
        <v>0.49682213747922171</v>
      </c>
    </row>
    <row r="282" spans="1:16">
      <c r="A282" s="32" t="s">
        <v>49</v>
      </c>
      <c r="B282" s="32">
        <v>300</v>
      </c>
      <c r="C282" s="32">
        <v>900</v>
      </c>
      <c r="D282" s="32">
        <v>8.9</v>
      </c>
      <c r="E282" s="32">
        <v>274.8875277318246</v>
      </c>
      <c r="F282" s="32">
        <v>6397.0739478332025</v>
      </c>
      <c r="G282" s="77">
        <v>1.2999999999999999E-5</v>
      </c>
      <c r="H282" s="32">
        <v>0.42099999999999999</v>
      </c>
      <c r="I282" s="32">
        <v>100</v>
      </c>
      <c r="J282" s="32">
        <v>1495</v>
      </c>
      <c r="K282" s="32">
        <v>2927</v>
      </c>
      <c r="L282" s="32">
        <v>0.65</v>
      </c>
      <c r="M282" s="34">
        <v>7.3386702412318412</v>
      </c>
      <c r="N282" s="32">
        <v>106.73</v>
      </c>
      <c r="O282" s="32">
        <v>88.72</v>
      </c>
      <c r="P282" s="34">
        <f t="shared" si="4"/>
        <v>0.83125644148786659</v>
      </c>
    </row>
    <row r="283" spans="1:16">
      <c r="A283" s="32" t="s">
        <v>50</v>
      </c>
      <c r="B283" s="32">
        <v>200</v>
      </c>
      <c r="C283" s="32">
        <v>200</v>
      </c>
      <c r="D283" s="32">
        <v>8.9079999999999995</v>
      </c>
      <c r="E283" s="32">
        <v>293.04828140813106</v>
      </c>
      <c r="F283" s="32">
        <v>6310.7606647425437</v>
      </c>
      <c r="G283" s="77">
        <v>1.34E-5</v>
      </c>
      <c r="H283" s="32">
        <v>0.44400000000000001</v>
      </c>
      <c r="I283" s="32">
        <v>90.9</v>
      </c>
      <c r="J283" s="32">
        <v>1455</v>
      </c>
      <c r="K283" s="32">
        <v>2913</v>
      </c>
      <c r="L283" s="32">
        <v>0.7</v>
      </c>
      <c r="M283" s="34">
        <v>9.2245578108580375</v>
      </c>
      <c r="N283" s="32">
        <v>364.74</v>
      </c>
      <c r="O283" s="32">
        <v>573.91999999999996</v>
      </c>
      <c r="P283" s="34">
        <f t="shared" si="4"/>
        <v>1.5735044141031966</v>
      </c>
    </row>
    <row r="284" spans="1:16">
      <c r="A284" s="32" t="s">
        <v>50</v>
      </c>
      <c r="B284" s="32">
        <v>200</v>
      </c>
      <c r="C284" s="32">
        <v>400</v>
      </c>
      <c r="D284" s="32">
        <v>8.9079999999999995</v>
      </c>
      <c r="E284" s="32">
        <v>293.04828140813106</v>
      </c>
      <c r="F284" s="32">
        <v>6310.7606647425437</v>
      </c>
      <c r="G284" s="77">
        <v>1.34E-5</v>
      </c>
      <c r="H284" s="32">
        <v>0.44400000000000001</v>
      </c>
      <c r="I284" s="32">
        <v>90.9</v>
      </c>
      <c r="J284" s="32">
        <v>1455</v>
      </c>
      <c r="K284" s="32">
        <v>2913</v>
      </c>
      <c r="L284" s="32">
        <v>0.7</v>
      </c>
      <c r="M284" s="34">
        <v>6.5227473815050523</v>
      </c>
      <c r="N284" s="32">
        <v>296.64</v>
      </c>
      <c r="O284" s="32">
        <v>285.20999999999998</v>
      </c>
      <c r="P284" s="34">
        <f t="shared" si="4"/>
        <v>0.96146844660194175</v>
      </c>
    </row>
    <row r="285" spans="1:16">
      <c r="A285" s="32" t="s">
        <v>50</v>
      </c>
      <c r="B285" s="32">
        <v>200</v>
      </c>
      <c r="C285" s="32">
        <v>600</v>
      </c>
      <c r="D285" s="32">
        <v>8.9079999999999995</v>
      </c>
      <c r="E285" s="32">
        <v>293.04828140813106</v>
      </c>
      <c r="F285" s="32">
        <v>6310.7606647425437</v>
      </c>
      <c r="G285" s="77">
        <v>1.34E-5</v>
      </c>
      <c r="H285" s="32">
        <v>0.44400000000000001</v>
      </c>
      <c r="I285" s="32">
        <v>90.9</v>
      </c>
      <c r="J285" s="32">
        <v>1455</v>
      </c>
      <c r="K285" s="32">
        <v>2913</v>
      </c>
      <c r="L285" s="32">
        <v>0.7</v>
      </c>
      <c r="M285" s="34">
        <v>5.3258009352541524</v>
      </c>
      <c r="N285" s="32">
        <v>233</v>
      </c>
      <c r="O285" s="32">
        <v>137.63999999999999</v>
      </c>
      <c r="P285" s="34">
        <f t="shared" si="4"/>
        <v>0.59072961373390553</v>
      </c>
    </row>
    <row r="286" spans="1:16">
      <c r="A286" s="32" t="s">
        <v>50</v>
      </c>
      <c r="B286" s="32">
        <v>200</v>
      </c>
      <c r="C286" s="32">
        <v>800</v>
      </c>
      <c r="D286" s="32">
        <v>8.9079999999999995</v>
      </c>
      <c r="E286" s="32">
        <v>293.04828140813106</v>
      </c>
      <c r="F286" s="32">
        <v>6310.7606647425437</v>
      </c>
      <c r="G286" s="77">
        <v>1.34E-5</v>
      </c>
      <c r="H286" s="32">
        <v>0.44400000000000001</v>
      </c>
      <c r="I286" s="32">
        <v>90.9</v>
      </c>
      <c r="J286" s="32">
        <v>1455</v>
      </c>
      <c r="K286" s="32">
        <v>2913</v>
      </c>
      <c r="L286" s="32">
        <v>0.7</v>
      </c>
      <c r="M286" s="34">
        <v>4.6122789054290187</v>
      </c>
      <c r="N286" s="32">
        <v>185.19</v>
      </c>
      <c r="O286" s="32">
        <v>75.83</v>
      </c>
      <c r="P286" s="34">
        <f t="shared" si="4"/>
        <v>0.40947135374480265</v>
      </c>
    </row>
    <row r="287" spans="1:16">
      <c r="A287" s="32" t="s">
        <v>50</v>
      </c>
      <c r="B287" s="32">
        <v>200</v>
      </c>
      <c r="C287" s="32">
        <v>1200</v>
      </c>
      <c r="D287" s="32">
        <v>8.9079999999999995</v>
      </c>
      <c r="E287" s="32">
        <v>293.04828140813106</v>
      </c>
      <c r="F287" s="32">
        <v>6310.7606647425437</v>
      </c>
      <c r="G287" s="77">
        <v>1.34E-5</v>
      </c>
      <c r="H287" s="32">
        <v>0.44400000000000001</v>
      </c>
      <c r="I287" s="32">
        <v>90.9</v>
      </c>
      <c r="J287" s="32">
        <v>1455</v>
      </c>
      <c r="K287" s="32">
        <v>2913</v>
      </c>
      <c r="L287" s="32">
        <v>0.7</v>
      </c>
      <c r="M287" s="34">
        <v>3.7659099565678682</v>
      </c>
      <c r="N287" s="32">
        <v>131.93</v>
      </c>
      <c r="O287" s="32">
        <v>59</v>
      </c>
      <c r="P287" s="34">
        <f t="shared" si="4"/>
        <v>0.44720685211854772</v>
      </c>
    </row>
    <row r="288" spans="1:16">
      <c r="A288" s="32" t="s">
        <v>50</v>
      </c>
      <c r="B288" s="32">
        <v>200</v>
      </c>
      <c r="C288" s="32">
        <v>1600</v>
      </c>
      <c r="D288" s="32">
        <v>8.9079999999999995</v>
      </c>
      <c r="E288" s="32">
        <v>293.04828140813106</v>
      </c>
      <c r="F288" s="32">
        <v>6310.7606647425437</v>
      </c>
      <c r="G288" s="77">
        <v>1.34E-5</v>
      </c>
      <c r="H288" s="32">
        <v>0.44400000000000001</v>
      </c>
      <c r="I288" s="32">
        <v>90.9</v>
      </c>
      <c r="J288" s="32">
        <v>1455</v>
      </c>
      <c r="K288" s="32">
        <v>2913</v>
      </c>
      <c r="L288" s="32">
        <v>0.7</v>
      </c>
      <c r="M288" s="34">
        <v>3.2613736907525261</v>
      </c>
      <c r="N288" s="32">
        <v>122.72</v>
      </c>
      <c r="O288" s="32">
        <v>31.97</v>
      </c>
      <c r="P288" s="34">
        <f t="shared" si="4"/>
        <v>0.26051173402868316</v>
      </c>
    </row>
    <row r="289" spans="1:16">
      <c r="A289" s="32" t="s">
        <v>50</v>
      </c>
      <c r="B289" s="32">
        <v>200</v>
      </c>
      <c r="C289" s="32">
        <v>2000</v>
      </c>
      <c r="D289" s="32">
        <v>8.9079999999999995</v>
      </c>
      <c r="E289" s="32">
        <v>293.04828140813106</v>
      </c>
      <c r="F289" s="32">
        <v>6310.7606647425437</v>
      </c>
      <c r="G289" s="77">
        <v>1.34E-5</v>
      </c>
      <c r="H289" s="32">
        <v>0.44400000000000001</v>
      </c>
      <c r="I289" s="32">
        <v>90.9</v>
      </c>
      <c r="J289" s="32">
        <v>1455</v>
      </c>
      <c r="K289" s="32">
        <v>2913</v>
      </c>
      <c r="L289" s="32">
        <v>0.7</v>
      </c>
      <c r="M289" s="34">
        <v>2.9170613090208102</v>
      </c>
      <c r="N289" s="32">
        <v>89.73</v>
      </c>
      <c r="O289" s="32">
        <v>23.36</v>
      </c>
      <c r="P289" s="34">
        <f t="shared" si="4"/>
        <v>0.26033656525130949</v>
      </c>
    </row>
    <row r="290" spans="1:16">
      <c r="A290" s="32" t="s">
        <v>50</v>
      </c>
      <c r="B290" s="32">
        <v>200</v>
      </c>
      <c r="C290" s="32">
        <v>2400</v>
      </c>
      <c r="D290" s="32">
        <v>8.9079999999999995</v>
      </c>
      <c r="E290" s="32">
        <v>293.04828140813106</v>
      </c>
      <c r="F290" s="32">
        <v>6310.7606647425437</v>
      </c>
      <c r="G290" s="77">
        <v>1.34E-5</v>
      </c>
      <c r="H290" s="32">
        <v>0.44400000000000001</v>
      </c>
      <c r="I290" s="32">
        <v>90.9</v>
      </c>
      <c r="J290" s="32">
        <v>1455</v>
      </c>
      <c r="K290" s="32">
        <v>2913</v>
      </c>
      <c r="L290" s="32">
        <v>0.7</v>
      </c>
      <c r="M290" s="34">
        <v>2.6629004676270762</v>
      </c>
      <c r="N290" s="32">
        <v>71.91</v>
      </c>
      <c r="O290" s="32">
        <v>17.63</v>
      </c>
      <c r="P290" s="34">
        <f t="shared" si="4"/>
        <v>0.24516757057432903</v>
      </c>
    </row>
    <row r="291" spans="1:16">
      <c r="A291" s="32" t="s">
        <v>50</v>
      </c>
      <c r="B291" s="32">
        <v>350</v>
      </c>
      <c r="C291" s="32">
        <v>400</v>
      </c>
      <c r="D291" s="32">
        <v>8.9079999999999995</v>
      </c>
      <c r="E291" s="32">
        <v>293.04828140813106</v>
      </c>
      <c r="F291" s="32">
        <v>6310.7606647425437</v>
      </c>
      <c r="G291" s="77">
        <v>1.34E-5</v>
      </c>
      <c r="H291" s="32">
        <v>0.44400000000000001</v>
      </c>
      <c r="I291" s="32">
        <v>90.9</v>
      </c>
      <c r="J291" s="32">
        <v>1455</v>
      </c>
      <c r="K291" s="32">
        <v>2913</v>
      </c>
      <c r="L291" s="32">
        <v>0.7</v>
      </c>
      <c r="M291" s="34">
        <v>11.414807917633842</v>
      </c>
      <c r="N291" s="32">
        <v>224.12</v>
      </c>
      <c r="O291" s="32">
        <v>253.21</v>
      </c>
      <c r="P291" s="34">
        <f t="shared" si="4"/>
        <v>1.1297965375691594</v>
      </c>
    </row>
    <row r="292" spans="1:16">
      <c r="A292" s="32" t="s">
        <v>50</v>
      </c>
      <c r="B292" s="32">
        <v>350</v>
      </c>
      <c r="C292" s="32">
        <v>600</v>
      </c>
      <c r="D292" s="32">
        <v>8.9079999999999995</v>
      </c>
      <c r="E292" s="32">
        <v>293.04828140813106</v>
      </c>
      <c r="F292" s="32">
        <v>6310.7606647425437</v>
      </c>
      <c r="G292" s="77">
        <v>1.34E-5</v>
      </c>
      <c r="H292" s="32">
        <v>0.44400000000000001</v>
      </c>
      <c r="I292" s="32">
        <v>90.9</v>
      </c>
      <c r="J292" s="32">
        <v>1455</v>
      </c>
      <c r="K292" s="32">
        <v>2913</v>
      </c>
      <c r="L292" s="32">
        <v>0.7</v>
      </c>
      <c r="M292" s="34">
        <v>9.3201516366947672</v>
      </c>
      <c r="N292" s="32">
        <v>173.31</v>
      </c>
      <c r="O292" s="32">
        <v>150.80000000000001</v>
      </c>
      <c r="P292" s="34">
        <f t="shared" si="4"/>
        <v>0.87011713115227052</v>
      </c>
    </row>
    <row r="293" spans="1:16">
      <c r="A293" s="32" t="s">
        <v>50</v>
      </c>
      <c r="B293" s="32">
        <v>350</v>
      </c>
      <c r="C293" s="32">
        <v>800</v>
      </c>
      <c r="D293" s="32">
        <v>8.9079999999999995</v>
      </c>
      <c r="E293" s="32">
        <v>293.04828140813106</v>
      </c>
      <c r="F293" s="32">
        <v>6310.7606647425437</v>
      </c>
      <c r="G293" s="77">
        <v>1.34E-5</v>
      </c>
      <c r="H293" s="32">
        <v>0.44400000000000001</v>
      </c>
      <c r="I293" s="32">
        <v>90.9</v>
      </c>
      <c r="J293" s="32">
        <v>1455</v>
      </c>
      <c r="K293" s="32">
        <v>2913</v>
      </c>
      <c r="L293" s="32">
        <v>0.7</v>
      </c>
      <c r="M293" s="34">
        <v>8.0714880845007837</v>
      </c>
      <c r="N293" s="32">
        <v>162.25</v>
      </c>
      <c r="O293" s="32">
        <v>112.54</v>
      </c>
      <c r="P293" s="34">
        <f t="shared" si="4"/>
        <v>0.69362095531587065</v>
      </c>
    </row>
    <row r="294" spans="1:16">
      <c r="A294" s="32" t="s">
        <v>50</v>
      </c>
      <c r="B294" s="32">
        <v>350</v>
      </c>
      <c r="C294" s="32">
        <v>1000</v>
      </c>
      <c r="D294" s="32">
        <v>8.9079999999999995</v>
      </c>
      <c r="E294" s="32">
        <v>293.04828140813106</v>
      </c>
      <c r="F294" s="32">
        <v>6310.7606647425437</v>
      </c>
      <c r="G294" s="77">
        <v>1.34E-5</v>
      </c>
      <c r="H294" s="32">
        <v>0.44400000000000001</v>
      </c>
      <c r="I294" s="32">
        <v>90.9</v>
      </c>
      <c r="J294" s="32">
        <v>1455</v>
      </c>
      <c r="K294" s="32">
        <v>2913</v>
      </c>
      <c r="L294" s="32">
        <v>0.7</v>
      </c>
      <c r="M294" s="34">
        <v>7.2193584146093261</v>
      </c>
      <c r="N294" s="32">
        <v>141.76</v>
      </c>
      <c r="O294" s="32">
        <v>70.680000000000007</v>
      </c>
      <c r="P294" s="34">
        <f t="shared" si="4"/>
        <v>0.49858916478555315</v>
      </c>
    </row>
    <row r="295" spans="1:16">
      <c r="A295" s="32" t="s">
        <v>50</v>
      </c>
      <c r="B295" s="32">
        <v>350</v>
      </c>
      <c r="C295" s="32">
        <v>1200</v>
      </c>
      <c r="D295" s="32">
        <v>8.9079999999999995</v>
      </c>
      <c r="E295" s="32">
        <v>293.04828140813106</v>
      </c>
      <c r="F295" s="32">
        <v>6310.7606647425437</v>
      </c>
      <c r="G295" s="77">
        <v>1.34E-5</v>
      </c>
      <c r="H295" s="32">
        <v>0.44400000000000001</v>
      </c>
      <c r="I295" s="32">
        <v>90.9</v>
      </c>
      <c r="J295" s="32">
        <v>1455</v>
      </c>
      <c r="K295" s="32">
        <v>2913</v>
      </c>
      <c r="L295" s="32">
        <v>0.7</v>
      </c>
      <c r="M295" s="34">
        <v>6.5903424239937696</v>
      </c>
      <c r="N295" s="32">
        <v>118.82</v>
      </c>
      <c r="O295" s="32">
        <v>53.07</v>
      </c>
      <c r="P295" s="34">
        <f t="shared" si="4"/>
        <v>0.4466419794647366</v>
      </c>
    </row>
    <row r="296" spans="1:16">
      <c r="A296" s="32" t="s">
        <v>50</v>
      </c>
      <c r="B296" s="32">
        <v>350</v>
      </c>
      <c r="C296" s="32">
        <v>1600</v>
      </c>
      <c r="D296" s="32">
        <v>8.9079999999999995</v>
      </c>
      <c r="E296" s="32">
        <v>293.04828140813106</v>
      </c>
      <c r="F296" s="32">
        <v>6310.7606647425437</v>
      </c>
      <c r="G296" s="77">
        <v>1.34E-5</v>
      </c>
      <c r="H296" s="32">
        <v>0.44400000000000001</v>
      </c>
      <c r="I296" s="32">
        <v>90.9</v>
      </c>
      <c r="J296" s="32">
        <v>1455</v>
      </c>
      <c r="K296" s="32">
        <v>2913</v>
      </c>
      <c r="L296" s="32">
        <v>0.7</v>
      </c>
      <c r="M296" s="34">
        <v>5.7074039588169212</v>
      </c>
      <c r="N296" s="32">
        <v>106.53</v>
      </c>
      <c r="O296" s="32">
        <v>29.91</v>
      </c>
      <c r="P296" s="34">
        <f t="shared" si="4"/>
        <v>0.28076598141368631</v>
      </c>
    </row>
    <row r="297" spans="1:16">
      <c r="A297" s="32" t="s">
        <v>50</v>
      </c>
      <c r="B297" s="32">
        <v>350</v>
      </c>
      <c r="C297" s="32">
        <v>2000</v>
      </c>
      <c r="D297" s="32">
        <v>8.9079999999999995</v>
      </c>
      <c r="E297" s="32">
        <v>293.04828140813106</v>
      </c>
      <c r="F297" s="32">
        <v>6310.7606647425437</v>
      </c>
      <c r="G297" s="77">
        <v>1.34E-5</v>
      </c>
      <c r="H297" s="32">
        <v>0.44400000000000001</v>
      </c>
      <c r="I297" s="32">
        <v>90.9</v>
      </c>
      <c r="J297" s="32">
        <v>1455</v>
      </c>
      <c r="K297" s="32">
        <v>2913</v>
      </c>
      <c r="L297" s="32">
        <v>0.7</v>
      </c>
      <c r="M297" s="34">
        <v>5.104857290786418</v>
      </c>
      <c r="N297" s="32">
        <v>100.59</v>
      </c>
      <c r="O297" s="32">
        <v>47.32</v>
      </c>
      <c r="P297" s="34">
        <f t="shared" si="4"/>
        <v>0.47042449547668752</v>
      </c>
    </row>
    <row r="298" spans="1:16">
      <c r="A298" s="32" t="s">
        <v>50</v>
      </c>
      <c r="B298" s="32">
        <v>350</v>
      </c>
      <c r="C298" s="32">
        <v>2400</v>
      </c>
      <c r="D298" s="32">
        <v>8.9079999999999995</v>
      </c>
      <c r="E298" s="32">
        <v>293.04828140813106</v>
      </c>
      <c r="F298" s="32">
        <v>6310.7606647425437</v>
      </c>
      <c r="G298" s="77">
        <v>1.34E-5</v>
      </c>
      <c r="H298" s="32">
        <v>0.44400000000000001</v>
      </c>
      <c r="I298" s="32">
        <v>90.9</v>
      </c>
      <c r="J298" s="32">
        <v>1455</v>
      </c>
      <c r="K298" s="32">
        <v>2913</v>
      </c>
      <c r="L298" s="32">
        <v>0.7</v>
      </c>
      <c r="M298" s="34">
        <v>4.6600758183473836</v>
      </c>
      <c r="N298" s="32">
        <v>92.21</v>
      </c>
      <c r="O298" s="32">
        <v>19.670000000000002</v>
      </c>
      <c r="P298" s="34">
        <f t="shared" si="4"/>
        <v>0.21331742761088823</v>
      </c>
    </row>
    <row r="299" spans="1:16">
      <c r="A299" s="32" t="s">
        <v>50</v>
      </c>
      <c r="B299" s="32">
        <v>100</v>
      </c>
      <c r="C299" s="32">
        <v>300</v>
      </c>
      <c r="D299" s="32">
        <v>8.9079999999999995</v>
      </c>
      <c r="E299" s="32">
        <v>293.04828140813106</v>
      </c>
      <c r="F299" s="32">
        <v>6310.7606647425437</v>
      </c>
      <c r="G299" s="77">
        <v>1.34E-5</v>
      </c>
      <c r="H299" s="32">
        <v>0.44400000000000001</v>
      </c>
      <c r="I299" s="32">
        <v>90.9</v>
      </c>
      <c r="J299" s="32">
        <v>1455</v>
      </c>
      <c r="K299" s="32">
        <v>2913</v>
      </c>
      <c r="L299" s="32">
        <v>0.7</v>
      </c>
      <c r="M299" s="34">
        <v>3.7659099565678682</v>
      </c>
      <c r="N299" s="32">
        <v>96.24</v>
      </c>
      <c r="O299" s="32">
        <v>34.450000000000003</v>
      </c>
      <c r="P299" s="34">
        <f t="shared" si="4"/>
        <v>0.35795926849542814</v>
      </c>
    </row>
    <row r="300" spans="1:16">
      <c r="A300" s="32" t="s">
        <v>50</v>
      </c>
      <c r="B300" s="32">
        <v>150</v>
      </c>
      <c r="C300" s="32">
        <v>300</v>
      </c>
      <c r="D300" s="32">
        <v>8.9079999999999995</v>
      </c>
      <c r="E300" s="32">
        <v>293.04828140813106</v>
      </c>
      <c r="F300" s="32">
        <v>6310.7606647425437</v>
      </c>
      <c r="G300" s="77">
        <v>1.34E-5</v>
      </c>
      <c r="H300" s="32">
        <v>0.44400000000000001</v>
      </c>
      <c r="I300" s="32">
        <v>90.9</v>
      </c>
      <c r="J300" s="32">
        <v>1455</v>
      </c>
      <c r="K300" s="32">
        <v>2913</v>
      </c>
      <c r="L300" s="32">
        <v>0.7</v>
      </c>
      <c r="M300" s="34">
        <v>5.6488649348518027</v>
      </c>
      <c r="N300" s="32">
        <v>116.58</v>
      </c>
      <c r="O300" s="32">
        <v>113</v>
      </c>
      <c r="P300" s="34">
        <f t="shared" si="4"/>
        <v>0.96929147366615198</v>
      </c>
    </row>
    <row r="301" spans="1:16">
      <c r="A301" s="32" t="s">
        <v>50</v>
      </c>
      <c r="B301" s="32">
        <v>200</v>
      </c>
      <c r="C301" s="32">
        <v>300</v>
      </c>
      <c r="D301" s="32">
        <v>8.9079999999999995</v>
      </c>
      <c r="E301" s="32">
        <v>293.04828140813106</v>
      </c>
      <c r="F301" s="32">
        <v>6310.7606647425437</v>
      </c>
      <c r="G301" s="77">
        <v>1.34E-5</v>
      </c>
      <c r="H301" s="32">
        <v>0.44400000000000001</v>
      </c>
      <c r="I301" s="32">
        <v>90.9</v>
      </c>
      <c r="J301" s="32">
        <v>1455</v>
      </c>
      <c r="K301" s="32">
        <v>2913</v>
      </c>
      <c r="L301" s="32">
        <v>0.7</v>
      </c>
      <c r="M301" s="34">
        <v>7.5318199131357364</v>
      </c>
      <c r="N301" s="32">
        <v>161.25</v>
      </c>
      <c r="O301" s="32">
        <v>145.87</v>
      </c>
      <c r="P301" s="34">
        <f t="shared" si="4"/>
        <v>0.9046201550387597</v>
      </c>
    </row>
    <row r="302" spans="1:16">
      <c r="A302" s="32" t="s">
        <v>50</v>
      </c>
      <c r="B302" s="32">
        <v>250</v>
      </c>
      <c r="C302" s="32">
        <v>300</v>
      </c>
      <c r="D302" s="32">
        <v>8.9079999999999995</v>
      </c>
      <c r="E302" s="32">
        <v>293.04828140813106</v>
      </c>
      <c r="F302" s="32">
        <v>6310.7606647425437</v>
      </c>
      <c r="G302" s="77">
        <v>1.34E-5</v>
      </c>
      <c r="H302" s="32">
        <v>0.44400000000000001</v>
      </c>
      <c r="I302" s="32">
        <v>90.9</v>
      </c>
      <c r="J302" s="32">
        <v>1455</v>
      </c>
      <c r="K302" s="32">
        <v>2913</v>
      </c>
      <c r="L302" s="32">
        <v>0.7</v>
      </c>
      <c r="M302" s="34">
        <v>9.4147748914196701</v>
      </c>
      <c r="N302" s="32">
        <v>187.99</v>
      </c>
      <c r="O302" s="32">
        <v>209.54</v>
      </c>
      <c r="P302" s="34">
        <f t="shared" si="4"/>
        <v>1.11463375711474</v>
      </c>
    </row>
    <row r="303" spans="1:16">
      <c r="A303" s="32" t="s">
        <v>50</v>
      </c>
      <c r="B303" s="32">
        <v>300</v>
      </c>
      <c r="C303" s="32">
        <v>300</v>
      </c>
      <c r="D303" s="32">
        <v>8.9079999999999995</v>
      </c>
      <c r="E303" s="32">
        <v>293.04828140813106</v>
      </c>
      <c r="F303" s="32">
        <v>6310.7606647425437</v>
      </c>
      <c r="G303" s="77">
        <v>1.34E-5</v>
      </c>
      <c r="H303" s="32">
        <v>0.44400000000000001</v>
      </c>
      <c r="I303" s="32">
        <v>90.9</v>
      </c>
      <c r="J303" s="32">
        <v>1455</v>
      </c>
      <c r="K303" s="32">
        <v>2913</v>
      </c>
      <c r="L303" s="32">
        <v>0.7</v>
      </c>
      <c r="M303" s="34">
        <v>11.297729869703605</v>
      </c>
      <c r="N303" s="32">
        <v>250.64</v>
      </c>
      <c r="O303" s="32">
        <v>189.84</v>
      </c>
      <c r="P303" s="34">
        <f t="shared" si="4"/>
        <v>0.75742100223428033</v>
      </c>
    </row>
    <row r="304" spans="1:16">
      <c r="A304" s="32" t="s">
        <v>50</v>
      </c>
      <c r="B304" s="32">
        <v>100</v>
      </c>
      <c r="C304" s="32">
        <v>600</v>
      </c>
      <c r="D304" s="32">
        <v>8.9079999999999995</v>
      </c>
      <c r="E304" s="32">
        <v>293.04828140813106</v>
      </c>
      <c r="F304" s="32">
        <v>6310.7606647425437</v>
      </c>
      <c r="G304" s="77">
        <v>1.34E-5</v>
      </c>
      <c r="H304" s="32">
        <v>0.44400000000000001</v>
      </c>
      <c r="I304" s="32">
        <v>90.9</v>
      </c>
      <c r="J304" s="32">
        <v>1455</v>
      </c>
      <c r="K304" s="32">
        <v>2913</v>
      </c>
      <c r="L304" s="32">
        <v>0.7</v>
      </c>
      <c r="M304" s="34">
        <v>2.6629004676270762</v>
      </c>
      <c r="N304" s="32">
        <v>61.65</v>
      </c>
      <c r="O304" s="32">
        <v>20.57</v>
      </c>
      <c r="P304" s="34">
        <f t="shared" si="4"/>
        <v>0.33365774533657744</v>
      </c>
    </row>
    <row r="305" spans="1:16">
      <c r="A305" s="32" t="s">
        <v>50</v>
      </c>
      <c r="B305" s="32">
        <v>150</v>
      </c>
      <c r="C305" s="32">
        <v>600</v>
      </c>
      <c r="D305" s="32">
        <v>8.9079999999999995</v>
      </c>
      <c r="E305" s="32">
        <v>293.04828140813106</v>
      </c>
      <c r="F305" s="32">
        <v>6310.7606647425437</v>
      </c>
      <c r="G305" s="77">
        <v>1.34E-5</v>
      </c>
      <c r="H305" s="32">
        <v>0.44400000000000001</v>
      </c>
      <c r="I305" s="32">
        <v>90.9</v>
      </c>
      <c r="J305" s="32">
        <v>1455</v>
      </c>
      <c r="K305" s="32">
        <v>2913</v>
      </c>
      <c r="L305" s="32">
        <v>0.7</v>
      </c>
      <c r="M305" s="34">
        <v>3.9943507014406148</v>
      </c>
      <c r="N305" s="32">
        <v>87.23</v>
      </c>
      <c r="O305" s="32">
        <v>28.98</v>
      </c>
      <c r="P305" s="34">
        <f t="shared" si="4"/>
        <v>0.33222515189728302</v>
      </c>
    </row>
    <row r="306" spans="1:16">
      <c r="A306" s="32" t="s">
        <v>50</v>
      </c>
      <c r="B306" s="32">
        <v>200</v>
      </c>
      <c r="C306" s="32">
        <v>600</v>
      </c>
      <c r="D306" s="32">
        <v>8.9079999999999995</v>
      </c>
      <c r="E306" s="32">
        <v>293.04828140813106</v>
      </c>
      <c r="F306" s="32">
        <v>6310.7606647425437</v>
      </c>
      <c r="G306" s="77">
        <v>1.34E-5</v>
      </c>
      <c r="H306" s="32">
        <v>0.44400000000000001</v>
      </c>
      <c r="I306" s="32">
        <v>90.9</v>
      </c>
      <c r="J306" s="32">
        <v>1455</v>
      </c>
      <c r="K306" s="32">
        <v>2913</v>
      </c>
      <c r="L306" s="32">
        <v>0.7</v>
      </c>
      <c r="M306" s="34">
        <v>5.3258009352541524</v>
      </c>
      <c r="N306" s="32">
        <v>101.72</v>
      </c>
      <c r="O306" s="32">
        <v>31.06</v>
      </c>
      <c r="P306" s="34">
        <f t="shared" si="4"/>
        <v>0.30534801415650803</v>
      </c>
    </row>
    <row r="307" spans="1:16">
      <c r="A307" s="32" t="s">
        <v>50</v>
      </c>
      <c r="B307" s="32">
        <v>250</v>
      </c>
      <c r="C307" s="32">
        <v>600</v>
      </c>
      <c r="D307" s="32">
        <v>8.9079999999999995</v>
      </c>
      <c r="E307" s="32">
        <v>293.04828140813106</v>
      </c>
      <c r="F307" s="32">
        <v>6310.7606647425437</v>
      </c>
      <c r="G307" s="77">
        <v>1.34E-5</v>
      </c>
      <c r="H307" s="32">
        <v>0.44400000000000001</v>
      </c>
      <c r="I307" s="32">
        <v>90.9</v>
      </c>
      <c r="J307" s="32">
        <v>1455</v>
      </c>
      <c r="K307" s="32">
        <v>2913</v>
      </c>
      <c r="L307" s="32">
        <v>0.7</v>
      </c>
      <c r="M307" s="34">
        <v>6.6572511690676919</v>
      </c>
      <c r="N307" s="32">
        <v>157.75</v>
      </c>
      <c r="O307" s="32">
        <v>67.22</v>
      </c>
      <c r="P307" s="34">
        <f t="shared" si="4"/>
        <v>0.42611727416798734</v>
      </c>
    </row>
    <row r="308" spans="1:16">
      <c r="A308" s="32" t="s">
        <v>50</v>
      </c>
      <c r="B308" s="32">
        <v>300</v>
      </c>
      <c r="C308" s="32">
        <v>600</v>
      </c>
      <c r="D308" s="32">
        <v>8.9079999999999995</v>
      </c>
      <c r="E308" s="32">
        <v>293.04828140813106</v>
      </c>
      <c r="F308" s="32">
        <v>6310.7606647425437</v>
      </c>
      <c r="G308" s="77">
        <v>1.34E-5</v>
      </c>
      <c r="H308" s="32">
        <v>0.44400000000000001</v>
      </c>
      <c r="I308" s="32">
        <v>90.9</v>
      </c>
      <c r="J308" s="32">
        <v>1455</v>
      </c>
      <c r="K308" s="32">
        <v>2913</v>
      </c>
      <c r="L308" s="32">
        <v>0.7</v>
      </c>
      <c r="M308" s="34">
        <v>7.9887014028812295</v>
      </c>
      <c r="N308" s="32">
        <v>160</v>
      </c>
      <c r="O308" s="32">
        <v>122.92</v>
      </c>
      <c r="P308" s="34">
        <f t="shared" si="4"/>
        <v>0.76824999999999999</v>
      </c>
    </row>
    <row r="309" spans="1:16">
      <c r="A309" s="32" t="s">
        <v>50</v>
      </c>
      <c r="B309" s="32">
        <v>100</v>
      </c>
      <c r="C309" s="32">
        <v>900</v>
      </c>
      <c r="D309" s="32">
        <v>8.9079999999999995</v>
      </c>
      <c r="E309" s="32">
        <v>293.04828140813106</v>
      </c>
      <c r="F309" s="32">
        <v>6310.7606647425437</v>
      </c>
      <c r="G309" s="77">
        <v>1.34E-5</v>
      </c>
      <c r="H309" s="32">
        <v>0.44400000000000001</v>
      </c>
      <c r="I309" s="32">
        <v>90.9</v>
      </c>
      <c r="J309" s="32">
        <v>1455</v>
      </c>
      <c r="K309" s="32">
        <v>2913</v>
      </c>
      <c r="L309" s="32">
        <v>0.7</v>
      </c>
      <c r="M309" s="34">
        <v>2.1742491271683506</v>
      </c>
      <c r="N309" s="32">
        <v>42.64</v>
      </c>
      <c r="O309" s="32">
        <v>14.49</v>
      </c>
      <c r="P309" s="34">
        <f t="shared" si="4"/>
        <v>0.33982176360225141</v>
      </c>
    </row>
    <row r="310" spans="1:16">
      <c r="A310" s="32" t="s">
        <v>50</v>
      </c>
      <c r="B310" s="32">
        <v>150</v>
      </c>
      <c r="C310" s="32">
        <v>900</v>
      </c>
      <c r="D310" s="32">
        <v>8.9079999999999995</v>
      </c>
      <c r="E310" s="32">
        <v>293.04828140813106</v>
      </c>
      <c r="F310" s="32">
        <v>6310.7606647425437</v>
      </c>
      <c r="G310" s="77">
        <v>1.34E-5</v>
      </c>
      <c r="H310" s="32">
        <v>0.44400000000000001</v>
      </c>
      <c r="I310" s="32">
        <v>90.9</v>
      </c>
      <c r="J310" s="32">
        <v>1455</v>
      </c>
      <c r="K310" s="32">
        <v>2913</v>
      </c>
      <c r="L310" s="32">
        <v>0.7</v>
      </c>
      <c r="M310" s="34">
        <v>3.2613736907525261</v>
      </c>
      <c r="N310" s="32">
        <v>65.45</v>
      </c>
      <c r="O310" s="32">
        <v>16.54</v>
      </c>
      <c r="P310" s="34">
        <f t="shared" si="4"/>
        <v>0.25271199388846444</v>
      </c>
    </row>
    <row r="311" spans="1:16">
      <c r="A311" s="32" t="s">
        <v>50</v>
      </c>
      <c r="B311" s="32">
        <v>200</v>
      </c>
      <c r="C311" s="32">
        <v>900</v>
      </c>
      <c r="D311" s="32">
        <v>8.9079999999999995</v>
      </c>
      <c r="E311" s="32">
        <v>293.04828140813106</v>
      </c>
      <c r="F311" s="32">
        <v>6310.7606647425437</v>
      </c>
      <c r="G311" s="77">
        <v>1.34E-5</v>
      </c>
      <c r="H311" s="32">
        <v>0.44400000000000001</v>
      </c>
      <c r="I311" s="32">
        <v>90.9</v>
      </c>
      <c r="J311" s="32">
        <v>1455</v>
      </c>
      <c r="K311" s="32">
        <v>2913</v>
      </c>
      <c r="L311" s="32">
        <v>0.7</v>
      </c>
      <c r="M311" s="34">
        <v>4.3484982543367012</v>
      </c>
      <c r="N311" s="32">
        <v>83</v>
      </c>
      <c r="O311" s="32">
        <v>20.34</v>
      </c>
      <c r="P311" s="34">
        <f t="shared" si="4"/>
        <v>0.24506024096385542</v>
      </c>
    </row>
    <row r="312" spans="1:16">
      <c r="A312" s="32" t="s">
        <v>50</v>
      </c>
      <c r="B312" s="32">
        <v>250</v>
      </c>
      <c r="C312" s="32">
        <v>900</v>
      </c>
      <c r="D312" s="32">
        <v>8.9079999999999995</v>
      </c>
      <c r="E312" s="32">
        <v>293.04828140813106</v>
      </c>
      <c r="F312" s="32">
        <v>6310.7606647425437</v>
      </c>
      <c r="G312" s="77">
        <v>1.34E-5</v>
      </c>
      <c r="H312" s="32">
        <v>0.44400000000000001</v>
      </c>
      <c r="I312" s="32">
        <v>90.9</v>
      </c>
      <c r="J312" s="32">
        <v>1455</v>
      </c>
      <c r="K312" s="32">
        <v>2913</v>
      </c>
      <c r="L312" s="32">
        <v>0.7</v>
      </c>
      <c r="M312" s="34">
        <v>5.4356228179208772</v>
      </c>
      <c r="N312" s="32">
        <v>100.56</v>
      </c>
      <c r="O312" s="32">
        <v>51.35</v>
      </c>
      <c r="P312" s="34">
        <f t="shared" si="4"/>
        <v>0.5106404136833731</v>
      </c>
    </row>
    <row r="313" spans="1:16">
      <c r="A313" s="32" t="s">
        <v>50</v>
      </c>
      <c r="B313" s="32">
        <v>300</v>
      </c>
      <c r="C313" s="32">
        <v>900</v>
      </c>
      <c r="D313" s="32">
        <v>8.9079999999999995</v>
      </c>
      <c r="E313" s="32">
        <v>293.04828140813106</v>
      </c>
      <c r="F313" s="32">
        <v>6310.7606647425437</v>
      </c>
      <c r="G313" s="77">
        <v>1.34E-5</v>
      </c>
      <c r="H313" s="32">
        <v>0.44400000000000001</v>
      </c>
      <c r="I313" s="32">
        <v>90.9</v>
      </c>
      <c r="J313" s="32">
        <v>1455</v>
      </c>
      <c r="K313" s="32">
        <v>2913</v>
      </c>
      <c r="L313" s="32">
        <v>0.7</v>
      </c>
      <c r="M313" s="34">
        <v>6.5227473815050523</v>
      </c>
      <c r="N313" s="32">
        <v>113.31</v>
      </c>
      <c r="O313" s="32">
        <v>71.31</v>
      </c>
      <c r="P313" s="34">
        <f t="shared" si="4"/>
        <v>0.62933545141646807</v>
      </c>
    </row>
    <row r="314" spans="1:16">
      <c r="A314" s="32" t="s">
        <v>51</v>
      </c>
      <c r="B314" s="32">
        <v>200</v>
      </c>
      <c r="C314" s="32">
        <v>200</v>
      </c>
      <c r="D314" s="32">
        <v>4.47</v>
      </c>
      <c r="E314" s="32">
        <v>128.22554738811309</v>
      </c>
      <c r="F314" s="32">
        <v>4105.4670874264275</v>
      </c>
      <c r="G314" s="77">
        <v>1.0599999999999998E-5</v>
      </c>
      <c r="H314" s="32">
        <v>0.29799999999999999</v>
      </c>
      <c r="I314" s="32">
        <v>17.2</v>
      </c>
      <c r="J314" s="32">
        <v>1526</v>
      </c>
      <c r="K314" s="32">
        <v>3338</v>
      </c>
      <c r="L314" s="32">
        <v>0.65</v>
      </c>
      <c r="M314" s="34">
        <v>46.135272375191448</v>
      </c>
      <c r="N314" s="32">
        <v>387.99</v>
      </c>
      <c r="O314" s="32">
        <v>1274.98</v>
      </c>
      <c r="P314" s="34">
        <f t="shared" si="4"/>
        <v>3.2861156215366374</v>
      </c>
    </row>
    <row r="315" spans="1:16">
      <c r="A315" s="32" t="s">
        <v>51</v>
      </c>
      <c r="B315" s="32">
        <v>200</v>
      </c>
      <c r="C315" s="32">
        <v>400</v>
      </c>
      <c r="D315" s="32">
        <v>4.47</v>
      </c>
      <c r="E315" s="32">
        <v>128.22554738811309</v>
      </c>
      <c r="F315" s="32">
        <v>4105.4670874264275</v>
      </c>
      <c r="G315" s="77">
        <v>1.0599999999999998E-5</v>
      </c>
      <c r="H315" s="32">
        <v>0.29799999999999999</v>
      </c>
      <c r="I315" s="32">
        <v>17.2</v>
      </c>
      <c r="J315" s="32">
        <v>1526</v>
      </c>
      <c r="K315" s="32">
        <v>3338</v>
      </c>
      <c r="L315" s="32">
        <v>0.65</v>
      </c>
      <c r="M315" s="34">
        <v>32.622563948386265</v>
      </c>
      <c r="N315" s="32">
        <v>301.12</v>
      </c>
      <c r="O315" s="32">
        <v>905.41</v>
      </c>
      <c r="P315" s="34">
        <f t="shared" si="4"/>
        <v>3.0068079171094579</v>
      </c>
    </row>
    <row r="316" spans="1:16">
      <c r="A316" s="32" t="s">
        <v>51</v>
      </c>
      <c r="B316" s="32">
        <v>200</v>
      </c>
      <c r="C316" s="32">
        <v>600</v>
      </c>
      <c r="D316" s="32">
        <v>4.47</v>
      </c>
      <c r="E316" s="32">
        <v>128.22554738811309</v>
      </c>
      <c r="F316" s="32">
        <v>4105.4670874264275</v>
      </c>
      <c r="G316" s="77">
        <v>1.0599999999999998E-5</v>
      </c>
      <c r="H316" s="32">
        <v>0.29799999999999999</v>
      </c>
      <c r="I316" s="32">
        <v>17.2</v>
      </c>
      <c r="J316" s="32">
        <v>1526</v>
      </c>
      <c r="K316" s="32">
        <v>3338</v>
      </c>
      <c r="L316" s="32">
        <v>0.65</v>
      </c>
      <c r="M316" s="34">
        <v>26.636211924953486</v>
      </c>
      <c r="N316" s="32">
        <v>189.17</v>
      </c>
      <c r="O316" s="32">
        <v>608.11</v>
      </c>
      <c r="P316" s="34">
        <f t="shared" si="4"/>
        <v>3.2146217687794052</v>
      </c>
    </row>
    <row r="317" spans="1:16">
      <c r="A317" s="32" t="s">
        <v>51</v>
      </c>
      <c r="B317" s="32">
        <v>200</v>
      </c>
      <c r="C317" s="32">
        <v>800</v>
      </c>
      <c r="D317" s="32">
        <v>4.47</v>
      </c>
      <c r="E317" s="32">
        <v>128.22554738811309</v>
      </c>
      <c r="F317" s="32">
        <v>4105.4670874264275</v>
      </c>
      <c r="G317" s="77">
        <v>1.0599999999999998E-5</v>
      </c>
      <c r="H317" s="32">
        <v>0.29799999999999999</v>
      </c>
      <c r="I317" s="32">
        <v>17.2</v>
      </c>
      <c r="J317" s="32">
        <v>1526</v>
      </c>
      <c r="K317" s="32">
        <v>3338</v>
      </c>
      <c r="L317" s="32">
        <v>0.65</v>
      </c>
      <c r="M317" s="34">
        <v>23.067636187595724</v>
      </c>
      <c r="N317" s="32">
        <v>164.34</v>
      </c>
      <c r="O317" s="32">
        <v>363.45</v>
      </c>
      <c r="P317" s="34">
        <f t="shared" si="4"/>
        <v>2.2115735669952534</v>
      </c>
    </row>
    <row r="318" spans="1:16">
      <c r="A318" s="32" t="s">
        <v>51</v>
      </c>
      <c r="B318" s="32">
        <v>200</v>
      </c>
      <c r="C318" s="32">
        <v>1200</v>
      </c>
      <c r="D318" s="32">
        <v>4.47</v>
      </c>
      <c r="E318" s="32">
        <v>128.22554738811309</v>
      </c>
      <c r="F318" s="32">
        <v>4105.4670874264275</v>
      </c>
      <c r="G318" s="77">
        <v>1.0599999999999998E-5</v>
      </c>
      <c r="H318" s="32">
        <v>0.29799999999999999</v>
      </c>
      <c r="I318" s="32">
        <v>17.2</v>
      </c>
      <c r="J318" s="32">
        <v>1526</v>
      </c>
      <c r="K318" s="32">
        <v>3338</v>
      </c>
      <c r="L318" s="32">
        <v>0.65</v>
      </c>
      <c r="M318" s="34">
        <v>18.834646077256593</v>
      </c>
      <c r="N318" s="32">
        <v>138.02000000000001</v>
      </c>
      <c r="O318" s="32">
        <v>308.08</v>
      </c>
      <c r="P318" s="34">
        <f t="shared" si="4"/>
        <v>2.2321402695261554</v>
      </c>
    </row>
    <row r="319" spans="1:16">
      <c r="A319" s="32" t="s">
        <v>51</v>
      </c>
      <c r="B319" s="32">
        <v>200</v>
      </c>
      <c r="C319" s="32">
        <v>1600</v>
      </c>
      <c r="D319" s="32">
        <v>4.47</v>
      </c>
      <c r="E319" s="32">
        <v>128.22554738811309</v>
      </c>
      <c r="F319" s="32">
        <v>4105.4670874264275</v>
      </c>
      <c r="G319" s="77">
        <v>1.0599999999999998E-5</v>
      </c>
      <c r="H319" s="32">
        <v>0.29799999999999999</v>
      </c>
      <c r="I319" s="32">
        <v>17.2</v>
      </c>
      <c r="J319" s="32">
        <v>1526</v>
      </c>
      <c r="K319" s="32">
        <v>3338</v>
      </c>
      <c r="L319" s="32">
        <v>0.65</v>
      </c>
      <c r="M319" s="34">
        <v>16.311281974193133</v>
      </c>
      <c r="N319" s="32">
        <v>130.6</v>
      </c>
      <c r="O319" s="32">
        <v>186.57</v>
      </c>
      <c r="P319" s="34">
        <f t="shared" si="4"/>
        <v>1.4285604900459419</v>
      </c>
    </row>
    <row r="320" spans="1:16">
      <c r="A320" s="32" t="s">
        <v>51</v>
      </c>
      <c r="B320" s="32">
        <v>200</v>
      </c>
      <c r="C320" s="32">
        <v>2000</v>
      </c>
      <c r="D320" s="32">
        <v>4.47</v>
      </c>
      <c r="E320" s="32">
        <v>128.22554738811309</v>
      </c>
      <c r="F320" s="32">
        <v>4105.4670874264275</v>
      </c>
      <c r="G320" s="77">
        <v>1.0599999999999998E-5</v>
      </c>
      <c r="H320" s="32">
        <v>0.29799999999999999</v>
      </c>
      <c r="I320" s="32">
        <v>17.2</v>
      </c>
      <c r="J320" s="32">
        <v>1526</v>
      </c>
      <c r="K320" s="32">
        <v>3338</v>
      </c>
      <c r="L320" s="32">
        <v>0.65</v>
      </c>
      <c r="M320" s="34">
        <v>14.589254117785126</v>
      </c>
      <c r="N320" s="32">
        <v>128.19</v>
      </c>
      <c r="O320" s="32">
        <v>105.85</v>
      </c>
      <c r="P320" s="34">
        <f t="shared" si="4"/>
        <v>0.8257274358374288</v>
      </c>
    </row>
    <row r="321" spans="1:16">
      <c r="A321" s="32" t="s">
        <v>51</v>
      </c>
      <c r="B321" s="32">
        <v>200</v>
      </c>
      <c r="C321" s="32">
        <v>2400</v>
      </c>
      <c r="D321" s="32">
        <v>4.47</v>
      </c>
      <c r="E321" s="32">
        <v>128.22554738811309</v>
      </c>
      <c r="F321" s="32">
        <v>4105.4670874264275</v>
      </c>
      <c r="G321" s="77">
        <v>1.0599999999999998E-5</v>
      </c>
      <c r="H321" s="32">
        <v>0.29799999999999999</v>
      </c>
      <c r="I321" s="32">
        <v>17.2</v>
      </c>
      <c r="J321" s="32">
        <v>1526</v>
      </c>
      <c r="K321" s="32">
        <v>3338</v>
      </c>
      <c r="L321" s="32">
        <v>0.65</v>
      </c>
      <c r="M321" s="34">
        <v>13.318105962476743</v>
      </c>
      <c r="N321" s="32">
        <v>125.55</v>
      </c>
      <c r="O321" s="32">
        <v>97.44</v>
      </c>
      <c r="P321" s="34">
        <f t="shared" si="4"/>
        <v>0.77610513739545994</v>
      </c>
    </row>
    <row r="322" spans="1:16">
      <c r="A322" s="32" t="s">
        <v>51</v>
      </c>
      <c r="B322" s="32">
        <v>350</v>
      </c>
      <c r="C322" s="32">
        <v>400</v>
      </c>
      <c r="D322" s="32">
        <v>4.47</v>
      </c>
      <c r="E322" s="32">
        <v>128.22554738811309</v>
      </c>
      <c r="F322" s="32">
        <v>4105.4670874264275</v>
      </c>
      <c r="G322" s="77">
        <v>1.0599999999999998E-5</v>
      </c>
      <c r="H322" s="32">
        <v>0.29799999999999999</v>
      </c>
      <c r="I322" s="32">
        <v>17.2</v>
      </c>
      <c r="J322" s="32">
        <v>1526</v>
      </c>
      <c r="K322" s="32">
        <v>3338</v>
      </c>
      <c r="L322" s="32">
        <v>0.65</v>
      </c>
      <c r="M322" s="34">
        <v>57.089486909675955</v>
      </c>
      <c r="N322" s="32">
        <v>227.38</v>
      </c>
      <c r="O322" s="32">
        <v>888.05</v>
      </c>
      <c r="P322" s="34">
        <f t="shared" si="4"/>
        <v>3.9055765678599701</v>
      </c>
    </row>
    <row r="323" spans="1:16">
      <c r="A323" s="32" t="s">
        <v>51</v>
      </c>
      <c r="B323" s="32">
        <v>350</v>
      </c>
      <c r="C323" s="32">
        <v>600</v>
      </c>
      <c r="D323" s="32">
        <v>4.47</v>
      </c>
      <c r="E323" s="32">
        <v>128.22554738811309</v>
      </c>
      <c r="F323" s="32">
        <v>4105.4670874264275</v>
      </c>
      <c r="G323" s="77">
        <v>1.0599999999999998E-5</v>
      </c>
      <c r="H323" s="32">
        <v>0.29799999999999999</v>
      </c>
      <c r="I323" s="32">
        <v>17.2</v>
      </c>
      <c r="J323" s="32">
        <v>1526</v>
      </c>
      <c r="K323" s="32">
        <v>3338</v>
      </c>
      <c r="L323" s="32">
        <v>0.65</v>
      </c>
      <c r="M323" s="34">
        <v>46.613370868668596</v>
      </c>
      <c r="N323" s="32">
        <v>270.07</v>
      </c>
      <c r="O323" s="32">
        <v>423.38</v>
      </c>
      <c r="P323" s="34">
        <f t="shared" si="4"/>
        <v>1.5676676417225164</v>
      </c>
    </row>
    <row r="324" spans="1:16">
      <c r="A324" s="32" t="s">
        <v>51</v>
      </c>
      <c r="B324" s="32">
        <v>350</v>
      </c>
      <c r="C324" s="32">
        <v>800</v>
      </c>
      <c r="D324" s="32">
        <v>4.47</v>
      </c>
      <c r="E324" s="32">
        <v>128.22554738811309</v>
      </c>
      <c r="F324" s="32">
        <v>4105.4670874264275</v>
      </c>
      <c r="G324" s="77">
        <v>1.0599999999999998E-5</v>
      </c>
      <c r="H324" s="32">
        <v>0.29799999999999999</v>
      </c>
      <c r="I324" s="32">
        <v>17.2</v>
      </c>
      <c r="J324" s="32">
        <v>1526</v>
      </c>
      <c r="K324" s="32">
        <v>3338</v>
      </c>
      <c r="L324" s="32">
        <v>0.65</v>
      </c>
      <c r="M324" s="34">
        <v>40.36836332829251</v>
      </c>
      <c r="N324" s="32">
        <v>273.48</v>
      </c>
      <c r="O324" s="32">
        <v>258.89</v>
      </c>
      <c r="P324" s="34">
        <f t="shared" si="4"/>
        <v>0.94665057773877426</v>
      </c>
    </row>
    <row r="325" spans="1:16">
      <c r="A325" s="32" t="s">
        <v>51</v>
      </c>
      <c r="B325" s="32">
        <v>350</v>
      </c>
      <c r="C325" s="32">
        <v>1000</v>
      </c>
      <c r="D325" s="32">
        <v>4.47</v>
      </c>
      <c r="E325" s="32">
        <v>128.22554738811309</v>
      </c>
      <c r="F325" s="32">
        <v>4105.4670874264275</v>
      </c>
      <c r="G325" s="77">
        <v>1.0599999999999998E-5</v>
      </c>
      <c r="H325" s="32">
        <v>0.29799999999999999</v>
      </c>
      <c r="I325" s="32">
        <v>17.2</v>
      </c>
      <c r="J325" s="32">
        <v>1526</v>
      </c>
      <c r="K325" s="32">
        <v>3338</v>
      </c>
      <c r="L325" s="32">
        <v>0.65</v>
      </c>
      <c r="M325" s="34">
        <v>36.10656181698868</v>
      </c>
      <c r="N325" s="32">
        <v>167.75</v>
      </c>
      <c r="O325" s="32">
        <v>381.34</v>
      </c>
      <c r="P325" s="34">
        <f t="shared" ref="P325:P388" si="5">O325/N325</f>
        <v>2.2732637853949327</v>
      </c>
    </row>
    <row r="326" spans="1:16">
      <c r="A326" s="32" t="s">
        <v>51</v>
      </c>
      <c r="B326" s="32">
        <v>350</v>
      </c>
      <c r="C326" s="32">
        <v>1200</v>
      </c>
      <c r="D326" s="32">
        <v>4.47</v>
      </c>
      <c r="E326" s="32">
        <v>128.22554738811309</v>
      </c>
      <c r="F326" s="32">
        <v>4105.4670874264275</v>
      </c>
      <c r="G326" s="77">
        <v>1.0599999999999998E-5</v>
      </c>
      <c r="H326" s="32">
        <v>0.29799999999999999</v>
      </c>
      <c r="I326" s="32">
        <v>17.2</v>
      </c>
      <c r="J326" s="32">
        <v>1526</v>
      </c>
      <c r="K326" s="32">
        <v>3338</v>
      </c>
      <c r="L326" s="32">
        <v>0.65</v>
      </c>
      <c r="M326" s="34">
        <v>32.960630635199031</v>
      </c>
      <c r="N326" s="32">
        <v>195.16</v>
      </c>
      <c r="O326" s="32">
        <v>290.16000000000003</v>
      </c>
      <c r="P326" s="34">
        <f t="shared" si="5"/>
        <v>1.4867800778848126</v>
      </c>
    </row>
    <row r="327" spans="1:16">
      <c r="A327" s="32" t="s">
        <v>51</v>
      </c>
      <c r="B327" s="32">
        <v>350</v>
      </c>
      <c r="C327" s="32">
        <v>1600</v>
      </c>
      <c r="D327" s="32">
        <v>4.47</v>
      </c>
      <c r="E327" s="32">
        <v>128.22554738811309</v>
      </c>
      <c r="F327" s="32">
        <v>4105.4670874264275</v>
      </c>
      <c r="G327" s="77">
        <v>1.0599999999999998E-5</v>
      </c>
      <c r="H327" s="32">
        <v>0.29799999999999999</v>
      </c>
      <c r="I327" s="32">
        <v>17.2</v>
      </c>
      <c r="J327" s="32">
        <v>1526</v>
      </c>
      <c r="K327" s="32">
        <v>3338</v>
      </c>
      <c r="L327" s="32">
        <v>0.65</v>
      </c>
      <c r="M327" s="34">
        <v>28.544743454837977</v>
      </c>
      <c r="N327" s="32">
        <v>190.58</v>
      </c>
      <c r="O327" s="32">
        <v>239.05</v>
      </c>
      <c r="P327" s="34">
        <f t="shared" si="5"/>
        <v>1.2543288907545387</v>
      </c>
    </row>
    <row r="328" spans="1:16">
      <c r="A328" s="32" t="s">
        <v>51</v>
      </c>
      <c r="B328" s="32">
        <v>350</v>
      </c>
      <c r="C328" s="32">
        <v>2000</v>
      </c>
      <c r="D328" s="32">
        <v>4.47</v>
      </c>
      <c r="E328" s="32">
        <v>128.22554738811309</v>
      </c>
      <c r="F328" s="32">
        <v>4105.4670874264275</v>
      </c>
      <c r="G328" s="77">
        <v>1.0599999999999998E-5</v>
      </c>
      <c r="H328" s="32">
        <v>0.29799999999999999</v>
      </c>
      <c r="I328" s="32">
        <v>17.2</v>
      </c>
      <c r="J328" s="32">
        <v>1526</v>
      </c>
      <c r="K328" s="32">
        <v>3338</v>
      </c>
      <c r="L328" s="32">
        <v>0.65</v>
      </c>
      <c r="M328" s="34">
        <v>25.531194706123969</v>
      </c>
      <c r="N328" s="32">
        <v>164.6</v>
      </c>
      <c r="O328" s="32">
        <v>178.97</v>
      </c>
      <c r="P328" s="34">
        <f t="shared" si="5"/>
        <v>1.0873025516403403</v>
      </c>
    </row>
    <row r="329" spans="1:16">
      <c r="A329" s="32" t="s">
        <v>51</v>
      </c>
      <c r="B329" s="32">
        <v>350</v>
      </c>
      <c r="C329" s="32">
        <v>2400</v>
      </c>
      <c r="D329" s="32">
        <v>4.47</v>
      </c>
      <c r="E329" s="32">
        <v>128.22554738811309</v>
      </c>
      <c r="F329" s="32">
        <v>4105.4670874264275</v>
      </c>
      <c r="G329" s="77">
        <v>1.0599999999999998E-5</v>
      </c>
      <c r="H329" s="32">
        <v>0.29799999999999999</v>
      </c>
      <c r="I329" s="32">
        <v>17.2</v>
      </c>
      <c r="J329" s="32">
        <v>1526</v>
      </c>
      <c r="K329" s="32">
        <v>3338</v>
      </c>
      <c r="L329" s="32">
        <v>0.65</v>
      </c>
      <c r="M329" s="34">
        <v>23.306685434334298</v>
      </c>
      <c r="N329" s="32">
        <v>178.52</v>
      </c>
      <c r="O329" s="32">
        <v>83.79</v>
      </c>
      <c r="P329" s="34">
        <f t="shared" si="5"/>
        <v>0.46935917544252748</v>
      </c>
    </row>
    <row r="330" spans="1:16">
      <c r="A330" s="32" t="s">
        <v>51</v>
      </c>
      <c r="B330" s="32">
        <v>100</v>
      </c>
      <c r="C330" s="32">
        <v>300</v>
      </c>
      <c r="D330" s="32">
        <v>4.47</v>
      </c>
      <c r="E330" s="32">
        <v>128.22554738811309</v>
      </c>
      <c r="F330" s="32">
        <v>4105.4670874264275</v>
      </c>
      <c r="G330" s="77">
        <v>1.0599999999999998E-5</v>
      </c>
      <c r="H330" s="32">
        <v>0.29799999999999999</v>
      </c>
      <c r="I330" s="32">
        <v>17.2</v>
      </c>
      <c r="J330" s="32">
        <v>1526</v>
      </c>
      <c r="K330" s="32">
        <v>3338</v>
      </c>
      <c r="L330" s="32">
        <v>0.65</v>
      </c>
      <c r="M330" s="34">
        <v>18.834646077256593</v>
      </c>
      <c r="N330" s="32">
        <v>159.97</v>
      </c>
      <c r="O330" s="32">
        <v>332.55</v>
      </c>
      <c r="P330" s="34">
        <f t="shared" si="5"/>
        <v>2.0788272801150218</v>
      </c>
    </row>
    <row r="331" spans="1:16">
      <c r="A331" s="32" t="s">
        <v>51</v>
      </c>
      <c r="B331" s="32">
        <v>150</v>
      </c>
      <c r="C331" s="32">
        <v>300</v>
      </c>
      <c r="D331" s="32">
        <v>4.47</v>
      </c>
      <c r="E331" s="32">
        <v>128.22554738811309</v>
      </c>
      <c r="F331" s="32">
        <v>4105.4670874264275</v>
      </c>
      <c r="G331" s="77">
        <v>1.0599999999999998E-5</v>
      </c>
      <c r="H331" s="32">
        <v>0.29799999999999999</v>
      </c>
      <c r="I331" s="32">
        <v>17.2</v>
      </c>
      <c r="J331" s="32">
        <v>1526</v>
      </c>
      <c r="K331" s="32">
        <v>3338</v>
      </c>
      <c r="L331" s="32">
        <v>0.65</v>
      </c>
      <c r="M331" s="34">
        <v>28.251969115884886</v>
      </c>
      <c r="N331" s="32">
        <v>263.95999999999998</v>
      </c>
      <c r="O331" s="32">
        <v>505.7</v>
      </c>
      <c r="P331" s="34">
        <f t="shared" si="5"/>
        <v>1.9158205788755873</v>
      </c>
    </row>
    <row r="332" spans="1:16">
      <c r="A332" s="32" t="s">
        <v>51</v>
      </c>
      <c r="B332" s="32">
        <v>200</v>
      </c>
      <c r="C332" s="32">
        <v>300</v>
      </c>
      <c r="D332" s="32">
        <v>4.47</v>
      </c>
      <c r="E332" s="32">
        <v>128.22554738811309</v>
      </c>
      <c r="F332" s="32">
        <v>4105.4670874264275</v>
      </c>
      <c r="G332" s="77">
        <v>1.0599999999999998E-5</v>
      </c>
      <c r="H332" s="32">
        <v>0.29799999999999999</v>
      </c>
      <c r="I332" s="32">
        <v>17.2</v>
      </c>
      <c r="J332" s="32">
        <v>1526</v>
      </c>
      <c r="K332" s="32">
        <v>3338</v>
      </c>
      <c r="L332" s="32">
        <v>0.65</v>
      </c>
      <c r="M332" s="34">
        <v>37.669292154513187</v>
      </c>
      <c r="N332" s="32">
        <v>253.76</v>
      </c>
      <c r="O332" s="32">
        <v>675.58</v>
      </c>
      <c r="P332" s="34">
        <f t="shared" si="5"/>
        <v>2.6622793190416143</v>
      </c>
    </row>
    <row r="333" spans="1:16">
      <c r="A333" s="32" t="s">
        <v>51</v>
      </c>
      <c r="B333" s="32">
        <v>250</v>
      </c>
      <c r="C333" s="32">
        <v>300</v>
      </c>
      <c r="D333" s="32">
        <v>4.47</v>
      </c>
      <c r="E333" s="32">
        <v>128.22554738811309</v>
      </c>
      <c r="F333" s="32">
        <v>4105.4670874264275</v>
      </c>
      <c r="G333" s="77">
        <v>1.0599999999999998E-5</v>
      </c>
      <c r="H333" s="32">
        <v>0.29799999999999999</v>
      </c>
      <c r="I333" s="32">
        <v>17.2</v>
      </c>
      <c r="J333" s="32">
        <v>1526</v>
      </c>
      <c r="K333" s="32">
        <v>3338</v>
      </c>
      <c r="L333" s="32">
        <v>0.65</v>
      </c>
      <c r="M333" s="34">
        <v>47.086615193141476</v>
      </c>
      <c r="N333" s="32">
        <v>228.93</v>
      </c>
      <c r="O333" s="32">
        <v>928.11</v>
      </c>
      <c r="P333" s="34">
        <f t="shared" si="5"/>
        <v>4.0541213471366797</v>
      </c>
    </row>
    <row r="334" spans="1:16">
      <c r="A334" s="32" t="s">
        <v>51</v>
      </c>
      <c r="B334" s="32">
        <v>300</v>
      </c>
      <c r="C334" s="32">
        <v>300</v>
      </c>
      <c r="D334" s="32">
        <v>4.47</v>
      </c>
      <c r="E334" s="32">
        <v>128.22554738811309</v>
      </c>
      <c r="F334" s="32">
        <v>4105.4670874264275</v>
      </c>
      <c r="G334" s="77">
        <v>1.0599999999999998E-5</v>
      </c>
      <c r="H334" s="32">
        <v>0.29799999999999999</v>
      </c>
      <c r="I334" s="32">
        <v>17.2</v>
      </c>
      <c r="J334" s="32">
        <v>1526</v>
      </c>
      <c r="K334" s="32">
        <v>3338</v>
      </c>
      <c r="L334" s="32">
        <v>0.65</v>
      </c>
      <c r="M334" s="34">
        <v>56.503938231769773</v>
      </c>
      <c r="N334" s="32">
        <v>282</v>
      </c>
      <c r="O334" s="32">
        <v>1028.77</v>
      </c>
      <c r="P334" s="34">
        <f t="shared" si="5"/>
        <v>3.6481205673758863</v>
      </c>
    </row>
    <row r="335" spans="1:16">
      <c r="A335" s="32" t="s">
        <v>51</v>
      </c>
      <c r="B335" s="32">
        <v>100</v>
      </c>
      <c r="C335" s="32">
        <v>600</v>
      </c>
      <c r="D335" s="32">
        <v>4.47</v>
      </c>
      <c r="E335" s="32">
        <v>128.22554738811309</v>
      </c>
      <c r="F335" s="32">
        <v>4105.4670874264275</v>
      </c>
      <c r="G335" s="77">
        <v>1.0599999999999998E-5</v>
      </c>
      <c r="H335" s="32">
        <v>0.29799999999999999</v>
      </c>
      <c r="I335" s="32">
        <v>17.2</v>
      </c>
      <c r="J335" s="32">
        <v>1526</v>
      </c>
      <c r="K335" s="32">
        <v>3338</v>
      </c>
      <c r="L335" s="32">
        <v>0.65</v>
      </c>
      <c r="M335" s="34">
        <v>13.318105962476743</v>
      </c>
      <c r="N335" s="32">
        <v>147.94999999999999</v>
      </c>
      <c r="O335" s="32">
        <v>190.2</v>
      </c>
      <c r="P335" s="34">
        <f t="shared" si="5"/>
        <v>1.2855694491382224</v>
      </c>
    </row>
    <row r="336" spans="1:16">
      <c r="A336" s="32" t="s">
        <v>51</v>
      </c>
      <c r="B336" s="32">
        <v>150</v>
      </c>
      <c r="C336" s="32">
        <v>600</v>
      </c>
      <c r="D336" s="32">
        <v>4.47</v>
      </c>
      <c r="E336" s="32">
        <v>128.22554738811309</v>
      </c>
      <c r="F336" s="32">
        <v>4105.4670874264275</v>
      </c>
      <c r="G336" s="77">
        <v>1.0599999999999998E-5</v>
      </c>
      <c r="H336" s="32">
        <v>0.29799999999999999</v>
      </c>
      <c r="I336" s="32">
        <v>17.2</v>
      </c>
      <c r="J336" s="32">
        <v>1526</v>
      </c>
      <c r="K336" s="32">
        <v>3338</v>
      </c>
      <c r="L336" s="32">
        <v>0.65</v>
      </c>
      <c r="M336" s="34">
        <v>19.977158943715114</v>
      </c>
      <c r="N336" s="32">
        <v>165.13</v>
      </c>
      <c r="O336" s="32">
        <v>216.54</v>
      </c>
      <c r="P336" s="34">
        <f t="shared" si="5"/>
        <v>1.3113304669048629</v>
      </c>
    </row>
    <row r="337" spans="1:16">
      <c r="A337" s="32" t="s">
        <v>51</v>
      </c>
      <c r="B337" s="32">
        <v>200</v>
      </c>
      <c r="C337" s="32">
        <v>600</v>
      </c>
      <c r="D337" s="32">
        <v>4.47</v>
      </c>
      <c r="E337" s="32">
        <v>128.22554738811309</v>
      </c>
      <c r="F337" s="32">
        <v>4105.4670874264275</v>
      </c>
      <c r="G337" s="77">
        <v>1.0599999999999998E-5</v>
      </c>
      <c r="H337" s="32">
        <v>0.29799999999999999</v>
      </c>
      <c r="I337" s="32">
        <v>17.2</v>
      </c>
      <c r="J337" s="32">
        <v>1526</v>
      </c>
      <c r="K337" s="32">
        <v>3338</v>
      </c>
      <c r="L337" s="32">
        <v>0.65</v>
      </c>
      <c r="M337" s="34">
        <v>26.636211924953486</v>
      </c>
      <c r="N337" s="32">
        <v>166.76</v>
      </c>
      <c r="O337" s="32">
        <v>326.81</v>
      </c>
      <c r="P337" s="34">
        <f t="shared" si="5"/>
        <v>1.9597625329815305</v>
      </c>
    </row>
    <row r="338" spans="1:16">
      <c r="A338" s="32" t="s">
        <v>51</v>
      </c>
      <c r="B338" s="32">
        <v>250</v>
      </c>
      <c r="C338" s="32">
        <v>600</v>
      </c>
      <c r="D338" s="32">
        <v>4.47</v>
      </c>
      <c r="E338" s="32">
        <v>128.22554738811309</v>
      </c>
      <c r="F338" s="32">
        <v>4105.4670874264275</v>
      </c>
      <c r="G338" s="77">
        <v>1.0599999999999998E-5</v>
      </c>
      <c r="H338" s="32">
        <v>0.29799999999999999</v>
      </c>
      <c r="I338" s="32">
        <v>17.2</v>
      </c>
      <c r="J338" s="32">
        <v>1526</v>
      </c>
      <c r="K338" s="32">
        <v>3338</v>
      </c>
      <c r="L338" s="32">
        <v>0.65</v>
      </c>
      <c r="M338" s="34">
        <v>33.295264906191861</v>
      </c>
      <c r="N338" s="32">
        <v>180.25</v>
      </c>
      <c r="O338" s="32">
        <v>549.67999999999995</v>
      </c>
      <c r="P338" s="34">
        <f t="shared" si="5"/>
        <v>3.0495423023578359</v>
      </c>
    </row>
    <row r="339" spans="1:16">
      <c r="A339" s="32" t="s">
        <v>51</v>
      </c>
      <c r="B339" s="32">
        <v>300</v>
      </c>
      <c r="C339" s="32">
        <v>600</v>
      </c>
      <c r="D339" s="32">
        <v>4.47</v>
      </c>
      <c r="E339" s="32">
        <v>128.22554738811309</v>
      </c>
      <c r="F339" s="32">
        <v>4105.4670874264275</v>
      </c>
      <c r="G339" s="77">
        <v>1.0599999999999998E-5</v>
      </c>
      <c r="H339" s="32">
        <v>0.29799999999999999</v>
      </c>
      <c r="I339" s="32">
        <v>17.2</v>
      </c>
      <c r="J339" s="32">
        <v>1526</v>
      </c>
      <c r="K339" s="32">
        <v>3338</v>
      </c>
      <c r="L339" s="32">
        <v>0.65</v>
      </c>
      <c r="M339" s="34">
        <v>39.954317887430228</v>
      </c>
      <c r="N339" s="32">
        <v>233.76</v>
      </c>
      <c r="O339" s="32">
        <v>322.64</v>
      </c>
      <c r="P339" s="34">
        <f t="shared" si="5"/>
        <v>1.3802190280629705</v>
      </c>
    </row>
    <row r="340" spans="1:16">
      <c r="A340" s="32" t="s">
        <v>51</v>
      </c>
      <c r="B340" s="32">
        <v>100</v>
      </c>
      <c r="C340" s="32">
        <v>900</v>
      </c>
      <c r="D340" s="32">
        <v>4.47</v>
      </c>
      <c r="E340" s="32">
        <v>128.22554738811309</v>
      </c>
      <c r="F340" s="32">
        <v>4105.4670874264275</v>
      </c>
      <c r="G340" s="77">
        <v>1.0599999999999998E-5</v>
      </c>
      <c r="H340" s="32">
        <v>0.29799999999999999</v>
      </c>
      <c r="I340" s="32">
        <v>17.2</v>
      </c>
      <c r="J340" s="32">
        <v>1526</v>
      </c>
      <c r="K340" s="32">
        <v>3338</v>
      </c>
      <c r="L340" s="32">
        <v>0.65</v>
      </c>
      <c r="M340" s="34">
        <v>10.874187982795423</v>
      </c>
      <c r="N340" s="32">
        <v>112</v>
      </c>
      <c r="O340" s="32">
        <v>125</v>
      </c>
      <c r="P340" s="34">
        <f t="shared" si="5"/>
        <v>1.1160714285714286</v>
      </c>
    </row>
    <row r="341" spans="1:16">
      <c r="A341" s="32" t="s">
        <v>51</v>
      </c>
      <c r="B341" s="32">
        <v>150</v>
      </c>
      <c r="C341" s="32">
        <v>900</v>
      </c>
      <c r="D341" s="32">
        <v>4.47</v>
      </c>
      <c r="E341" s="32">
        <v>128.22554738811309</v>
      </c>
      <c r="F341" s="32">
        <v>4105.4670874264275</v>
      </c>
      <c r="G341" s="77">
        <v>1.0599999999999998E-5</v>
      </c>
      <c r="H341" s="32">
        <v>0.29799999999999999</v>
      </c>
      <c r="I341" s="32">
        <v>17.2</v>
      </c>
      <c r="J341" s="32">
        <v>1526</v>
      </c>
      <c r="K341" s="32">
        <v>3338</v>
      </c>
      <c r="L341" s="32">
        <v>0.65</v>
      </c>
      <c r="M341" s="34">
        <v>16.311281974193136</v>
      </c>
      <c r="N341" s="32">
        <v>129.22999999999999</v>
      </c>
      <c r="O341" s="32">
        <v>177.13</v>
      </c>
      <c r="P341" s="34">
        <f t="shared" si="5"/>
        <v>1.3706569681962393</v>
      </c>
    </row>
    <row r="342" spans="1:16">
      <c r="A342" s="32" t="s">
        <v>51</v>
      </c>
      <c r="B342" s="32">
        <v>200</v>
      </c>
      <c r="C342" s="32">
        <v>900</v>
      </c>
      <c r="D342" s="32">
        <v>4.47</v>
      </c>
      <c r="E342" s="32">
        <v>128.22554738811309</v>
      </c>
      <c r="F342" s="32">
        <v>4105.4670874264275</v>
      </c>
      <c r="G342" s="77">
        <v>1.0599999999999998E-5</v>
      </c>
      <c r="H342" s="32">
        <v>0.29799999999999999</v>
      </c>
      <c r="I342" s="32">
        <v>17.2</v>
      </c>
      <c r="J342" s="32">
        <v>1526</v>
      </c>
      <c r="K342" s="32">
        <v>3338</v>
      </c>
      <c r="L342" s="32">
        <v>0.65</v>
      </c>
      <c r="M342" s="34">
        <v>21.748375965590846</v>
      </c>
      <c r="N342" s="32">
        <v>128.66</v>
      </c>
      <c r="O342" s="32">
        <v>282.67</v>
      </c>
      <c r="P342" s="34">
        <f t="shared" si="5"/>
        <v>2.1970309342452978</v>
      </c>
    </row>
    <row r="343" spans="1:16">
      <c r="A343" s="32" t="s">
        <v>51</v>
      </c>
      <c r="B343" s="32">
        <v>250</v>
      </c>
      <c r="C343" s="32">
        <v>900</v>
      </c>
      <c r="D343" s="32">
        <v>4.47</v>
      </c>
      <c r="E343" s="32">
        <v>128.22554738811309</v>
      </c>
      <c r="F343" s="32">
        <v>4105.4670874264275</v>
      </c>
      <c r="G343" s="77">
        <v>1.0599999999999998E-5</v>
      </c>
      <c r="H343" s="32">
        <v>0.29799999999999999</v>
      </c>
      <c r="I343" s="32">
        <v>17.2</v>
      </c>
      <c r="J343" s="32">
        <v>1526</v>
      </c>
      <c r="K343" s="32">
        <v>3338</v>
      </c>
      <c r="L343" s="32">
        <v>0.65</v>
      </c>
      <c r="M343" s="34">
        <v>27.185469956988559</v>
      </c>
      <c r="N343" s="32">
        <v>153</v>
      </c>
      <c r="O343" s="32">
        <v>380.5</v>
      </c>
      <c r="P343" s="34">
        <f t="shared" si="5"/>
        <v>2.4869281045751634</v>
      </c>
    </row>
    <row r="344" spans="1:16">
      <c r="A344" s="32" t="s">
        <v>51</v>
      </c>
      <c r="B344" s="32">
        <v>300</v>
      </c>
      <c r="C344" s="32">
        <v>900</v>
      </c>
      <c r="D344" s="32">
        <v>4.47</v>
      </c>
      <c r="E344" s="32">
        <v>128.22554738811309</v>
      </c>
      <c r="F344" s="32">
        <v>4105.4670874264275</v>
      </c>
      <c r="G344" s="77">
        <v>1.0599999999999998E-5</v>
      </c>
      <c r="H344" s="32">
        <v>0.29799999999999999</v>
      </c>
      <c r="I344" s="32">
        <v>17.2</v>
      </c>
      <c r="J344" s="32">
        <v>1526</v>
      </c>
      <c r="K344" s="32">
        <v>3338</v>
      </c>
      <c r="L344" s="32">
        <v>0.65</v>
      </c>
      <c r="M344" s="34">
        <v>32.622563948386272</v>
      </c>
      <c r="N344" s="32">
        <v>184.9</v>
      </c>
      <c r="O344" s="32">
        <v>418.79</v>
      </c>
      <c r="P344" s="34">
        <f t="shared" si="5"/>
        <v>2.2649540292049757</v>
      </c>
    </row>
    <row r="345" spans="1:16">
      <c r="A345" s="32" t="s">
        <v>52</v>
      </c>
      <c r="B345" s="32">
        <v>200</v>
      </c>
      <c r="C345" s="32">
        <v>200</v>
      </c>
      <c r="D345" s="32">
        <v>6.52</v>
      </c>
      <c r="E345" s="32">
        <v>153.4683855125844</v>
      </c>
      <c r="F345" s="32">
        <v>6357.9759712356399</v>
      </c>
      <c r="G345" s="77">
        <v>5.6999999999999996E-6</v>
      </c>
      <c r="H345" s="32">
        <v>0.27800000000000002</v>
      </c>
      <c r="I345" s="32">
        <v>22.6</v>
      </c>
      <c r="J345" s="32">
        <v>1855</v>
      </c>
      <c r="K345" s="32">
        <v>4377</v>
      </c>
      <c r="L345" s="32">
        <v>0.65</v>
      </c>
      <c r="M345" s="34">
        <v>27.97407558070023</v>
      </c>
      <c r="N345" s="32">
        <v>571.01</v>
      </c>
      <c r="O345" s="32">
        <v>688.6</v>
      </c>
      <c r="P345" s="34">
        <f t="shared" si="5"/>
        <v>1.205933346176074</v>
      </c>
    </row>
    <row r="346" spans="1:16">
      <c r="A346" s="32" t="s">
        <v>52</v>
      </c>
      <c r="B346" s="32">
        <v>200</v>
      </c>
      <c r="C346" s="32">
        <v>400</v>
      </c>
      <c r="D346" s="32">
        <v>6.52</v>
      </c>
      <c r="E346" s="32">
        <v>153.4683855125844</v>
      </c>
      <c r="F346" s="32">
        <v>6357.9759712356399</v>
      </c>
      <c r="G346" s="77">
        <v>5.6999999999999996E-6</v>
      </c>
      <c r="H346" s="32">
        <v>0.27800000000000002</v>
      </c>
      <c r="I346" s="32">
        <v>22.6</v>
      </c>
      <c r="J346" s="32">
        <v>1855</v>
      </c>
      <c r="K346" s="32">
        <v>4377</v>
      </c>
      <c r="L346" s="32">
        <v>0.65</v>
      </c>
      <c r="M346" s="34">
        <v>19.780658540538138</v>
      </c>
      <c r="N346" s="32">
        <v>334.42</v>
      </c>
      <c r="O346" s="32">
        <v>366.76</v>
      </c>
      <c r="P346" s="34">
        <f t="shared" si="5"/>
        <v>1.0967047425393217</v>
      </c>
    </row>
    <row r="347" spans="1:16">
      <c r="A347" s="32" t="s">
        <v>52</v>
      </c>
      <c r="B347" s="32">
        <v>200</v>
      </c>
      <c r="C347" s="32">
        <v>600</v>
      </c>
      <c r="D347" s="32">
        <v>6.52</v>
      </c>
      <c r="E347" s="32">
        <v>153.4683855125844</v>
      </c>
      <c r="F347" s="32">
        <v>6357.9759712356399</v>
      </c>
      <c r="G347" s="77">
        <v>5.6999999999999996E-6</v>
      </c>
      <c r="H347" s="32">
        <v>0.27800000000000002</v>
      </c>
      <c r="I347" s="32">
        <v>22.6</v>
      </c>
      <c r="J347" s="32">
        <v>1855</v>
      </c>
      <c r="K347" s="32">
        <v>4377</v>
      </c>
      <c r="L347" s="32">
        <v>0.65</v>
      </c>
      <c r="M347" s="34">
        <v>16.150840066848215</v>
      </c>
      <c r="N347" s="32">
        <v>231.09</v>
      </c>
      <c r="O347" s="32">
        <v>227.77</v>
      </c>
      <c r="P347" s="34">
        <f t="shared" si="5"/>
        <v>0.98563330304210484</v>
      </c>
    </row>
    <row r="348" spans="1:16">
      <c r="A348" s="32" t="s">
        <v>52</v>
      </c>
      <c r="B348" s="32">
        <v>200</v>
      </c>
      <c r="C348" s="32">
        <v>800</v>
      </c>
      <c r="D348" s="32">
        <v>6.52</v>
      </c>
      <c r="E348" s="32">
        <v>153.4683855125844</v>
      </c>
      <c r="F348" s="32">
        <v>6357.9759712356399</v>
      </c>
      <c r="G348" s="77">
        <v>5.6999999999999996E-6</v>
      </c>
      <c r="H348" s="32">
        <v>0.27800000000000002</v>
      </c>
      <c r="I348" s="32">
        <v>22.6</v>
      </c>
      <c r="J348" s="32">
        <v>1855</v>
      </c>
      <c r="K348" s="32">
        <v>4377</v>
      </c>
      <c r="L348" s="32">
        <v>0.65</v>
      </c>
      <c r="M348" s="34">
        <v>13.987037790350115</v>
      </c>
      <c r="N348" s="32">
        <v>233.4</v>
      </c>
      <c r="O348" s="32">
        <v>174.93</v>
      </c>
      <c r="P348" s="34">
        <f t="shared" si="5"/>
        <v>0.74948586118251925</v>
      </c>
    </row>
    <row r="349" spans="1:16">
      <c r="A349" s="32" t="s">
        <v>52</v>
      </c>
      <c r="B349" s="32">
        <v>200</v>
      </c>
      <c r="C349" s="32">
        <v>1200</v>
      </c>
      <c r="D349" s="32">
        <v>6.52</v>
      </c>
      <c r="E349" s="32">
        <v>153.4683855125844</v>
      </c>
      <c r="F349" s="32">
        <v>6357.9759712356399</v>
      </c>
      <c r="G349" s="77">
        <v>5.6999999999999996E-6</v>
      </c>
      <c r="H349" s="32">
        <v>0.27800000000000002</v>
      </c>
      <c r="I349" s="32">
        <v>22.6</v>
      </c>
      <c r="J349" s="32">
        <v>1855</v>
      </c>
      <c r="K349" s="32">
        <v>4377</v>
      </c>
      <c r="L349" s="32">
        <v>0.65</v>
      </c>
      <c r="M349" s="34">
        <v>11.420368533127764</v>
      </c>
      <c r="N349" s="32">
        <v>195.4</v>
      </c>
      <c r="O349" s="32">
        <v>83.99</v>
      </c>
      <c r="P349" s="34">
        <f t="shared" si="5"/>
        <v>0.42983623336745136</v>
      </c>
    </row>
    <row r="350" spans="1:16">
      <c r="A350" s="32" t="s">
        <v>52</v>
      </c>
      <c r="B350" s="32">
        <v>200</v>
      </c>
      <c r="C350" s="32">
        <v>1600</v>
      </c>
      <c r="D350" s="32">
        <v>6.52</v>
      </c>
      <c r="E350" s="32">
        <v>153.4683855125844</v>
      </c>
      <c r="F350" s="32">
        <v>6357.9759712356399</v>
      </c>
      <c r="G350" s="77">
        <v>5.6999999999999996E-6</v>
      </c>
      <c r="H350" s="32">
        <v>0.27800000000000002</v>
      </c>
      <c r="I350" s="32">
        <v>22.6</v>
      </c>
      <c r="J350" s="32">
        <v>1855</v>
      </c>
      <c r="K350" s="32">
        <v>4377</v>
      </c>
      <c r="L350" s="32">
        <v>0.65</v>
      </c>
      <c r="M350" s="34">
        <v>9.8903292702690688</v>
      </c>
      <c r="N350" s="32">
        <v>136.86000000000001</v>
      </c>
      <c r="O350" s="32">
        <v>66.02</v>
      </c>
      <c r="P350" s="34">
        <f t="shared" si="5"/>
        <v>0.48239076428467037</v>
      </c>
    </row>
    <row r="351" spans="1:16">
      <c r="A351" s="32" t="s">
        <v>52</v>
      </c>
      <c r="B351" s="32">
        <v>200</v>
      </c>
      <c r="C351" s="32">
        <v>2000</v>
      </c>
      <c r="D351" s="32">
        <v>6.52</v>
      </c>
      <c r="E351" s="32">
        <v>153.4683855125844</v>
      </c>
      <c r="F351" s="32">
        <v>6357.9759712356399</v>
      </c>
      <c r="G351" s="77">
        <v>5.6999999999999996E-6</v>
      </c>
      <c r="H351" s="32">
        <v>0.27800000000000002</v>
      </c>
      <c r="I351" s="32">
        <v>22.6</v>
      </c>
      <c r="J351" s="32">
        <v>1855</v>
      </c>
      <c r="K351" s="32">
        <v>4377</v>
      </c>
      <c r="L351" s="32">
        <v>0.65</v>
      </c>
      <c r="M351" s="34">
        <v>8.8461794272710126</v>
      </c>
      <c r="N351" s="32">
        <v>113.9</v>
      </c>
      <c r="O351" s="32">
        <v>36.880000000000003</v>
      </c>
      <c r="P351" s="34">
        <f t="shared" si="5"/>
        <v>0.32379280070237049</v>
      </c>
    </row>
    <row r="352" spans="1:16">
      <c r="A352" s="32" t="s">
        <v>52</v>
      </c>
      <c r="B352" s="32">
        <v>200</v>
      </c>
      <c r="C352" s="32">
        <v>2400</v>
      </c>
      <c r="D352" s="32">
        <v>6.52</v>
      </c>
      <c r="E352" s="32">
        <v>153.4683855125844</v>
      </c>
      <c r="F352" s="32">
        <v>6357.9759712356399</v>
      </c>
      <c r="G352" s="77">
        <v>5.6999999999999996E-6</v>
      </c>
      <c r="H352" s="32">
        <v>0.27800000000000002</v>
      </c>
      <c r="I352" s="32">
        <v>22.6</v>
      </c>
      <c r="J352" s="32">
        <v>1855</v>
      </c>
      <c r="K352" s="32">
        <v>4377</v>
      </c>
      <c r="L352" s="32">
        <v>0.65</v>
      </c>
      <c r="M352" s="34">
        <v>8.0754200334241073</v>
      </c>
      <c r="N352" s="32">
        <v>98.63</v>
      </c>
      <c r="O352" s="32">
        <v>43.67</v>
      </c>
      <c r="P352" s="34">
        <f t="shared" si="5"/>
        <v>0.44276589273040662</v>
      </c>
    </row>
    <row r="353" spans="1:16">
      <c r="A353" s="32" t="s">
        <v>52</v>
      </c>
      <c r="B353" s="32">
        <v>350</v>
      </c>
      <c r="C353" s="32">
        <v>400</v>
      </c>
      <c r="D353" s="32">
        <v>6.52</v>
      </c>
      <c r="E353" s="32">
        <v>153.4683855125844</v>
      </c>
      <c r="F353" s="32">
        <v>6357.9759712356399</v>
      </c>
      <c r="G353" s="77">
        <v>5.6999999999999996E-6</v>
      </c>
      <c r="H353" s="32">
        <v>0.27800000000000002</v>
      </c>
      <c r="I353" s="32">
        <v>22.6</v>
      </c>
      <c r="J353" s="32">
        <v>1855</v>
      </c>
      <c r="K353" s="32">
        <v>4377</v>
      </c>
      <c r="L353" s="32">
        <v>0.65</v>
      </c>
      <c r="M353" s="34">
        <v>34.616152445941736</v>
      </c>
      <c r="N353" s="32">
        <v>338.12</v>
      </c>
      <c r="O353" s="32">
        <v>424.63</v>
      </c>
      <c r="P353" s="34">
        <f t="shared" si="5"/>
        <v>1.2558559091446824</v>
      </c>
    </row>
    <row r="354" spans="1:16">
      <c r="A354" s="32" t="s">
        <v>52</v>
      </c>
      <c r="B354" s="32">
        <v>350</v>
      </c>
      <c r="C354" s="32">
        <v>600</v>
      </c>
      <c r="D354" s="32">
        <v>6.52</v>
      </c>
      <c r="E354" s="32">
        <v>153.4683855125844</v>
      </c>
      <c r="F354" s="32">
        <v>6357.9759712356399</v>
      </c>
      <c r="G354" s="77">
        <v>5.6999999999999996E-6</v>
      </c>
      <c r="H354" s="32">
        <v>0.27800000000000002</v>
      </c>
      <c r="I354" s="32">
        <v>22.6</v>
      </c>
      <c r="J354" s="32">
        <v>1855</v>
      </c>
      <c r="K354" s="32">
        <v>4377</v>
      </c>
      <c r="L354" s="32">
        <v>0.65</v>
      </c>
      <c r="M354" s="34">
        <v>28.263970116984371</v>
      </c>
      <c r="N354" s="32">
        <v>252.71</v>
      </c>
      <c r="O354" s="32">
        <v>293.16000000000003</v>
      </c>
      <c r="P354" s="34">
        <f t="shared" si="5"/>
        <v>1.1600648965217049</v>
      </c>
    </row>
    <row r="355" spans="1:16">
      <c r="A355" s="32" t="s">
        <v>52</v>
      </c>
      <c r="B355" s="32">
        <v>350</v>
      </c>
      <c r="C355" s="32">
        <v>800</v>
      </c>
      <c r="D355" s="32">
        <v>6.52</v>
      </c>
      <c r="E355" s="32">
        <v>153.4683855125844</v>
      </c>
      <c r="F355" s="32">
        <v>6357.9759712356399</v>
      </c>
      <c r="G355" s="77">
        <v>5.6999999999999996E-6</v>
      </c>
      <c r="H355" s="32">
        <v>0.27800000000000002</v>
      </c>
      <c r="I355" s="32">
        <v>22.6</v>
      </c>
      <c r="J355" s="32">
        <v>1855</v>
      </c>
      <c r="K355" s="32">
        <v>4377</v>
      </c>
      <c r="L355" s="32">
        <v>0.65</v>
      </c>
      <c r="M355" s="34">
        <v>24.477316133112698</v>
      </c>
      <c r="N355" s="32">
        <v>233.01</v>
      </c>
      <c r="O355" s="32">
        <v>125.15</v>
      </c>
      <c r="P355" s="34">
        <f t="shared" si="5"/>
        <v>0.53710141195656846</v>
      </c>
    </row>
    <row r="356" spans="1:16">
      <c r="A356" s="32" t="s">
        <v>52</v>
      </c>
      <c r="B356" s="32">
        <v>350</v>
      </c>
      <c r="C356" s="32">
        <v>1000</v>
      </c>
      <c r="D356" s="32">
        <v>6.52</v>
      </c>
      <c r="E356" s="32">
        <v>153.4683855125844</v>
      </c>
      <c r="F356" s="32">
        <v>6357.9759712356399</v>
      </c>
      <c r="G356" s="77">
        <v>5.6999999999999996E-6</v>
      </c>
      <c r="H356" s="32">
        <v>0.27800000000000002</v>
      </c>
      <c r="I356" s="32">
        <v>22.6</v>
      </c>
      <c r="J356" s="32">
        <v>1855</v>
      </c>
      <c r="K356" s="32">
        <v>4377</v>
      </c>
      <c r="L356" s="32">
        <v>0.65</v>
      </c>
      <c r="M356" s="34">
        <v>21.893177112156913</v>
      </c>
      <c r="N356" s="32">
        <v>181.84</v>
      </c>
      <c r="O356" s="32">
        <v>153.55000000000001</v>
      </c>
      <c r="P356" s="34">
        <f t="shared" si="5"/>
        <v>0.84442366915970091</v>
      </c>
    </row>
    <row r="357" spans="1:16">
      <c r="A357" s="32" t="s">
        <v>52</v>
      </c>
      <c r="B357" s="32">
        <v>350</v>
      </c>
      <c r="C357" s="32">
        <v>1200</v>
      </c>
      <c r="D357" s="32">
        <v>6.52</v>
      </c>
      <c r="E357" s="32">
        <v>153.4683855125844</v>
      </c>
      <c r="F357" s="32">
        <v>6357.9759712356399</v>
      </c>
      <c r="G357" s="77">
        <v>5.6999999999999996E-6</v>
      </c>
      <c r="H357" s="32">
        <v>0.27800000000000002</v>
      </c>
      <c r="I357" s="32">
        <v>22.6</v>
      </c>
      <c r="J357" s="32">
        <v>1855</v>
      </c>
      <c r="K357" s="32">
        <v>4377</v>
      </c>
      <c r="L357" s="32">
        <v>0.65</v>
      </c>
      <c r="M357" s="34">
        <v>19.985644932973585</v>
      </c>
      <c r="N357" s="32">
        <v>178.43</v>
      </c>
      <c r="O357" s="32">
        <v>126.2</v>
      </c>
      <c r="P357" s="34">
        <f t="shared" si="5"/>
        <v>0.70728016589138598</v>
      </c>
    </row>
    <row r="358" spans="1:16">
      <c r="A358" s="32" t="s">
        <v>52</v>
      </c>
      <c r="B358" s="32">
        <v>350</v>
      </c>
      <c r="C358" s="32">
        <v>1600</v>
      </c>
      <c r="D358" s="32">
        <v>6.52</v>
      </c>
      <c r="E358" s="32">
        <v>153.4683855125844</v>
      </c>
      <c r="F358" s="32">
        <v>6357.9759712356399</v>
      </c>
      <c r="G358" s="77">
        <v>5.6999999999999996E-6</v>
      </c>
      <c r="H358" s="32">
        <v>0.27800000000000002</v>
      </c>
      <c r="I358" s="32">
        <v>22.6</v>
      </c>
      <c r="J358" s="32">
        <v>1855</v>
      </c>
      <c r="K358" s="32">
        <v>4377</v>
      </c>
      <c r="L358" s="32">
        <v>0.65</v>
      </c>
      <c r="M358" s="34">
        <v>17.308076222970868</v>
      </c>
      <c r="N358" s="32">
        <v>158.57</v>
      </c>
      <c r="O358" s="32">
        <v>88.33</v>
      </c>
      <c r="P358" s="34">
        <f t="shared" si="5"/>
        <v>0.55704105442391372</v>
      </c>
    </row>
    <row r="359" spans="1:16">
      <c r="A359" s="32" t="s">
        <v>52</v>
      </c>
      <c r="B359" s="32">
        <v>350</v>
      </c>
      <c r="C359" s="32">
        <v>2000</v>
      </c>
      <c r="D359" s="32">
        <v>6.52</v>
      </c>
      <c r="E359" s="32">
        <v>153.4683855125844</v>
      </c>
      <c r="F359" s="32">
        <v>6357.9759712356399</v>
      </c>
      <c r="G359" s="77">
        <v>5.6999999999999996E-6</v>
      </c>
      <c r="H359" s="32">
        <v>0.27800000000000002</v>
      </c>
      <c r="I359" s="32">
        <v>22.6</v>
      </c>
      <c r="J359" s="32">
        <v>1855</v>
      </c>
      <c r="K359" s="32">
        <v>4377</v>
      </c>
      <c r="L359" s="32">
        <v>0.65</v>
      </c>
      <c r="M359" s="34">
        <v>15.480813997724269</v>
      </c>
      <c r="N359" s="32">
        <v>145.69</v>
      </c>
      <c r="O359" s="32">
        <v>68.44</v>
      </c>
      <c r="P359" s="34">
        <f t="shared" si="5"/>
        <v>0.46976456860457133</v>
      </c>
    </row>
    <row r="360" spans="1:16">
      <c r="A360" s="32" t="s">
        <v>52</v>
      </c>
      <c r="B360" s="32">
        <v>350</v>
      </c>
      <c r="C360" s="32">
        <v>2400</v>
      </c>
      <c r="D360" s="32">
        <v>6.52</v>
      </c>
      <c r="E360" s="32">
        <v>153.4683855125844</v>
      </c>
      <c r="F360" s="32">
        <v>6357.9759712356399</v>
      </c>
      <c r="G360" s="77">
        <v>5.6999999999999996E-6</v>
      </c>
      <c r="H360" s="32">
        <v>0.27800000000000002</v>
      </c>
      <c r="I360" s="32">
        <v>22.6</v>
      </c>
      <c r="J360" s="32">
        <v>1855</v>
      </c>
      <c r="K360" s="32">
        <v>4377</v>
      </c>
      <c r="L360" s="32">
        <v>0.65</v>
      </c>
      <c r="M360" s="34">
        <v>14.131985058492186</v>
      </c>
      <c r="N360" s="32">
        <v>134.9</v>
      </c>
      <c r="O360" s="32">
        <v>58.87</v>
      </c>
      <c r="P360" s="34">
        <f t="shared" si="5"/>
        <v>0.43639733135656039</v>
      </c>
    </row>
    <row r="361" spans="1:16">
      <c r="A361" s="32" t="s">
        <v>52</v>
      </c>
      <c r="B361" s="32">
        <v>100</v>
      </c>
      <c r="C361" s="32">
        <v>300</v>
      </c>
      <c r="D361" s="32">
        <v>6.52</v>
      </c>
      <c r="E361" s="32">
        <v>153.4683855125844</v>
      </c>
      <c r="F361" s="32">
        <v>6357.9759712356399</v>
      </c>
      <c r="G361" s="77">
        <v>5.6999999999999996E-6</v>
      </c>
      <c r="H361" s="32">
        <v>0.27800000000000002</v>
      </c>
      <c r="I361" s="32">
        <v>22.6</v>
      </c>
      <c r="J361" s="32">
        <v>1855</v>
      </c>
      <c r="K361" s="32">
        <v>4377</v>
      </c>
      <c r="L361" s="32">
        <v>0.65</v>
      </c>
      <c r="M361" s="34">
        <v>11.420368533127764</v>
      </c>
      <c r="N361" s="32">
        <v>231.98</v>
      </c>
      <c r="O361" s="32">
        <v>82</v>
      </c>
      <c r="P361" s="34">
        <f t="shared" si="5"/>
        <v>0.35347874816794556</v>
      </c>
    </row>
    <row r="362" spans="1:16">
      <c r="A362" s="32" t="s">
        <v>52</v>
      </c>
      <c r="B362" s="32">
        <v>150</v>
      </c>
      <c r="C362" s="32">
        <v>300</v>
      </c>
      <c r="D362" s="32">
        <v>6.52</v>
      </c>
      <c r="E362" s="32">
        <v>153.4683855125844</v>
      </c>
      <c r="F362" s="32">
        <v>6357.9759712356399</v>
      </c>
      <c r="G362" s="77">
        <v>5.6999999999999996E-6</v>
      </c>
      <c r="H362" s="32">
        <v>0.27800000000000002</v>
      </c>
      <c r="I362" s="32">
        <v>22.6</v>
      </c>
      <c r="J362" s="32">
        <v>1855</v>
      </c>
      <c r="K362" s="32">
        <v>4377</v>
      </c>
      <c r="L362" s="32">
        <v>0.65</v>
      </c>
      <c r="M362" s="34">
        <v>17.130552799691646</v>
      </c>
      <c r="N362" s="32">
        <v>233</v>
      </c>
      <c r="O362" s="32">
        <v>196.5</v>
      </c>
      <c r="P362" s="34">
        <f t="shared" si="5"/>
        <v>0.8433476394849786</v>
      </c>
    </row>
    <row r="363" spans="1:16">
      <c r="A363" s="32" t="s">
        <v>52</v>
      </c>
      <c r="B363" s="32">
        <v>200</v>
      </c>
      <c r="C363" s="32">
        <v>300</v>
      </c>
      <c r="D363" s="32">
        <v>6.52</v>
      </c>
      <c r="E363" s="32">
        <v>153.4683855125844</v>
      </c>
      <c r="F363" s="32">
        <v>6357.9759712356399</v>
      </c>
      <c r="G363" s="77">
        <v>5.6999999999999996E-6</v>
      </c>
      <c r="H363" s="32">
        <v>0.27800000000000002</v>
      </c>
      <c r="I363" s="32">
        <v>22.6</v>
      </c>
      <c r="J363" s="32">
        <v>1855</v>
      </c>
      <c r="K363" s="32">
        <v>4377</v>
      </c>
      <c r="L363" s="32">
        <v>0.65</v>
      </c>
      <c r="M363" s="34">
        <v>22.840737066255528</v>
      </c>
      <c r="N363" s="32">
        <v>247.19</v>
      </c>
      <c r="O363" s="32">
        <v>307</v>
      </c>
      <c r="P363" s="34">
        <f t="shared" si="5"/>
        <v>1.2419596261984709</v>
      </c>
    </row>
    <row r="364" spans="1:16">
      <c r="A364" s="32" t="s">
        <v>52</v>
      </c>
      <c r="B364" s="32">
        <v>250</v>
      </c>
      <c r="C364" s="32">
        <v>300</v>
      </c>
      <c r="D364" s="32">
        <v>6.52</v>
      </c>
      <c r="E364" s="32">
        <v>153.4683855125844</v>
      </c>
      <c r="F364" s="32">
        <v>6357.9759712356399</v>
      </c>
      <c r="G364" s="77">
        <v>5.6999999999999996E-6</v>
      </c>
      <c r="H364" s="32">
        <v>0.27800000000000002</v>
      </c>
      <c r="I364" s="32">
        <v>22.6</v>
      </c>
      <c r="J364" s="32">
        <v>1855</v>
      </c>
      <c r="K364" s="32">
        <v>4377</v>
      </c>
      <c r="L364" s="32">
        <v>0.65</v>
      </c>
      <c r="M364" s="34">
        <v>28.55092133281941</v>
      </c>
      <c r="N364" s="32">
        <v>289</v>
      </c>
      <c r="O364" s="32">
        <v>354</v>
      </c>
      <c r="P364" s="34">
        <f t="shared" si="5"/>
        <v>1.2249134948096885</v>
      </c>
    </row>
    <row r="365" spans="1:16">
      <c r="A365" s="32" t="s">
        <v>52</v>
      </c>
      <c r="B365" s="32">
        <v>300</v>
      </c>
      <c r="C365" s="32">
        <v>300</v>
      </c>
      <c r="D365" s="32">
        <v>6.52</v>
      </c>
      <c r="E365" s="32">
        <v>153.4683855125844</v>
      </c>
      <c r="F365" s="32">
        <v>6357.9759712356399</v>
      </c>
      <c r="G365" s="77">
        <v>5.6999999999999996E-6</v>
      </c>
      <c r="H365" s="32">
        <v>0.27800000000000002</v>
      </c>
      <c r="I365" s="32">
        <v>22.6</v>
      </c>
      <c r="J365" s="32">
        <v>1855</v>
      </c>
      <c r="K365" s="32">
        <v>4377</v>
      </c>
      <c r="L365" s="32">
        <v>0.65</v>
      </c>
      <c r="M365" s="34">
        <v>34.261105599383292</v>
      </c>
      <c r="N365" s="32">
        <v>293.55</v>
      </c>
      <c r="O365" s="32">
        <v>462.91</v>
      </c>
      <c r="P365" s="34">
        <f t="shared" si="5"/>
        <v>1.5769374893544541</v>
      </c>
    </row>
    <row r="366" spans="1:16">
      <c r="A366" s="32" t="s">
        <v>52</v>
      </c>
      <c r="B366" s="32">
        <v>100</v>
      </c>
      <c r="C366" s="32">
        <v>600</v>
      </c>
      <c r="D366" s="32">
        <v>6.52</v>
      </c>
      <c r="E366" s="32">
        <v>153.4683855125844</v>
      </c>
      <c r="F366" s="32">
        <v>6357.9759712356399</v>
      </c>
      <c r="G366" s="77">
        <v>5.6999999999999996E-6</v>
      </c>
      <c r="H366" s="32">
        <v>0.27800000000000002</v>
      </c>
      <c r="I366" s="32">
        <v>22.6</v>
      </c>
      <c r="J366" s="32">
        <v>1855</v>
      </c>
      <c r="K366" s="32">
        <v>4377</v>
      </c>
      <c r="L366" s="32">
        <v>0.65</v>
      </c>
      <c r="M366" s="34">
        <v>8.0754200334241073</v>
      </c>
      <c r="N366" s="32">
        <v>136.44999999999999</v>
      </c>
      <c r="O366" s="32">
        <v>39.770000000000003</v>
      </c>
      <c r="P366" s="34">
        <f t="shared" si="5"/>
        <v>0.29146207401978752</v>
      </c>
    </row>
    <row r="367" spans="1:16">
      <c r="A367" s="32" t="s">
        <v>52</v>
      </c>
      <c r="B367" s="32">
        <v>150</v>
      </c>
      <c r="C367" s="32">
        <v>600</v>
      </c>
      <c r="D367" s="32">
        <v>6.52</v>
      </c>
      <c r="E367" s="32">
        <v>153.4683855125844</v>
      </c>
      <c r="F367" s="32">
        <v>6357.9759712356399</v>
      </c>
      <c r="G367" s="77">
        <v>5.6999999999999996E-6</v>
      </c>
      <c r="H367" s="32">
        <v>0.27800000000000002</v>
      </c>
      <c r="I367" s="32">
        <v>22.6</v>
      </c>
      <c r="J367" s="32">
        <v>1855</v>
      </c>
      <c r="K367" s="32">
        <v>4377</v>
      </c>
      <c r="L367" s="32">
        <v>0.65</v>
      </c>
      <c r="M367" s="34">
        <v>12.113130050136162</v>
      </c>
      <c r="N367" s="32">
        <v>137.79</v>
      </c>
      <c r="O367" s="32">
        <v>122.11</v>
      </c>
      <c r="P367" s="34">
        <f t="shared" si="5"/>
        <v>0.88620364322519785</v>
      </c>
    </row>
    <row r="368" spans="1:16">
      <c r="A368" s="32" t="s">
        <v>52</v>
      </c>
      <c r="B368" s="32">
        <v>200</v>
      </c>
      <c r="C368" s="32">
        <v>600</v>
      </c>
      <c r="D368" s="32">
        <v>6.52</v>
      </c>
      <c r="E368" s="32">
        <v>153.4683855125844</v>
      </c>
      <c r="F368" s="32">
        <v>6357.9759712356399</v>
      </c>
      <c r="G368" s="77">
        <v>5.6999999999999996E-6</v>
      </c>
      <c r="H368" s="32">
        <v>0.27800000000000002</v>
      </c>
      <c r="I368" s="32">
        <v>22.6</v>
      </c>
      <c r="J368" s="32">
        <v>1855</v>
      </c>
      <c r="K368" s="32">
        <v>4377</v>
      </c>
      <c r="L368" s="32">
        <v>0.65</v>
      </c>
      <c r="M368" s="34">
        <v>16.150840066848215</v>
      </c>
      <c r="N368" s="32">
        <v>217.19</v>
      </c>
      <c r="O368" s="32">
        <v>188.78</v>
      </c>
      <c r="P368" s="34">
        <f t="shared" si="5"/>
        <v>0.86919287260002764</v>
      </c>
    </row>
    <row r="369" spans="1:16">
      <c r="A369" s="32" t="s">
        <v>52</v>
      </c>
      <c r="B369" s="32">
        <v>250</v>
      </c>
      <c r="C369" s="32">
        <v>600</v>
      </c>
      <c r="D369" s="32">
        <v>6.52</v>
      </c>
      <c r="E369" s="32">
        <v>153.4683855125844</v>
      </c>
      <c r="F369" s="32">
        <v>6357.9759712356399</v>
      </c>
      <c r="G369" s="77">
        <v>5.6999999999999996E-6</v>
      </c>
      <c r="H369" s="32">
        <v>0.27800000000000002</v>
      </c>
      <c r="I369" s="32">
        <v>22.6</v>
      </c>
      <c r="J369" s="32">
        <v>1855</v>
      </c>
      <c r="K369" s="32">
        <v>4377</v>
      </c>
      <c r="L369" s="32">
        <v>0.65</v>
      </c>
      <c r="M369" s="34">
        <v>20.188550083560269</v>
      </c>
      <c r="N369" s="32">
        <v>225.97</v>
      </c>
      <c r="O369" s="32">
        <v>190.62</v>
      </c>
      <c r="P369" s="34">
        <f t="shared" si="5"/>
        <v>0.84356330486347753</v>
      </c>
    </row>
    <row r="370" spans="1:16">
      <c r="A370" s="32" t="s">
        <v>52</v>
      </c>
      <c r="B370" s="32">
        <v>300</v>
      </c>
      <c r="C370" s="32">
        <v>600</v>
      </c>
      <c r="D370" s="32">
        <v>6.52</v>
      </c>
      <c r="E370" s="32">
        <v>153.4683855125844</v>
      </c>
      <c r="F370" s="32">
        <v>6357.9759712356399</v>
      </c>
      <c r="G370" s="77">
        <v>5.6999999999999996E-6</v>
      </c>
      <c r="H370" s="32">
        <v>0.27800000000000002</v>
      </c>
      <c r="I370" s="32">
        <v>22.6</v>
      </c>
      <c r="J370" s="32">
        <v>1855</v>
      </c>
      <c r="K370" s="32">
        <v>4377</v>
      </c>
      <c r="L370" s="32">
        <v>0.65</v>
      </c>
      <c r="M370" s="34">
        <v>24.226260100272324</v>
      </c>
      <c r="N370" s="32">
        <v>267.27</v>
      </c>
      <c r="O370" s="32">
        <v>222.62</v>
      </c>
      <c r="P370" s="34">
        <f t="shared" si="5"/>
        <v>0.83294047218168898</v>
      </c>
    </row>
    <row r="371" spans="1:16">
      <c r="A371" s="32" t="s">
        <v>52</v>
      </c>
      <c r="B371" s="32">
        <v>100</v>
      </c>
      <c r="C371" s="32">
        <v>900</v>
      </c>
      <c r="D371" s="32">
        <v>6.52</v>
      </c>
      <c r="E371" s="32">
        <v>153.4683855125844</v>
      </c>
      <c r="F371" s="32">
        <v>6357.9759712356399</v>
      </c>
      <c r="G371" s="77">
        <v>5.6999999999999996E-6</v>
      </c>
      <c r="H371" s="32">
        <v>0.27800000000000002</v>
      </c>
      <c r="I371" s="32">
        <v>22.6</v>
      </c>
      <c r="J371" s="32">
        <v>1855</v>
      </c>
      <c r="K371" s="32">
        <v>4377</v>
      </c>
      <c r="L371" s="32">
        <v>0.65</v>
      </c>
      <c r="M371" s="34">
        <v>6.5935528468460465</v>
      </c>
      <c r="N371" s="32">
        <v>132.78</v>
      </c>
      <c r="O371" s="32">
        <v>44.7</v>
      </c>
      <c r="P371" s="34">
        <f t="shared" si="5"/>
        <v>0.33664708540442839</v>
      </c>
    </row>
    <row r="372" spans="1:16">
      <c r="A372" s="32" t="s">
        <v>52</v>
      </c>
      <c r="B372" s="32">
        <v>150</v>
      </c>
      <c r="C372" s="32">
        <v>900</v>
      </c>
      <c r="D372" s="32">
        <v>6.52</v>
      </c>
      <c r="E372" s="32">
        <v>153.4683855125844</v>
      </c>
      <c r="F372" s="32">
        <v>6357.9759712356399</v>
      </c>
      <c r="G372" s="77">
        <v>5.6999999999999996E-6</v>
      </c>
      <c r="H372" s="32">
        <v>0.27800000000000002</v>
      </c>
      <c r="I372" s="32">
        <v>22.6</v>
      </c>
      <c r="J372" s="32">
        <v>1855</v>
      </c>
      <c r="K372" s="32">
        <v>4377</v>
      </c>
      <c r="L372" s="32">
        <v>0.65</v>
      </c>
      <c r="M372" s="34">
        <v>9.8903292702690688</v>
      </c>
      <c r="N372" s="32">
        <v>140</v>
      </c>
      <c r="O372" s="32">
        <v>82.28</v>
      </c>
      <c r="P372" s="34">
        <f t="shared" si="5"/>
        <v>0.58771428571428574</v>
      </c>
    </row>
    <row r="373" spans="1:16">
      <c r="A373" s="32" t="s">
        <v>52</v>
      </c>
      <c r="B373" s="32">
        <v>200</v>
      </c>
      <c r="C373" s="32">
        <v>900</v>
      </c>
      <c r="D373" s="32">
        <v>6.52</v>
      </c>
      <c r="E373" s="32">
        <v>153.4683855125844</v>
      </c>
      <c r="F373" s="32">
        <v>6357.9759712356399</v>
      </c>
      <c r="G373" s="77">
        <v>5.6999999999999996E-6</v>
      </c>
      <c r="H373" s="32">
        <v>0.27800000000000002</v>
      </c>
      <c r="I373" s="32">
        <v>22.6</v>
      </c>
      <c r="J373" s="32">
        <v>1855</v>
      </c>
      <c r="K373" s="32">
        <v>4377</v>
      </c>
      <c r="L373" s="32">
        <v>0.65</v>
      </c>
      <c r="M373" s="34">
        <v>13.187105693692093</v>
      </c>
      <c r="N373" s="32">
        <v>129.94999999999999</v>
      </c>
      <c r="O373" s="32">
        <v>95.26</v>
      </c>
      <c r="P373" s="34">
        <f t="shared" si="5"/>
        <v>0.7330511735282802</v>
      </c>
    </row>
    <row r="374" spans="1:16">
      <c r="A374" s="32" t="s">
        <v>52</v>
      </c>
      <c r="B374" s="32">
        <v>250</v>
      </c>
      <c r="C374" s="32">
        <v>900</v>
      </c>
      <c r="D374" s="32">
        <v>6.52</v>
      </c>
      <c r="E374" s="32">
        <v>153.4683855125844</v>
      </c>
      <c r="F374" s="32">
        <v>6357.9759712356399</v>
      </c>
      <c r="G374" s="77">
        <v>5.6999999999999996E-6</v>
      </c>
      <c r="H374" s="32">
        <v>0.27800000000000002</v>
      </c>
      <c r="I374" s="32">
        <v>22.6</v>
      </c>
      <c r="J374" s="32">
        <v>1855</v>
      </c>
      <c r="K374" s="32">
        <v>4377</v>
      </c>
      <c r="L374" s="32">
        <v>0.65</v>
      </c>
      <c r="M374" s="34">
        <v>16.483882117115115</v>
      </c>
      <c r="N374" s="32">
        <v>173</v>
      </c>
      <c r="O374" s="32">
        <v>156.91</v>
      </c>
      <c r="P374" s="34">
        <f t="shared" si="5"/>
        <v>0.90699421965317917</v>
      </c>
    </row>
    <row r="375" spans="1:16">
      <c r="A375" s="32" t="s">
        <v>52</v>
      </c>
      <c r="B375" s="32">
        <v>300</v>
      </c>
      <c r="C375" s="32">
        <v>900</v>
      </c>
      <c r="D375" s="32">
        <v>6.52</v>
      </c>
      <c r="E375" s="32">
        <v>153.4683855125844</v>
      </c>
      <c r="F375" s="32">
        <v>6357.9759712356399</v>
      </c>
      <c r="G375" s="77">
        <v>5.6999999999999996E-6</v>
      </c>
      <c r="H375" s="32">
        <v>0.27800000000000002</v>
      </c>
      <c r="I375" s="32">
        <v>22.6</v>
      </c>
      <c r="J375" s="32">
        <v>1855</v>
      </c>
      <c r="K375" s="32">
        <v>4377</v>
      </c>
      <c r="L375" s="32">
        <v>0.65</v>
      </c>
      <c r="M375" s="34">
        <v>19.780658540538138</v>
      </c>
      <c r="N375" s="32">
        <v>166.13</v>
      </c>
      <c r="O375" s="32">
        <v>198.48</v>
      </c>
      <c r="P375" s="34">
        <f t="shared" si="5"/>
        <v>1.1947270210076446</v>
      </c>
    </row>
    <row r="376" spans="1:16">
      <c r="A376" s="32" t="s">
        <v>53</v>
      </c>
      <c r="B376" s="32">
        <v>200</v>
      </c>
      <c r="C376" s="32">
        <v>200</v>
      </c>
      <c r="D376" s="32">
        <v>7.9</v>
      </c>
      <c r="E376" s="32">
        <v>63.593004769475357</v>
      </c>
      <c r="F376" s="32">
        <v>1939.5866454689983</v>
      </c>
      <c r="G376" s="77">
        <v>9.3999999999999998E-6</v>
      </c>
      <c r="H376" s="32">
        <v>0.23599999999999999</v>
      </c>
      <c r="I376" s="32">
        <v>10.6</v>
      </c>
      <c r="J376" s="32">
        <v>1313</v>
      </c>
      <c r="K376" s="32">
        <v>3273</v>
      </c>
      <c r="L376" s="32">
        <v>0.65</v>
      </c>
      <c r="M376" s="34">
        <v>61.597932061689662</v>
      </c>
      <c r="N376" s="32">
        <v>538.12</v>
      </c>
      <c r="O376" s="32">
        <v>1246.1400000000001</v>
      </c>
      <c r="P376" s="34">
        <f t="shared" si="5"/>
        <v>2.3157288337173867</v>
      </c>
    </row>
    <row r="377" spans="1:16">
      <c r="A377" s="32" t="s">
        <v>53</v>
      </c>
      <c r="B377" s="32">
        <v>200</v>
      </c>
      <c r="C377" s="32">
        <v>400</v>
      </c>
      <c r="D377" s="32">
        <v>7.9</v>
      </c>
      <c r="E377" s="32">
        <v>63.593004769475357</v>
      </c>
      <c r="F377" s="32">
        <v>1939.5866454689983</v>
      </c>
      <c r="G377" s="77">
        <v>9.3999999999999998E-6</v>
      </c>
      <c r="H377" s="32">
        <v>0.23599999999999999</v>
      </c>
      <c r="I377" s="32">
        <v>10.6</v>
      </c>
      <c r="J377" s="32">
        <v>1313</v>
      </c>
      <c r="K377" s="32">
        <v>3273</v>
      </c>
      <c r="L377" s="32">
        <v>0.65</v>
      </c>
      <c r="M377" s="34">
        <v>43.556315467889014</v>
      </c>
      <c r="N377" s="32">
        <v>345.76</v>
      </c>
      <c r="O377" s="32">
        <v>1139.3</v>
      </c>
      <c r="P377" s="34">
        <f t="shared" si="5"/>
        <v>3.2950601573345675</v>
      </c>
    </row>
    <row r="378" spans="1:16">
      <c r="A378" s="32" t="s">
        <v>53</v>
      </c>
      <c r="B378" s="32">
        <v>200</v>
      </c>
      <c r="C378" s="32">
        <v>600</v>
      </c>
      <c r="D378" s="32">
        <v>7.9</v>
      </c>
      <c r="E378" s="32">
        <v>63.593004769475357</v>
      </c>
      <c r="F378" s="32">
        <v>1939.5866454689983</v>
      </c>
      <c r="G378" s="77">
        <v>9.3999999999999998E-6</v>
      </c>
      <c r="H378" s="32">
        <v>0.23599999999999999</v>
      </c>
      <c r="I378" s="32">
        <v>10.6</v>
      </c>
      <c r="J378" s="32">
        <v>1313</v>
      </c>
      <c r="K378" s="32">
        <v>3273</v>
      </c>
      <c r="L378" s="32">
        <v>0.65</v>
      </c>
      <c r="M378" s="34">
        <v>35.563582657340802</v>
      </c>
      <c r="N378" s="32">
        <v>227.5</v>
      </c>
      <c r="O378" s="32">
        <v>704.25</v>
      </c>
      <c r="P378" s="34">
        <f t="shared" si="5"/>
        <v>3.0956043956043957</v>
      </c>
    </row>
    <row r="379" spans="1:16">
      <c r="A379" s="32" t="s">
        <v>53</v>
      </c>
      <c r="B379" s="32">
        <v>200</v>
      </c>
      <c r="C379" s="32">
        <v>800</v>
      </c>
      <c r="D379" s="32">
        <v>7.9</v>
      </c>
      <c r="E379" s="32">
        <v>63.593004769475357</v>
      </c>
      <c r="F379" s="32">
        <v>1939.5866454689983</v>
      </c>
      <c r="G379" s="77">
        <v>9.3999999999999998E-6</v>
      </c>
      <c r="H379" s="32">
        <v>0.23599999999999999</v>
      </c>
      <c r="I379" s="32">
        <v>10.6</v>
      </c>
      <c r="J379" s="32">
        <v>1313</v>
      </c>
      <c r="K379" s="32">
        <v>3273</v>
      </c>
      <c r="L379" s="32">
        <v>0.65</v>
      </c>
      <c r="M379" s="34">
        <v>30.798966030844831</v>
      </c>
      <c r="N379" s="32">
        <v>179.02</v>
      </c>
      <c r="O379" s="32">
        <v>461.53</v>
      </c>
      <c r="P379" s="34">
        <f t="shared" si="5"/>
        <v>2.5780918333147129</v>
      </c>
    </row>
    <row r="380" spans="1:16">
      <c r="A380" s="32" t="s">
        <v>53</v>
      </c>
      <c r="B380" s="32">
        <v>200</v>
      </c>
      <c r="C380" s="32">
        <v>1200</v>
      </c>
      <c r="D380" s="32">
        <v>7.9</v>
      </c>
      <c r="E380" s="32">
        <v>63.593004769475357</v>
      </c>
      <c r="F380" s="32">
        <v>1939.5866454689983</v>
      </c>
      <c r="G380" s="77">
        <v>9.3999999999999998E-6</v>
      </c>
      <c r="H380" s="32">
        <v>0.23599999999999999</v>
      </c>
      <c r="I380" s="32">
        <v>10.6</v>
      </c>
      <c r="J380" s="32">
        <v>1313</v>
      </c>
      <c r="K380" s="32">
        <v>3273</v>
      </c>
      <c r="L380" s="32">
        <v>0.65</v>
      </c>
      <c r="M380" s="34">
        <v>25.147250460293986</v>
      </c>
      <c r="N380" s="32">
        <v>171.14</v>
      </c>
      <c r="O380" s="32">
        <v>323.25</v>
      </c>
      <c r="P380" s="34">
        <f t="shared" si="5"/>
        <v>1.8888044875540495</v>
      </c>
    </row>
    <row r="381" spans="1:16">
      <c r="A381" s="32" t="s">
        <v>53</v>
      </c>
      <c r="B381" s="32">
        <v>200</v>
      </c>
      <c r="C381" s="32">
        <v>1600</v>
      </c>
      <c r="D381" s="32">
        <v>7.9</v>
      </c>
      <c r="E381" s="32">
        <v>63.593004769475357</v>
      </c>
      <c r="F381" s="32">
        <v>1939.5866454689983</v>
      </c>
      <c r="G381" s="77">
        <v>9.3999999999999998E-6</v>
      </c>
      <c r="H381" s="32">
        <v>0.23599999999999999</v>
      </c>
      <c r="I381" s="32">
        <v>10.6</v>
      </c>
      <c r="J381" s="32">
        <v>1313</v>
      </c>
      <c r="K381" s="32">
        <v>3273</v>
      </c>
      <c r="L381" s="32">
        <v>0.65</v>
      </c>
      <c r="M381" s="34">
        <v>21.778157733944507</v>
      </c>
      <c r="N381" s="32">
        <v>165.72</v>
      </c>
      <c r="O381" s="32">
        <v>222.51</v>
      </c>
      <c r="P381" s="34">
        <f t="shared" si="5"/>
        <v>1.3426864590876175</v>
      </c>
    </row>
    <row r="382" spans="1:16">
      <c r="A382" s="32" t="s">
        <v>53</v>
      </c>
      <c r="B382" s="32">
        <v>200</v>
      </c>
      <c r="C382" s="32">
        <v>2000</v>
      </c>
      <c r="D382" s="32">
        <v>7.9</v>
      </c>
      <c r="E382" s="32">
        <v>63.593004769475357</v>
      </c>
      <c r="F382" s="32">
        <v>1939.5866454689983</v>
      </c>
      <c r="G382" s="77">
        <v>9.3999999999999998E-6</v>
      </c>
      <c r="H382" s="32">
        <v>0.23599999999999999</v>
      </c>
      <c r="I382" s="32">
        <v>10.6</v>
      </c>
      <c r="J382" s="32">
        <v>1313</v>
      </c>
      <c r="K382" s="32">
        <v>3273</v>
      </c>
      <c r="L382" s="32">
        <v>0.65</v>
      </c>
      <c r="M382" s="34">
        <v>19.478976447125074</v>
      </c>
      <c r="N382" s="32">
        <v>155.28</v>
      </c>
      <c r="O382" s="32">
        <v>144.43</v>
      </c>
      <c r="P382" s="34">
        <f t="shared" si="5"/>
        <v>0.93012622359608454</v>
      </c>
    </row>
    <row r="383" spans="1:16">
      <c r="A383" s="32" t="s">
        <v>53</v>
      </c>
      <c r="B383" s="32">
        <v>200</v>
      </c>
      <c r="C383" s="32">
        <v>2400</v>
      </c>
      <c r="D383" s="32">
        <v>7.9</v>
      </c>
      <c r="E383" s="32">
        <v>63.593004769475357</v>
      </c>
      <c r="F383" s="32">
        <v>1939.5866454689983</v>
      </c>
      <c r="G383" s="77">
        <v>9.3999999999999998E-6</v>
      </c>
      <c r="H383" s="32">
        <v>0.23599999999999999</v>
      </c>
      <c r="I383" s="32">
        <v>10.6</v>
      </c>
      <c r="J383" s="32">
        <v>1313</v>
      </c>
      <c r="K383" s="32">
        <v>3273</v>
      </c>
      <c r="L383" s="32">
        <v>0.65</v>
      </c>
      <c r="M383" s="34">
        <v>17.781791328670401</v>
      </c>
      <c r="N383" s="32">
        <v>139.94</v>
      </c>
      <c r="O383" s="32">
        <v>57.57</v>
      </c>
      <c r="P383" s="34">
        <f t="shared" si="5"/>
        <v>0.41139059596970129</v>
      </c>
    </row>
    <row r="384" spans="1:16">
      <c r="A384" s="32" t="s">
        <v>53</v>
      </c>
      <c r="B384" s="32">
        <v>350</v>
      </c>
      <c r="C384" s="32">
        <v>400</v>
      </c>
      <c r="D384" s="32">
        <v>7.9</v>
      </c>
      <c r="E384" s="32">
        <v>63.593004769475357</v>
      </c>
      <c r="F384" s="32">
        <v>1939.5866454689983</v>
      </c>
      <c r="G384" s="77">
        <v>9.3999999999999998E-6</v>
      </c>
      <c r="H384" s="32">
        <v>0.23599999999999999</v>
      </c>
      <c r="I384" s="32">
        <v>10.6</v>
      </c>
      <c r="J384" s="32">
        <v>1313</v>
      </c>
      <c r="K384" s="32">
        <v>3273</v>
      </c>
      <c r="L384" s="32">
        <v>0.65</v>
      </c>
      <c r="M384" s="34">
        <v>76.223552068805759</v>
      </c>
      <c r="N384" s="32">
        <v>294.58999999999997</v>
      </c>
      <c r="O384" s="32">
        <v>932.48</v>
      </c>
      <c r="P384" s="34">
        <f t="shared" si="5"/>
        <v>3.165348450388676</v>
      </c>
    </row>
    <row r="385" spans="1:16">
      <c r="A385" s="32" t="s">
        <v>53</v>
      </c>
      <c r="B385" s="32">
        <v>350</v>
      </c>
      <c r="C385" s="32">
        <v>600</v>
      </c>
      <c r="D385" s="32">
        <v>7.9</v>
      </c>
      <c r="E385" s="32">
        <v>63.593004769475357</v>
      </c>
      <c r="F385" s="32">
        <v>1939.5866454689983</v>
      </c>
      <c r="G385" s="77">
        <v>9.3999999999999998E-6</v>
      </c>
      <c r="H385" s="32">
        <v>0.23599999999999999</v>
      </c>
      <c r="I385" s="32">
        <v>10.6</v>
      </c>
      <c r="J385" s="32">
        <v>1313</v>
      </c>
      <c r="K385" s="32">
        <v>3273</v>
      </c>
      <c r="L385" s="32">
        <v>0.65</v>
      </c>
      <c r="M385" s="34">
        <v>62.236269650346401</v>
      </c>
      <c r="N385" s="32">
        <v>302.89999999999998</v>
      </c>
      <c r="O385" s="32">
        <v>300.12</v>
      </c>
      <c r="P385" s="34">
        <f t="shared" si="5"/>
        <v>0.99082205348299779</v>
      </c>
    </row>
    <row r="386" spans="1:16">
      <c r="A386" s="32" t="s">
        <v>53</v>
      </c>
      <c r="B386" s="32">
        <v>350</v>
      </c>
      <c r="C386" s="32">
        <v>800</v>
      </c>
      <c r="D386" s="32">
        <v>7.9</v>
      </c>
      <c r="E386" s="32">
        <v>63.593004769475357</v>
      </c>
      <c r="F386" s="32">
        <v>1939.5866454689983</v>
      </c>
      <c r="G386" s="77">
        <v>9.3999999999999998E-6</v>
      </c>
      <c r="H386" s="32">
        <v>0.23599999999999999</v>
      </c>
      <c r="I386" s="32">
        <v>10.6</v>
      </c>
      <c r="J386" s="32">
        <v>1313</v>
      </c>
      <c r="K386" s="32">
        <v>3273</v>
      </c>
      <c r="L386" s="32">
        <v>0.65</v>
      </c>
      <c r="M386" s="34">
        <v>53.898190553978445</v>
      </c>
      <c r="N386" s="32">
        <v>342.3</v>
      </c>
      <c r="O386" s="32">
        <v>144.54</v>
      </c>
      <c r="P386" s="34">
        <f t="shared" si="5"/>
        <v>0.42226117440841365</v>
      </c>
    </row>
    <row r="387" spans="1:16">
      <c r="A387" s="32" t="s">
        <v>53</v>
      </c>
      <c r="B387" s="32">
        <v>350</v>
      </c>
      <c r="C387" s="32">
        <v>1000</v>
      </c>
      <c r="D387" s="32">
        <v>7.9</v>
      </c>
      <c r="E387" s="32">
        <v>63.593004769475357</v>
      </c>
      <c r="F387" s="32">
        <v>1939.5866454689983</v>
      </c>
      <c r="G387" s="77">
        <v>9.3999999999999998E-6</v>
      </c>
      <c r="H387" s="32">
        <v>0.23599999999999999</v>
      </c>
      <c r="I387" s="32">
        <v>10.6</v>
      </c>
      <c r="J387" s="32">
        <v>1313</v>
      </c>
      <c r="K387" s="32">
        <v>3273</v>
      </c>
      <c r="L387" s="32">
        <v>0.65</v>
      </c>
      <c r="M387" s="34">
        <v>48.208007177173144</v>
      </c>
      <c r="N387" s="32">
        <v>222.3</v>
      </c>
      <c r="O387" s="32">
        <v>387.05</v>
      </c>
      <c r="P387" s="34">
        <f t="shared" si="5"/>
        <v>1.7411156095366622</v>
      </c>
    </row>
    <row r="388" spans="1:16">
      <c r="A388" s="32" t="s">
        <v>53</v>
      </c>
      <c r="B388" s="32">
        <v>350</v>
      </c>
      <c r="C388" s="32">
        <v>1200</v>
      </c>
      <c r="D388" s="32">
        <v>7.9</v>
      </c>
      <c r="E388" s="32">
        <v>63.593004769475357</v>
      </c>
      <c r="F388" s="32">
        <v>1939.5866454689983</v>
      </c>
      <c r="G388" s="77">
        <v>9.3999999999999998E-6</v>
      </c>
      <c r="H388" s="32">
        <v>0.23599999999999999</v>
      </c>
      <c r="I388" s="32">
        <v>10.6</v>
      </c>
      <c r="J388" s="32">
        <v>1313</v>
      </c>
      <c r="K388" s="32">
        <v>3273</v>
      </c>
      <c r="L388" s="32">
        <v>0.65</v>
      </c>
      <c r="M388" s="34">
        <v>44.007688305514463</v>
      </c>
      <c r="N388" s="32">
        <v>212.27</v>
      </c>
      <c r="O388" s="32">
        <v>222.74</v>
      </c>
      <c r="P388" s="34">
        <f t="shared" si="5"/>
        <v>1.0493239741838225</v>
      </c>
    </row>
    <row r="389" spans="1:16">
      <c r="A389" s="32" t="s">
        <v>53</v>
      </c>
      <c r="B389" s="32">
        <v>350</v>
      </c>
      <c r="C389" s="32">
        <v>1600</v>
      </c>
      <c r="D389" s="32">
        <v>7.9</v>
      </c>
      <c r="E389" s="32">
        <v>63.593004769475357</v>
      </c>
      <c r="F389" s="32">
        <v>1939.5866454689983</v>
      </c>
      <c r="G389" s="77">
        <v>9.3999999999999998E-6</v>
      </c>
      <c r="H389" s="32">
        <v>0.23599999999999999</v>
      </c>
      <c r="I389" s="32">
        <v>10.6</v>
      </c>
      <c r="J389" s="32">
        <v>1313</v>
      </c>
      <c r="K389" s="32">
        <v>3273</v>
      </c>
      <c r="L389" s="32">
        <v>0.65</v>
      </c>
      <c r="M389" s="34">
        <v>38.11177603440288</v>
      </c>
      <c r="N389" s="32">
        <v>200.22</v>
      </c>
      <c r="O389" s="32">
        <v>207.54</v>
      </c>
      <c r="P389" s="34">
        <f t="shared" ref="P389:P452" si="6">O389/N389</f>
        <v>1.0365597842373389</v>
      </c>
    </row>
    <row r="390" spans="1:16">
      <c r="A390" s="32" t="s">
        <v>53</v>
      </c>
      <c r="B390" s="32">
        <v>350</v>
      </c>
      <c r="C390" s="32">
        <v>2000</v>
      </c>
      <c r="D390" s="32">
        <v>7.9</v>
      </c>
      <c r="E390" s="32">
        <v>63.593004769475357</v>
      </c>
      <c r="F390" s="32">
        <v>1939.5866454689983</v>
      </c>
      <c r="G390" s="77">
        <v>9.3999999999999998E-6</v>
      </c>
      <c r="H390" s="32">
        <v>0.23599999999999999</v>
      </c>
      <c r="I390" s="32">
        <v>10.6</v>
      </c>
      <c r="J390" s="32">
        <v>1313</v>
      </c>
      <c r="K390" s="32">
        <v>3273</v>
      </c>
      <c r="L390" s="32">
        <v>0.65</v>
      </c>
      <c r="M390" s="34">
        <v>34.088208782468875</v>
      </c>
      <c r="N390" s="32">
        <v>171.82</v>
      </c>
      <c r="O390" s="32">
        <v>133.19</v>
      </c>
      <c r="P390" s="34">
        <f t="shared" si="6"/>
        <v>0.77517169130485397</v>
      </c>
    </row>
    <row r="391" spans="1:16">
      <c r="A391" s="32" t="s">
        <v>53</v>
      </c>
      <c r="B391" s="32">
        <v>350</v>
      </c>
      <c r="C391" s="32">
        <v>2400</v>
      </c>
      <c r="D391" s="32">
        <v>7.9</v>
      </c>
      <c r="E391" s="32">
        <v>63.593004769475357</v>
      </c>
      <c r="F391" s="32">
        <v>1939.5866454689983</v>
      </c>
      <c r="G391" s="77">
        <v>9.3999999999999998E-6</v>
      </c>
      <c r="H391" s="32">
        <v>0.23599999999999999</v>
      </c>
      <c r="I391" s="32">
        <v>10.6</v>
      </c>
      <c r="J391" s="32">
        <v>1313</v>
      </c>
      <c r="K391" s="32">
        <v>3273</v>
      </c>
      <c r="L391" s="32">
        <v>0.65</v>
      </c>
      <c r="M391" s="34">
        <v>31.1181348251732</v>
      </c>
      <c r="N391" s="32">
        <v>168.72</v>
      </c>
      <c r="O391" s="32">
        <v>111.32</v>
      </c>
      <c r="P391" s="34">
        <f t="shared" si="6"/>
        <v>0.65979137031768609</v>
      </c>
    </row>
    <row r="392" spans="1:16">
      <c r="A392" s="32" t="s">
        <v>53</v>
      </c>
      <c r="B392" s="32">
        <v>100</v>
      </c>
      <c r="C392" s="32">
        <v>300</v>
      </c>
      <c r="D392" s="32">
        <v>7.9</v>
      </c>
      <c r="E392" s="32">
        <v>63.593004769475357</v>
      </c>
      <c r="F392" s="32">
        <v>1939.5866454689983</v>
      </c>
      <c r="G392" s="77">
        <v>9.3999999999999998E-6</v>
      </c>
      <c r="H392" s="32">
        <v>0.23599999999999999</v>
      </c>
      <c r="I392" s="32">
        <v>10.6</v>
      </c>
      <c r="J392" s="32">
        <v>1313</v>
      </c>
      <c r="K392" s="32">
        <v>3273</v>
      </c>
      <c r="L392" s="32">
        <v>0.65</v>
      </c>
      <c r="M392" s="34">
        <v>25.147250460293986</v>
      </c>
      <c r="N392" s="32">
        <v>269.64999999999998</v>
      </c>
      <c r="O392" s="32">
        <v>90.58</v>
      </c>
      <c r="P392" s="34">
        <f t="shared" si="6"/>
        <v>0.33591692935286482</v>
      </c>
    </row>
    <row r="393" spans="1:16">
      <c r="A393" s="32" t="s">
        <v>53</v>
      </c>
      <c r="B393" s="32">
        <v>150</v>
      </c>
      <c r="C393" s="32">
        <v>300</v>
      </c>
      <c r="D393" s="32">
        <v>7.9</v>
      </c>
      <c r="E393" s="32">
        <v>63.593004769475357</v>
      </c>
      <c r="F393" s="32">
        <v>1939.5866454689983</v>
      </c>
      <c r="G393" s="77">
        <v>9.3999999999999998E-6</v>
      </c>
      <c r="H393" s="32">
        <v>0.23599999999999999</v>
      </c>
      <c r="I393" s="32">
        <v>10.6</v>
      </c>
      <c r="J393" s="32">
        <v>1313</v>
      </c>
      <c r="K393" s="32">
        <v>3273</v>
      </c>
      <c r="L393" s="32">
        <v>0.65</v>
      </c>
      <c r="M393" s="34">
        <v>37.720875690440977</v>
      </c>
      <c r="N393" s="32">
        <v>317.70999999999998</v>
      </c>
      <c r="O393" s="32">
        <v>110</v>
      </c>
      <c r="P393" s="34">
        <f t="shared" si="6"/>
        <v>0.34622769192030473</v>
      </c>
    </row>
    <row r="394" spans="1:16">
      <c r="A394" s="32" t="s">
        <v>53</v>
      </c>
      <c r="B394" s="32">
        <v>200</v>
      </c>
      <c r="C394" s="32">
        <v>300</v>
      </c>
      <c r="D394" s="32">
        <v>7.9</v>
      </c>
      <c r="E394" s="32">
        <v>63.593004769475357</v>
      </c>
      <c r="F394" s="32">
        <v>1939.5866454689983</v>
      </c>
      <c r="G394" s="77">
        <v>9.3999999999999998E-6</v>
      </c>
      <c r="H394" s="32">
        <v>0.23599999999999999</v>
      </c>
      <c r="I394" s="32">
        <v>10.6</v>
      </c>
      <c r="J394" s="32">
        <v>1313</v>
      </c>
      <c r="K394" s="32">
        <v>3273</v>
      </c>
      <c r="L394" s="32">
        <v>0.65</v>
      </c>
      <c r="M394" s="34">
        <v>50.294500920587971</v>
      </c>
      <c r="N394" s="32">
        <v>356</v>
      </c>
      <c r="O394" s="32">
        <v>114.8</v>
      </c>
      <c r="P394" s="34">
        <f t="shared" si="6"/>
        <v>0.32247191011235954</v>
      </c>
    </row>
    <row r="395" spans="1:16">
      <c r="A395" s="32" t="s">
        <v>53</v>
      </c>
      <c r="B395" s="32">
        <v>250</v>
      </c>
      <c r="C395" s="32">
        <v>300</v>
      </c>
      <c r="D395" s="32">
        <v>7.9</v>
      </c>
      <c r="E395" s="32">
        <v>63.593004769475357</v>
      </c>
      <c r="F395" s="32">
        <v>1939.5866454689983</v>
      </c>
      <c r="G395" s="77">
        <v>9.3999999999999998E-6</v>
      </c>
      <c r="H395" s="32">
        <v>0.23599999999999999</v>
      </c>
      <c r="I395" s="32">
        <v>10.6</v>
      </c>
      <c r="J395" s="32">
        <v>1313</v>
      </c>
      <c r="K395" s="32">
        <v>3273</v>
      </c>
      <c r="L395" s="32">
        <v>0.65</v>
      </c>
      <c r="M395" s="34">
        <v>62.868126150734959</v>
      </c>
      <c r="N395" s="32">
        <v>359.24</v>
      </c>
      <c r="O395" s="32">
        <v>139.33000000000001</v>
      </c>
      <c r="P395" s="34">
        <f t="shared" si="6"/>
        <v>0.3878465649704933</v>
      </c>
    </row>
    <row r="396" spans="1:16">
      <c r="A396" s="32" t="s">
        <v>53</v>
      </c>
      <c r="B396" s="32">
        <v>300</v>
      </c>
      <c r="C396" s="32">
        <v>300</v>
      </c>
      <c r="D396" s="32">
        <v>7.9</v>
      </c>
      <c r="E396" s="32">
        <v>63.593004769475357</v>
      </c>
      <c r="F396" s="32">
        <v>1939.5866454689983</v>
      </c>
      <c r="G396" s="77">
        <v>9.3999999999999998E-6</v>
      </c>
      <c r="H396" s="32">
        <v>0.23599999999999999</v>
      </c>
      <c r="I396" s="32">
        <v>10.6</v>
      </c>
      <c r="J396" s="32">
        <v>1313</v>
      </c>
      <c r="K396" s="32">
        <v>3273</v>
      </c>
      <c r="L396" s="32">
        <v>0.65</v>
      </c>
      <c r="M396" s="34">
        <v>75.441751380881954</v>
      </c>
      <c r="N396" s="32">
        <v>380.63</v>
      </c>
      <c r="O396" s="32">
        <v>156.33000000000001</v>
      </c>
      <c r="P396" s="34">
        <f t="shared" si="6"/>
        <v>0.41071381656727007</v>
      </c>
    </row>
    <row r="397" spans="1:16">
      <c r="A397" s="32" t="s">
        <v>53</v>
      </c>
      <c r="B397" s="32">
        <v>100</v>
      </c>
      <c r="C397" s="32">
        <v>600</v>
      </c>
      <c r="D397" s="32">
        <v>7.9</v>
      </c>
      <c r="E397" s="32">
        <v>63.593004769475357</v>
      </c>
      <c r="F397" s="32">
        <v>1939.5866454689983</v>
      </c>
      <c r="G397" s="77">
        <v>9.3999999999999998E-6</v>
      </c>
      <c r="H397" s="32">
        <v>0.23599999999999999</v>
      </c>
      <c r="I397" s="32">
        <v>10.6</v>
      </c>
      <c r="J397" s="32">
        <v>1313</v>
      </c>
      <c r="K397" s="32">
        <v>3273</v>
      </c>
      <c r="L397" s="32">
        <v>0.65</v>
      </c>
      <c r="M397" s="34">
        <v>17.781791328670401</v>
      </c>
      <c r="N397" s="32">
        <v>159.19999999999999</v>
      </c>
      <c r="O397" s="32">
        <v>111.84</v>
      </c>
      <c r="P397" s="34">
        <f t="shared" si="6"/>
        <v>0.70251256281407037</v>
      </c>
    </row>
    <row r="398" spans="1:16">
      <c r="A398" s="32" t="s">
        <v>53</v>
      </c>
      <c r="B398" s="32">
        <v>150</v>
      </c>
      <c r="C398" s="32">
        <v>600</v>
      </c>
      <c r="D398" s="32">
        <v>7.9</v>
      </c>
      <c r="E398" s="32">
        <v>63.593004769475357</v>
      </c>
      <c r="F398" s="32">
        <v>1939.5866454689983</v>
      </c>
      <c r="G398" s="77">
        <v>9.3999999999999998E-6</v>
      </c>
      <c r="H398" s="32">
        <v>0.23599999999999999</v>
      </c>
      <c r="I398" s="32">
        <v>10.6</v>
      </c>
      <c r="J398" s="32">
        <v>1313</v>
      </c>
      <c r="K398" s="32">
        <v>3273</v>
      </c>
      <c r="L398" s="32">
        <v>0.65</v>
      </c>
      <c r="M398" s="34">
        <v>26.672686993005602</v>
      </c>
      <c r="N398" s="32">
        <v>162.79</v>
      </c>
      <c r="O398" s="32">
        <v>121.97</v>
      </c>
      <c r="P398" s="34">
        <f t="shared" si="6"/>
        <v>0.74924749677498625</v>
      </c>
    </row>
    <row r="399" spans="1:16">
      <c r="A399" s="32" t="s">
        <v>53</v>
      </c>
      <c r="B399" s="32">
        <v>200</v>
      </c>
      <c r="C399" s="32">
        <v>600</v>
      </c>
      <c r="D399" s="32">
        <v>7.9</v>
      </c>
      <c r="E399" s="32">
        <v>63.593004769475357</v>
      </c>
      <c r="F399" s="32">
        <v>1939.5866454689983</v>
      </c>
      <c r="G399" s="77">
        <v>9.3999999999999998E-6</v>
      </c>
      <c r="H399" s="32">
        <v>0.23599999999999999</v>
      </c>
      <c r="I399" s="32">
        <v>10.6</v>
      </c>
      <c r="J399" s="32">
        <v>1313</v>
      </c>
      <c r="K399" s="32">
        <v>3273</v>
      </c>
      <c r="L399" s="32">
        <v>0.65</v>
      </c>
      <c r="M399" s="34">
        <v>35.563582657340802</v>
      </c>
      <c r="N399" s="32">
        <v>191.5</v>
      </c>
      <c r="O399" s="32">
        <v>152.80000000000001</v>
      </c>
      <c r="P399" s="34">
        <f t="shared" si="6"/>
        <v>0.79791122715404705</v>
      </c>
    </row>
    <row r="400" spans="1:16">
      <c r="A400" s="32" t="s">
        <v>53</v>
      </c>
      <c r="B400" s="32">
        <v>250</v>
      </c>
      <c r="C400" s="32">
        <v>600</v>
      </c>
      <c r="D400" s="32">
        <v>7.9</v>
      </c>
      <c r="E400" s="32">
        <v>63.593004769475357</v>
      </c>
      <c r="F400" s="32">
        <v>1939.5866454689983</v>
      </c>
      <c r="G400" s="77">
        <v>9.3999999999999998E-6</v>
      </c>
      <c r="H400" s="32">
        <v>0.23599999999999999</v>
      </c>
      <c r="I400" s="32">
        <v>10.6</v>
      </c>
      <c r="J400" s="32">
        <v>1313</v>
      </c>
      <c r="K400" s="32">
        <v>3273</v>
      </c>
      <c r="L400" s="32">
        <v>0.65</v>
      </c>
      <c r="M400" s="34">
        <v>44.454478321676007</v>
      </c>
      <c r="N400" s="32">
        <v>198.7</v>
      </c>
      <c r="O400" s="32">
        <v>168.72</v>
      </c>
      <c r="P400" s="34">
        <f t="shared" si="6"/>
        <v>0.84911927528938103</v>
      </c>
    </row>
    <row r="401" spans="1:16">
      <c r="A401" s="32" t="s">
        <v>53</v>
      </c>
      <c r="B401" s="32">
        <v>300</v>
      </c>
      <c r="C401" s="32">
        <v>600</v>
      </c>
      <c r="D401" s="32">
        <v>7.9</v>
      </c>
      <c r="E401" s="32">
        <v>63.593004769475357</v>
      </c>
      <c r="F401" s="32">
        <v>1939.5866454689983</v>
      </c>
      <c r="G401" s="77">
        <v>9.3999999999999998E-6</v>
      </c>
      <c r="H401" s="32">
        <v>0.23599999999999999</v>
      </c>
      <c r="I401" s="32">
        <v>10.6</v>
      </c>
      <c r="J401" s="32">
        <v>1313</v>
      </c>
      <c r="K401" s="32">
        <v>3273</v>
      </c>
      <c r="L401" s="32">
        <v>0.65</v>
      </c>
      <c r="M401" s="34">
        <v>53.345373986011204</v>
      </c>
      <c r="N401" s="32">
        <v>211</v>
      </c>
      <c r="O401" s="32">
        <v>208</v>
      </c>
      <c r="P401" s="34">
        <f t="shared" si="6"/>
        <v>0.98578199052132698</v>
      </c>
    </row>
    <row r="402" spans="1:16">
      <c r="A402" s="32" t="s">
        <v>53</v>
      </c>
      <c r="B402" s="32">
        <v>100</v>
      </c>
      <c r="C402" s="32">
        <v>900</v>
      </c>
      <c r="D402" s="32">
        <v>7.9</v>
      </c>
      <c r="E402" s="32">
        <v>63.593004769475357</v>
      </c>
      <c r="F402" s="32">
        <v>1939.5866454689983</v>
      </c>
      <c r="G402" s="77">
        <v>9.3999999999999998E-6</v>
      </c>
      <c r="H402" s="32">
        <v>0.23599999999999999</v>
      </c>
      <c r="I402" s="32">
        <v>10.6</v>
      </c>
      <c r="J402" s="32">
        <v>1313</v>
      </c>
      <c r="K402" s="32">
        <v>3273</v>
      </c>
      <c r="L402" s="32">
        <v>0.65</v>
      </c>
      <c r="M402" s="34">
        <v>14.51877182262967</v>
      </c>
      <c r="N402" s="32">
        <v>95.53</v>
      </c>
      <c r="O402" s="32">
        <v>114.8</v>
      </c>
      <c r="P402" s="34">
        <f t="shared" si="6"/>
        <v>1.2017167381974247</v>
      </c>
    </row>
    <row r="403" spans="1:16">
      <c r="A403" s="32" t="s">
        <v>53</v>
      </c>
      <c r="B403" s="32">
        <v>150</v>
      </c>
      <c r="C403" s="32">
        <v>900</v>
      </c>
      <c r="D403" s="32">
        <v>7.9</v>
      </c>
      <c r="E403" s="32">
        <v>63.593004769475357</v>
      </c>
      <c r="F403" s="32">
        <v>1939.5866454689983</v>
      </c>
      <c r="G403" s="77">
        <v>9.3999999999999998E-6</v>
      </c>
      <c r="H403" s="32">
        <v>0.23599999999999999</v>
      </c>
      <c r="I403" s="32">
        <v>10.6</v>
      </c>
      <c r="J403" s="32">
        <v>1313</v>
      </c>
      <c r="K403" s="32">
        <v>3273</v>
      </c>
      <c r="L403" s="32">
        <v>0.65</v>
      </c>
      <c r="M403" s="34">
        <v>21.778157733944507</v>
      </c>
      <c r="N403" s="32">
        <v>110.93</v>
      </c>
      <c r="O403" s="32">
        <v>115.81</v>
      </c>
      <c r="P403" s="34">
        <f t="shared" si="6"/>
        <v>1.0439917064815649</v>
      </c>
    </row>
    <row r="404" spans="1:16">
      <c r="A404" s="32" t="s">
        <v>53</v>
      </c>
      <c r="B404" s="32">
        <v>200</v>
      </c>
      <c r="C404" s="32">
        <v>900</v>
      </c>
      <c r="D404" s="32">
        <v>7.9</v>
      </c>
      <c r="E404" s="32">
        <v>63.593004769475357</v>
      </c>
      <c r="F404" s="32">
        <v>1939.5866454689983</v>
      </c>
      <c r="G404" s="77">
        <v>9.3999999999999998E-6</v>
      </c>
      <c r="H404" s="32">
        <v>0.23599999999999999</v>
      </c>
      <c r="I404" s="32">
        <v>10.6</v>
      </c>
      <c r="J404" s="32">
        <v>1313</v>
      </c>
      <c r="K404" s="32">
        <v>3273</v>
      </c>
      <c r="L404" s="32">
        <v>0.65</v>
      </c>
      <c r="M404" s="34">
        <v>29.037543645259341</v>
      </c>
      <c r="N404" s="32">
        <v>158.18</v>
      </c>
      <c r="O404" s="32">
        <v>136.63999999999999</v>
      </c>
      <c r="P404" s="34">
        <f t="shared" si="6"/>
        <v>0.86382602098874683</v>
      </c>
    </row>
    <row r="405" spans="1:16">
      <c r="A405" s="32" t="s">
        <v>53</v>
      </c>
      <c r="B405" s="32">
        <v>250</v>
      </c>
      <c r="C405" s="32">
        <v>900</v>
      </c>
      <c r="D405" s="32">
        <v>7.9</v>
      </c>
      <c r="E405" s="32">
        <v>63.593004769475357</v>
      </c>
      <c r="F405" s="32">
        <v>1939.5866454689983</v>
      </c>
      <c r="G405" s="77">
        <v>9.3999999999999998E-6</v>
      </c>
      <c r="H405" s="32">
        <v>0.23599999999999999</v>
      </c>
      <c r="I405" s="32">
        <v>10.6</v>
      </c>
      <c r="J405" s="32">
        <v>1313</v>
      </c>
      <c r="K405" s="32">
        <v>3273</v>
      </c>
      <c r="L405" s="32">
        <v>0.65</v>
      </c>
      <c r="M405" s="34">
        <v>36.296929556574177</v>
      </c>
      <c r="N405" s="32">
        <v>165.36</v>
      </c>
      <c r="O405" s="32">
        <v>189.54</v>
      </c>
      <c r="P405" s="34">
        <f t="shared" si="6"/>
        <v>1.1462264150943395</v>
      </c>
    </row>
    <row r="406" spans="1:16">
      <c r="A406" s="32" t="s">
        <v>53</v>
      </c>
      <c r="B406" s="32">
        <v>300</v>
      </c>
      <c r="C406" s="32">
        <v>900</v>
      </c>
      <c r="D406" s="32">
        <v>7.9</v>
      </c>
      <c r="E406" s="32">
        <v>63.593004769475357</v>
      </c>
      <c r="F406" s="32">
        <v>1939.5866454689983</v>
      </c>
      <c r="G406" s="77">
        <v>9.3999999999999998E-6</v>
      </c>
      <c r="H406" s="32">
        <v>0.23599999999999999</v>
      </c>
      <c r="I406" s="32">
        <v>10.6</v>
      </c>
      <c r="J406" s="32">
        <v>1313</v>
      </c>
      <c r="K406" s="32">
        <v>3273</v>
      </c>
      <c r="L406" s="32">
        <v>0.65</v>
      </c>
      <c r="M406" s="34">
        <v>43.556315467889014</v>
      </c>
      <c r="N406" s="32">
        <v>184.3</v>
      </c>
      <c r="O406" s="32">
        <v>240.85</v>
      </c>
      <c r="P406" s="34">
        <f t="shared" si="6"/>
        <v>1.3068366793271837</v>
      </c>
    </row>
    <row r="407" spans="1:16">
      <c r="A407" s="32" t="s">
        <v>54</v>
      </c>
      <c r="B407" s="32">
        <v>200</v>
      </c>
      <c r="C407" s="32">
        <v>400</v>
      </c>
      <c r="D407" s="32">
        <v>7.31</v>
      </c>
      <c r="E407" s="32">
        <v>59.21994777188106</v>
      </c>
      <c r="F407" s="32">
        <v>2493.471485131834</v>
      </c>
      <c r="G407" s="77">
        <v>2.1999999999999999E-5</v>
      </c>
      <c r="H407" s="32">
        <v>0.22800000000000001</v>
      </c>
      <c r="I407" s="32">
        <v>66.8</v>
      </c>
      <c r="J407" s="32">
        <v>232</v>
      </c>
      <c r="K407" s="32">
        <v>2602</v>
      </c>
      <c r="L407" s="32">
        <v>0.7</v>
      </c>
      <c r="M407" s="34">
        <v>52.487759920756972</v>
      </c>
      <c r="N407" s="32">
        <v>471.73</v>
      </c>
      <c r="O407" s="32">
        <v>325.14999999999998</v>
      </c>
      <c r="P407" s="34">
        <f t="shared" si="6"/>
        <v>0.68927140525300479</v>
      </c>
    </row>
    <row r="408" spans="1:16">
      <c r="A408" s="32" t="s">
        <v>54</v>
      </c>
      <c r="B408" s="32">
        <v>200</v>
      </c>
      <c r="C408" s="32">
        <v>600</v>
      </c>
      <c r="D408" s="32">
        <v>7.31</v>
      </c>
      <c r="E408" s="32">
        <v>59.21994777188106</v>
      </c>
      <c r="F408" s="32">
        <v>2493.471485131834</v>
      </c>
      <c r="G408" s="77">
        <v>2.1999999999999999E-5</v>
      </c>
      <c r="H408" s="32">
        <v>0.22800000000000001</v>
      </c>
      <c r="I408" s="32">
        <v>66.8</v>
      </c>
      <c r="J408" s="32">
        <v>232</v>
      </c>
      <c r="K408" s="32">
        <v>2602</v>
      </c>
      <c r="L408" s="32">
        <v>0.7</v>
      </c>
      <c r="M408" s="34">
        <v>42.85607651585341</v>
      </c>
      <c r="N408" s="32">
        <v>355</v>
      </c>
      <c r="O408" s="32">
        <v>284</v>
      </c>
      <c r="P408" s="34">
        <f t="shared" si="6"/>
        <v>0.8</v>
      </c>
    </row>
    <row r="409" spans="1:16">
      <c r="A409" s="32" t="s">
        <v>54</v>
      </c>
      <c r="B409" s="32">
        <v>200</v>
      </c>
      <c r="C409" s="32">
        <v>800</v>
      </c>
      <c r="D409" s="32">
        <v>7.31</v>
      </c>
      <c r="E409" s="32">
        <v>59.21994777188106</v>
      </c>
      <c r="F409" s="32">
        <v>2493.471485131834</v>
      </c>
      <c r="G409" s="77">
        <v>2.1999999999999999E-5</v>
      </c>
      <c r="H409" s="32">
        <v>0.22800000000000001</v>
      </c>
      <c r="I409" s="32">
        <v>66.8</v>
      </c>
      <c r="J409" s="32">
        <v>232</v>
      </c>
      <c r="K409" s="32">
        <v>2602</v>
      </c>
      <c r="L409" s="32">
        <v>0.7</v>
      </c>
      <c r="M409" s="34">
        <v>37.114450969258748</v>
      </c>
      <c r="N409" s="32">
        <v>307.11</v>
      </c>
      <c r="O409" s="32">
        <v>245.68800000000002</v>
      </c>
      <c r="P409" s="34">
        <f t="shared" si="6"/>
        <v>0.8</v>
      </c>
    </row>
    <row r="410" spans="1:16">
      <c r="A410" s="32" t="s">
        <v>54</v>
      </c>
      <c r="B410" s="32">
        <v>200</v>
      </c>
      <c r="C410" s="32">
        <v>1200</v>
      </c>
      <c r="D410" s="32">
        <v>7.31</v>
      </c>
      <c r="E410" s="32">
        <v>59.21994777188106</v>
      </c>
      <c r="F410" s="32">
        <v>2493.471485131834</v>
      </c>
      <c r="G410" s="77">
        <v>2.1999999999999999E-5</v>
      </c>
      <c r="H410" s="32">
        <v>0.22800000000000001</v>
      </c>
      <c r="I410" s="32">
        <v>66.8</v>
      </c>
      <c r="J410" s="32">
        <v>232</v>
      </c>
      <c r="K410" s="32">
        <v>2602</v>
      </c>
      <c r="L410" s="32">
        <v>0.7</v>
      </c>
      <c r="M410" s="34">
        <v>30.303822319409491</v>
      </c>
      <c r="N410" s="32">
        <v>313.35000000000002</v>
      </c>
      <c r="O410" s="32">
        <v>222.75</v>
      </c>
      <c r="P410" s="34">
        <f t="shared" si="6"/>
        <v>0.71086644327429382</v>
      </c>
    </row>
    <row r="411" spans="1:16">
      <c r="A411" s="32" t="s">
        <v>54</v>
      </c>
      <c r="B411" s="32">
        <v>200</v>
      </c>
      <c r="C411" s="32">
        <v>1600</v>
      </c>
      <c r="D411" s="32">
        <v>7.31</v>
      </c>
      <c r="E411" s="32">
        <v>59.21994777188106</v>
      </c>
      <c r="F411" s="32">
        <v>2493.471485131834</v>
      </c>
      <c r="G411" s="77">
        <v>2.1999999999999999E-5</v>
      </c>
      <c r="H411" s="32">
        <v>0.22800000000000001</v>
      </c>
      <c r="I411" s="32">
        <v>66.8</v>
      </c>
      <c r="J411" s="32">
        <v>232</v>
      </c>
      <c r="K411" s="32">
        <v>2602</v>
      </c>
      <c r="L411" s="32">
        <v>0.7</v>
      </c>
      <c r="M411" s="34">
        <v>26.243879960378486</v>
      </c>
      <c r="N411" s="32">
        <v>318.55</v>
      </c>
      <c r="O411" s="32">
        <v>184.67</v>
      </c>
      <c r="P411" s="34">
        <f t="shared" si="6"/>
        <v>0.57972060900957456</v>
      </c>
    </row>
    <row r="412" spans="1:16">
      <c r="A412" s="32" t="s">
        <v>54</v>
      </c>
      <c r="B412" s="32">
        <v>200</v>
      </c>
      <c r="C412" s="32">
        <v>2000</v>
      </c>
      <c r="D412" s="32">
        <v>7.31</v>
      </c>
      <c r="E412" s="32">
        <v>59.21994777188106</v>
      </c>
      <c r="F412" s="32">
        <v>2493.471485131834</v>
      </c>
      <c r="G412" s="77">
        <v>2.1999999999999999E-5</v>
      </c>
      <c r="H412" s="32">
        <v>0.22800000000000001</v>
      </c>
      <c r="I412" s="32">
        <v>66.8</v>
      </c>
      <c r="J412" s="32">
        <v>232</v>
      </c>
      <c r="K412" s="32">
        <v>2602</v>
      </c>
      <c r="L412" s="32">
        <v>0.7</v>
      </c>
      <c r="M412" s="34">
        <v>23.473239833900315</v>
      </c>
      <c r="N412" s="32">
        <v>316.06</v>
      </c>
      <c r="O412" s="32">
        <v>145.88999999999999</v>
      </c>
      <c r="P412" s="34">
        <f t="shared" si="6"/>
        <v>0.46158957160032899</v>
      </c>
    </row>
    <row r="413" spans="1:16">
      <c r="A413" s="32" t="s">
        <v>54</v>
      </c>
      <c r="B413" s="32">
        <v>200</v>
      </c>
      <c r="C413" s="32">
        <v>2400</v>
      </c>
      <c r="D413" s="32">
        <v>7.31</v>
      </c>
      <c r="E413" s="32">
        <v>59.21994777188106</v>
      </c>
      <c r="F413" s="32">
        <v>2493.471485131834</v>
      </c>
      <c r="G413" s="77">
        <v>2.1999999999999999E-5</v>
      </c>
      <c r="H413" s="32">
        <v>0.22800000000000001</v>
      </c>
      <c r="I413" s="32">
        <v>66.8</v>
      </c>
      <c r="J413" s="32">
        <v>232</v>
      </c>
      <c r="K413" s="32">
        <v>2602</v>
      </c>
      <c r="L413" s="32">
        <v>0.7</v>
      </c>
      <c r="M413" s="34">
        <v>21.428038257926705</v>
      </c>
      <c r="N413" s="32">
        <v>181.81</v>
      </c>
      <c r="O413" s="32">
        <v>91.35</v>
      </c>
      <c r="P413" s="34">
        <f t="shared" si="6"/>
        <v>0.50244761014245642</v>
      </c>
    </row>
    <row r="414" spans="1:16">
      <c r="A414" s="32" t="s">
        <v>54</v>
      </c>
      <c r="B414" s="32">
        <v>350</v>
      </c>
      <c r="C414" s="32">
        <v>400</v>
      </c>
      <c r="D414" s="32">
        <v>7.31</v>
      </c>
      <c r="E414" s="32">
        <v>59.21994777188106</v>
      </c>
      <c r="F414" s="32">
        <v>2493.471485131834</v>
      </c>
      <c r="G414" s="77">
        <v>2.1999999999999999E-5</v>
      </c>
      <c r="H414" s="32">
        <v>0.22800000000000001</v>
      </c>
      <c r="I414" s="32">
        <v>66.8</v>
      </c>
      <c r="J414" s="32">
        <v>232</v>
      </c>
      <c r="K414" s="32">
        <v>2602</v>
      </c>
      <c r="L414" s="32">
        <v>0.7</v>
      </c>
      <c r="M414" s="34">
        <v>91.853579861324704</v>
      </c>
      <c r="N414" s="32">
        <v>652.1</v>
      </c>
      <c r="O414" s="32">
        <v>1049.71</v>
      </c>
      <c r="P414" s="34">
        <f t="shared" si="6"/>
        <v>1.6097377702806317</v>
      </c>
    </row>
    <row r="415" spans="1:16">
      <c r="A415" s="32" t="s">
        <v>54</v>
      </c>
      <c r="B415" s="32">
        <v>350</v>
      </c>
      <c r="C415" s="32">
        <v>600</v>
      </c>
      <c r="D415" s="32">
        <v>7.31</v>
      </c>
      <c r="E415" s="32">
        <v>59.21994777188106</v>
      </c>
      <c r="F415" s="32">
        <v>2493.471485131834</v>
      </c>
      <c r="G415" s="77">
        <v>2.1999999999999999E-5</v>
      </c>
      <c r="H415" s="32">
        <v>0.22800000000000001</v>
      </c>
      <c r="I415" s="32">
        <v>66.8</v>
      </c>
      <c r="J415" s="32">
        <v>232</v>
      </c>
      <c r="K415" s="32">
        <v>2602</v>
      </c>
      <c r="L415" s="32">
        <v>0.7</v>
      </c>
      <c r="M415" s="34">
        <v>74.998133902743461</v>
      </c>
      <c r="N415" s="32">
        <v>618.51</v>
      </c>
      <c r="O415" s="32">
        <v>735.79</v>
      </c>
      <c r="P415" s="34">
        <f t="shared" si="6"/>
        <v>1.1896169827488641</v>
      </c>
    </row>
    <row r="416" spans="1:16">
      <c r="A416" s="32" t="s">
        <v>54</v>
      </c>
      <c r="B416" s="32">
        <v>350</v>
      </c>
      <c r="C416" s="32">
        <v>800</v>
      </c>
      <c r="D416" s="32">
        <v>7.31</v>
      </c>
      <c r="E416" s="32">
        <v>59.21994777188106</v>
      </c>
      <c r="F416" s="32">
        <v>2493.471485131834</v>
      </c>
      <c r="G416" s="77">
        <v>2.1999999999999999E-5</v>
      </c>
      <c r="H416" s="32">
        <v>0.22800000000000001</v>
      </c>
      <c r="I416" s="32">
        <v>66.8</v>
      </c>
      <c r="J416" s="32">
        <v>232</v>
      </c>
      <c r="K416" s="32">
        <v>2602</v>
      </c>
      <c r="L416" s="32">
        <v>0.7</v>
      </c>
      <c r="M416" s="34">
        <v>64.950289196202803</v>
      </c>
      <c r="N416" s="32">
        <v>584.91999999999996</v>
      </c>
      <c r="O416" s="32">
        <v>421.87</v>
      </c>
      <c r="P416" s="34">
        <f t="shared" si="6"/>
        <v>0.72124393079395477</v>
      </c>
    </row>
    <row r="417" spans="1:16">
      <c r="A417" s="32" t="s">
        <v>54</v>
      </c>
      <c r="B417" s="32">
        <v>350</v>
      </c>
      <c r="C417" s="32">
        <v>1000</v>
      </c>
      <c r="D417" s="32">
        <v>7.31</v>
      </c>
      <c r="E417" s="32">
        <v>59.21994777188106</v>
      </c>
      <c r="F417" s="32">
        <v>2493.471485131834</v>
      </c>
      <c r="G417" s="77">
        <v>2.1999999999999999E-5</v>
      </c>
      <c r="H417" s="32">
        <v>0.22800000000000001</v>
      </c>
      <c r="I417" s="32">
        <v>66.8</v>
      </c>
      <c r="J417" s="32">
        <v>232</v>
      </c>
      <c r="K417" s="32">
        <v>2602</v>
      </c>
      <c r="L417" s="32">
        <v>0.7</v>
      </c>
      <c r="M417" s="34">
        <v>58.093304720391856</v>
      </c>
      <c r="N417" s="32">
        <v>517</v>
      </c>
      <c r="O417" s="32">
        <v>381.24</v>
      </c>
      <c r="P417" s="34">
        <f t="shared" si="6"/>
        <v>0.73740812379110254</v>
      </c>
    </row>
    <row r="418" spans="1:16">
      <c r="A418" s="32" t="s">
        <v>54</v>
      </c>
      <c r="B418" s="32">
        <v>350</v>
      </c>
      <c r="C418" s="32">
        <v>1200</v>
      </c>
      <c r="D418" s="32">
        <v>7.31</v>
      </c>
      <c r="E418" s="32">
        <v>59.21994777188106</v>
      </c>
      <c r="F418" s="32">
        <v>2493.471485131834</v>
      </c>
      <c r="G418" s="77">
        <v>2.1999999999999999E-5</v>
      </c>
      <c r="H418" s="32">
        <v>0.22800000000000001</v>
      </c>
      <c r="I418" s="32">
        <v>66.8</v>
      </c>
      <c r="J418" s="32">
        <v>232</v>
      </c>
      <c r="K418" s="32">
        <v>2602</v>
      </c>
      <c r="L418" s="32">
        <v>0.7</v>
      </c>
      <c r="M418" s="34">
        <v>53.031689058966613</v>
      </c>
      <c r="N418" s="32">
        <v>440.14</v>
      </c>
      <c r="O418" s="32">
        <v>337.23</v>
      </c>
      <c r="P418" s="34">
        <f t="shared" si="6"/>
        <v>0.76618803108101974</v>
      </c>
    </row>
    <row r="419" spans="1:16">
      <c r="A419" s="32" t="s">
        <v>54</v>
      </c>
      <c r="B419" s="32">
        <v>350</v>
      </c>
      <c r="C419" s="32">
        <v>1600</v>
      </c>
      <c r="D419" s="32">
        <v>7.31</v>
      </c>
      <c r="E419" s="32">
        <v>59.21994777188106</v>
      </c>
      <c r="F419" s="32">
        <v>2493.471485131834</v>
      </c>
      <c r="G419" s="77">
        <v>2.1999999999999999E-5</v>
      </c>
      <c r="H419" s="32">
        <v>0.22800000000000001</v>
      </c>
      <c r="I419" s="32">
        <v>66.8</v>
      </c>
      <c r="J419" s="32">
        <v>232</v>
      </c>
      <c r="K419" s="32">
        <v>2602</v>
      </c>
      <c r="L419" s="32">
        <v>0.7</v>
      </c>
      <c r="M419" s="34">
        <v>45.926789930662352</v>
      </c>
      <c r="N419" s="32">
        <v>434.69</v>
      </c>
      <c r="O419" s="32">
        <v>382.22</v>
      </c>
      <c r="P419" s="34">
        <f t="shared" si="6"/>
        <v>0.87929328947065732</v>
      </c>
    </row>
    <row r="420" spans="1:16">
      <c r="A420" s="32" t="s">
        <v>54</v>
      </c>
      <c r="B420" s="32">
        <v>350</v>
      </c>
      <c r="C420" s="32">
        <v>2000</v>
      </c>
      <c r="D420" s="32">
        <v>7.31</v>
      </c>
      <c r="E420" s="32">
        <v>59.21994777188106</v>
      </c>
      <c r="F420" s="32">
        <v>2493.471485131834</v>
      </c>
      <c r="G420" s="77">
        <v>2.1999999999999999E-5</v>
      </c>
      <c r="H420" s="32">
        <v>0.22800000000000001</v>
      </c>
      <c r="I420" s="32">
        <v>66.8</v>
      </c>
      <c r="J420" s="32">
        <v>232</v>
      </c>
      <c r="K420" s="32">
        <v>2602</v>
      </c>
      <c r="L420" s="32">
        <v>0.7</v>
      </c>
      <c r="M420" s="34">
        <v>41.07816970932555</v>
      </c>
      <c r="N420" s="32">
        <v>396.11</v>
      </c>
      <c r="O420" s="32">
        <v>307.75</v>
      </c>
      <c r="P420" s="34">
        <f t="shared" si="6"/>
        <v>0.77693065057685995</v>
      </c>
    </row>
    <row r="421" spans="1:16">
      <c r="A421" s="32" t="s">
        <v>54</v>
      </c>
      <c r="B421" s="32">
        <v>350</v>
      </c>
      <c r="C421" s="32">
        <v>2400</v>
      </c>
      <c r="D421" s="32">
        <v>7.31</v>
      </c>
      <c r="E421" s="32">
        <v>59.21994777188106</v>
      </c>
      <c r="F421" s="32">
        <v>2493.471485131834</v>
      </c>
      <c r="G421" s="77">
        <v>2.1999999999999999E-5</v>
      </c>
      <c r="H421" s="32">
        <v>0.22800000000000001</v>
      </c>
      <c r="I421" s="32">
        <v>66.8</v>
      </c>
      <c r="J421" s="32">
        <v>232</v>
      </c>
      <c r="K421" s="32">
        <v>2602</v>
      </c>
      <c r="L421" s="32">
        <v>0.7</v>
      </c>
      <c r="M421" s="34">
        <v>37.499066951371731</v>
      </c>
      <c r="N421" s="32">
        <v>415.24</v>
      </c>
      <c r="O421" s="32">
        <v>231.39</v>
      </c>
      <c r="P421" s="34">
        <f t="shared" si="6"/>
        <v>0.55724400346787395</v>
      </c>
    </row>
    <row r="422" spans="1:16">
      <c r="A422" s="32" t="s">
        <v>54</v>
      </c>
      <c r="B422" s="32">
        <v>100</v>
      </c>
      <c r="C422" s="32">
        <v>300</v>
      </c>
      <c r="D422" s="32">
        <v>7.31</v>
      </c>
      <c r="E422" s="32">
        <v>59.21994777188106</v>
      </c>
      <c r="F422" s="32">
        <v>2493.471485131834</v>
      </c>
      <c r="G422" s="77">
        <v>2.1999999999999999E-5</v>
      </c>
      <c r="H422" s="32">
        <v>0.22800000000000001</v>
      </c>
      <c r="I422" s="32">
        <v>66.8</v>
      </c>
      <c r="J422" s="32">
        <v>232</v>
      </c>
      <c r="K422" s="32">
        <v>2602</v>
      </c>
      <c r="L422" s="32">
        <v>0.7</v>
      </c>
      <c r="M422" s="34">
        <v>30.303822319409491</v>
      </c>
      <c r="N422" s="32">
        <v>597.75</v>
      </c>
      <c r="O422" s="32">
        <v>378.2</v>
      </c>
      <c r="P422" s="34">
        <f t="shared" si="6"/>
        <v>0.63270598076118778</v>
      </c>
    </row>
    <row r="423" spans="1:16">
      <c r="A423" s="32" t="s">
        <v>54</v>
      </c>
      <c r="B423" s="32">
        <v>150</v>
      </c>
      <c r="C423" s="32">
        <v>300</v>
      </c>
      <c r="D423" s="32">
        <v>7.31</v>
      </c>
      <c r="E423" s="32">
        <v>59.21994777188106</v>
      </c>
      <c r="F423" s="32">
        <v>2493.471485131834</v>
      </c>
      <c r="G423" s="77">
        <v>2.1999999999999999E-5</v>
      </c>
      <c r="H423" s="32">
        <v>0.22800000000000001</v>
      </c>
      <c r="I423" s="32">
        <v>66.8</v>
      </c>
      <c r="J423" s="32">
        <v>232</v>
      </c>
      <c r="K423" s="32">
        <v>2602</v>
      </c>
      <c r="L423" s="32">
        <v>0.7</v>
      </c>
      <c r="M423" s="34">
        <v>45.455733479114237</v>
      </c>
      <c r="N423" s="32">
        <v>655.42</v>
      </c>
      <c r="O423" s="32">
        <v>641.54</v>
      </c>
      <c r="P423" s="34">
        <f t="shared" si="6"/>
        <v>0.97882273961734456</v>
      </c>
    </row>
    <row r="424" spans="1:16">
      <c r="A424" s="32" t="s">
        <v>54</v>
      </c>
      <c r="B424" s="32">
        <v>200</v>
      </c>
      <c r="C424" s="32">
        <v>300</v>
      </c>
      <c r="D424" s="32">
        <v>7.31</v>
      </c>
      <c r="E424" s="32">
        <v>59.21994777188106</v>
      </c>
      <c r="F424" s="32">
        <v>2493.471485131834</v>
      </c>
      <c r="G424" s="77">
        <v>2.1999999999999999E-5</v>
      </c>
      <c r="H424" s="32">
        <v>0.22800000000000001</v>
      </c>
      <c r="I424" s="32">
        <v>66.8</v>
      </c>
      <c r="J424" s="32">
        <v>232</v>
      </c>
      <c r="K424" s="32">
        <v>2602</v>
      </c>
      <c r="L424" s="32">
        <v>0.7</v>
      </c>
      <c r="M424" s="34">
        <v>60.607644638818982</v>
      </c>
      <c r="N424" s="32">
        <v>730.55</v>
      </c>
      <c r="O424" s="32">
        <v>800.99</v>
      </c>
      <c r="P424" s="34">
        <f t="shared" si="6"/>
        <v>1.0964205050988982</v>
      </c>
    </row>
    <row r="425" spans="1:16">
      <c r="A425" s="32" t="s">
        <v>54</v>
      </c>
      <c r="B425" s="32">
        <v>250</v>
      </c>
      <c r="C425" s="32">
        <v>300</v>
      </c>
      <c r="D425" s="32">
        <v>7.31</v>
      </c>
      <c r="E425" s="32">
        <v>59.21994777188106</v>
      </c>
      <c r="F425" s="32">
        <v>2493.471485131834</v>
      </c>
      <c r="G425" s="77">
        <v>2.1999999999999999E-5</v>
      </c>
      <c r="H425" s="32">
        <v>0.22800000000000001</v>
      </c>
      <c r="I425" s="32">
        <v>66.8</v>
      </c>
      <c r="J425" s="32">
        <v>232</v>
      </c>
      <c r="K425" s="32">
        <v>2602</v>
      </c>
      <c r="L425" s="32">
        <v>0.7</v>
      </c>
      <c r="M425" s="34">
        <v>75.759555798523735</v>
      </c>
      <c r="N425" s="32">
        <v>836.48</v>
      </c>
      <c r="O425" s="32">
        <v>979.5</v>
      </c>
      <c r="P425" s="34">
        <f t="shared" si="6"/>
        <v>1.1709783856159144</v>
      </c>
    </row>
    <row r="426" spans="1:16">
      <c r="A426" s="32" t="s">
        <v>54</v>
      </c>
      <c r="B426" s="32">
        <v>300</v>
      </c>
      <c r="C426" s="32">
        <v>300</v>
      </c>
      <c r="D426" s="32">
        <v>7.31</v>
      </c>
      <c r="E426" s="32">
        <v>59.21994777188106</v>
      </c>
      <c r="F426" s="32">
        <v>2493.471485131834</v>
      </c>
      <c r="G426" s="77">
        <v>2.1999999999999999E-5</v>
      </c>
      <c r="H426" s="32">
        <v>0.22800000000000001</v>
      </c>
      <c r="I426" s="32">
        <v>66.8</v>
      </c>
      <c r="J426" s="32">
        <v>232</v>
      </c>
      <c r="K426" s="32">
        <v>2602</v>
      </c>
      <c r="L426" s="32">
        <v>0.7</v>
      </c>
      <c r="M426" s="34">
        <v>90.911466958228473</v>
      </c>
      <c r="N426" s="32">
        <v>815.94</v>
      </c>
      <c r="O426" s="32">
        <v>1267.5999999999999</v>
      </c>
      <c r="P426" s="34">
        <f t="shared" si="6"/>
        <v>1.5535456038434197</v>
      </c>
    </row>
    <row r="427" spans="1:16">
      <c r="A427" s="32" t="s">
        <v>54</v>
      </c>
      <c r="B427" s="32">
        <v>100</v>
      </c>
      <c r="C427" s="32">
        <v>600</v>
      </c>
      <c r="D427" s="32">
        <v>7.31</v>
      </c>
      <c r="E427" s="32">
        <v>59.21994777188106</v>
      </c>
      <c r="F427" s="32">
        <v>2493.471485131834</v>
      </c>
      <c r="G427" s="77">
        <v>2.1999999999999999E-5</v>
      </c>
      <c r="H427" s="32">
        <v>0.22800000000000001</v>
      </c>
      <c r="I427" s="32">
        <v>66.8</v>
      </c>
      <c r="J427" s="32">
        <v>232</v>
      </c>
      <c r="K427" s="32">
        <v>2602</v>
      </c>
      <c r="L427" s="32">
        <v>0.7</v>
      </c>
      <c r="M427" s="34">
        <v>21.428038257926705</v>
      </c>
      <c r="N427" s="32">
        <v>515.46</v>
      </c>
      <c r="O427" s="32">
        <v>264.45</v>
      </c>
      <c r="P427" s="34">
        <f t="shared" si="6"/>
        <v>0.51303689908043293</v>
      </c>
    </row>
    <row r="428" spans="1:16">
      <c r="A428" s="32" t="s">
        <v>54</v>
      </c>
      <c r="B428" s="32">
        <v>150</v>
      </c>
      <c r="C428" s="32">
        <v>600</v>
      </c>
      <c r="D428" s="32">
        <v>7.31</v>
      </c>
      <c r="E428" s="32">
        <v>59.21994777188106</v>
      </c>
      <c r="F428" s="32">
        <v>2493.471485131834</v>
      </c>
      <c r="G428" s="77">
        <v>2.1999999999999999E-5</v>
      </c>
      <c r="H428" s="32">
        <v>0.22800000000000001</v>
      </c>
      <c r="I428" s="32">
        <v>66.8</v>
      </c>
      <c r="J428" s="32">
        <v>232</v>
      </c>
      <c r="K428" s="32">
        <v>2602</v>
      </c>
      <c r="L428" s="32">
        <v>0.7</v>
      </c>
      <c r="M428" s="34">
        <v>32.142057386890059</v>
      </c>
      <c r="N428" s="32">
        <v>571</v>
      </c>
      <c r="O428" s="32">
        <v>339</v>
      </c>
      <c r="P428" s="34">
        <f t="shared" si="6"/>
        <v>0.59369527145359025</v>
      </c>
    </row>
    <row r="429" spans="1:16">
      <c r="A429" s="32" t="s">
        <v>54</v>
      </c>
      <c r="B429" s="32">
        <v>200</v>
      </c>
      <c r="C429" s="32">
        <v>600</v>
      </c>
      <c r="D429" s="32">
        <v>7.31</v>
      </c>
      <c r="E429" s="32">
        <v>59.21994777188106</v>
      </c>
      <c r="F429" s="32">
        <v>2493.471485131834</v>
      </c>
      <c r="G429" s="77">
        <v>2.1999999999999999E-5</v>
      </c>
      <c r="H429" s="32">
        <v>0.22800000000000001</v>
      </c>
      <c r="I429" s="32">
        <v>66.8</v>
      </c>
      <c r="J429" s="32">
        <v>232</v>
      </c>
      <c r="K429" s="32">
        <v>2602</v>
      </c>
      <c r="L429" s="32">
        <v>0.7</v>
      </c>
      <c r="M429" s="34">
        <v>42.85607651585341</v>
      </c>
      <c r="N429" s="32">
        <v>579</v>
      </c>
      <c r="O429" s="32">
        <v>422.58</v>
      </c>
      <c r="P429" s="34">
        <f t="shared" si="6"/>
        <v>0.72984455958549221</v>
      </c>
    </row>
    <row r="430" spans="1:16">
      <c r="A430" s="32" t="s">
        <v>54</v>
      </c>
      <c r="B430" s="32">
        <v>250</v>
      </c>
      <c r="C430" s="32">
        <v>600</v>
      </c>
      <c r="D430" s="32">
        <v>7.31</v>
      </c>
      <c r="E430" s="32">
        <v>59.21994777188106</v>
      </c>
      <c r="F430" s="32">
        <v>2493.471485131834</v>
      </c>
      <c r="G430" s="77">
        <v>2.1999999999999999E-5</v>
      </c>
      <c r="H430" s="32">
        <v>0.22800000000000001</v>
      </c>
      <c r="I430" s="32">
        <v>66.8</v>
      </c>
      <c r="J430" s="32">
        <v>232</v>
      </c>
      <c r="K430" s="32">
        <v>2602</v>
      </c>
      <c r="L430" s="32">
        <v>0.7</v>
      </c>
      <c r="M430" s="34">
        <v>53.57009564481676</v>
      </c>
      <c r="N430" s="32">
        <v>585</v>
      </c>
      <c r="O430" s="32">
        <v>643</v>
      </c>
      <c r="P430" s="34">
        <f t="shared" si="6"/>
        <v>1.0991452991452992</v>
      </c>
    </row>
    <row r="431" spans="1:16">
      <c r="A431" s="32" t="s">
        <v>54</v>
      </c>
      <c r="B431" s="32">
        <v>300</v>
      </c>
      <c r="C431" s="32">
        <v>600</v>
      </c>
      <c r="D431" s="32">
        <v>7.31</v>
      </c>
      <c r="E431" s="32">
        <v>59.21994777188106</v>
      </c>
      <c r="F431" s="32">
        <v>2493.471485131834</v>
      </c>
      <c r="G431" s="77">
        <v>2.1999999999999999E-5</v>
      </c>
      <c r="H431" s="32">
        <v>0.22800000000000001</v>
      </c>
      <c r="I431" s="32">
        <v>66.8</v>
      </c>
      <c r="J431" s="32">
        <v>232</v>
      </c>
      <c r="K431" s="32">
        <v>2602</v>
      </c>
      <c r="L431" s="32">
        <v>0.7</v>
      </c>
      <c r="M431" s="34">
        <v>64.284114773780118</v>
      </c>
      <c r="N431" s="32">
        <v>600</v>
      </c>
      <c r="O431" s="32">
        <v>911.78</v>
      </c>
      <c r="P431" s="34">
        <f t="shared" si="6"/>
        <v>1.5196333333333334</v>
      </c>
    </row>
    <row r="432" spans="1:16">
      <c r="A432" s="32" t="s">
        <v>54</v>
      </c>
      <c r="B432" s="32">
        <v>100</v>
      </c>
      <c r="C432" s="32">
        <v>900</v>
      </c>
      <c r="D432" s="32">
        <v>7.31</v>
      </c>
      <c r="E432" s="32">
        <v>59.21994777188106</v>
      </c>
      <c r="F432" s="32">
        <v>2493.471485131834</v>
      </c>
      <c r="G432" s="77">
        <v>2.1999999999999999E-5</v>
      </c>
      <c r="H432" s="32">
        <v>0.22800000000000001</v>
      </c>
      <c r="I432" s="32">
        <v>66.8</v>
      </c>
      <c r="J432" s="32">
        <v>232</v>
      </c>
      <c r="K432" s="32">
        <v>2602</v>
      </c>
      <c r="L432" s="32">
        <v>0.7</v>
      </c>
      <c r="M432" s="34">
        <v>17.495919973585661</v>
      </c>
      <c r="N432" s="32">
        <v>388.6</v>
      </c>
      <c r="O432" s="32">
        <v>146.1</v>
      </c>
      <c r="P432" s="34">
        <f t="shared" si="6"/>
        <v>0.37596500257334015</v>
      </c>
    </row>
    <row r="433" spans="1:16">
      <c r="A433" s="32" t="s">
        <v>54</v>
      </c>
      <c r="B433" s="32">
        <v>150</v>
      </c>
      <c r="C433" s="32">
        <v>900</v>
      </c>
      <c r="D433" s="32">
        <v>7.31</v>
      </c>
      <c r="E433" s="32">
        <v>59.21994777188106</v>
      </c>
      <c r="F433" s="32">
        <v>2493.471485131834</v>
      </c>
      <c r="G433" s="77">
        <v>2.1999999999999999E-5</v>
      </c>
      <c r="H433" s="32">
        <v>0.22800000000000001</v>
      </c>
      <c r="I433" s="32">
        <v>66.8</v>
      </c>
      <c r="J433" s="32">
        <v>232</v>
      </c>
      <c r="K433" s="32">
        <v>2602</v>
      </c>
      <c r="L433" s="32">
        <v>0.7</v>
      </c>
      <c r="M433" s="34">
        <v>26.243879960378489</v>
      </c>
      <c r="N433" s="32">
        <v>491.83</v>
      </c>
      <c r="O433" s="32">
        <v>189.85</v>
      </c>
      <c r="P433" s="34">
        <f t="shared" si="6"/>
        <v>0.38600736026675886</v>
      </c>
    </row>
    <row r="434" spans="1:16">
      <c r="A434" s="32" t="s">
        <v>54</v>
      </c>
      <c r="B434" s="32">
        <v>200</v>
      </c>
      <c r="C434" s="32">
        <v>900</v>
      </c>
      <c r="D434" s="32">
        <v>7.31</v>
      </c>
      <c r="E434" s="32">
        <v>59.21994777188106</v>
      </c>
      <c r="F434" s="32">
        <v>2493.471485131834</v>
      </c>
      <c r="G434" s="77">
        <v>2.1999999999999999E-5</v>
      </c>
      <c r="H434" s="32">
        <v>0.22800000000000001</v>
      </c>
      <c r="I434" s="32">
        <v>66.8</v>
      </c>
      <c r="J434" s="32">
        <v>232</v>
      </c>
      <c r="K434" s="32">
        <v>2602</v>
      </c>
      <c r="L434" s="32">
        <v>0.7</v>
      </c>
      <c r="M434" s="34">
        <v>34.991839947171322</v>
      </c>
      <c r="N434" s="32">
        <v>318.89999999999998</v>
      </c>
      <c r="O434" s="32">
        <v>256</v>
      </c>
      <c r="P434" s="34">
        <f t="shared" si="6"/>
        <v>0.80275948573220446</v>
      </c>
    </row>
    <row r="435" spans="1:16">
      <c r="A435" s="32" t="s">
        <v>54</v>
      </c>
      <c r="B435" s="32">
        <v>250</v>
      </c>
      <c r="C435" s="32">
        <v>900</v>
      </c>
      <c r="D435" s="32">
        <v>7.31</v>
      </c>
      <c r="E435" s="32">
        <v>59.21994777188106</v>
      </c>
      <c r="F435" s="32">
        <v>2493.471485131834</v>
      </c>
      <c r="G435" s="77">
        <v>2.1999999999999999E-5</v>
      </c>
      <c r="H435" s="32">
        <v>0.22800000000000001</v>
      </c>
      <c r="I435" s="32">
        <v>66.8</v>
      </c>
      <c r="J435" s="32">
        <v>232</v>
      </c>
      <c r="K435" s="32">
        <v>2602</v>
      </c>
      <c r="L435" s="32">
        <v>0.7</v>
      </c>
      <c r="M435" s="34">
        <v>43.73979993396415</v>
      </c>
      <c r="N435" s="32">
        <v>358.4</v>
      </c>
      <c r="O435" s="32">
        <v>363.76</v>
      </c>
      <c r="P435" s="34">
        <f t="shared" si="6"/>
        <v>1.0149553571428571</v>
      </c>
    </row>
    <row r="436" spans="1:16">
      <c r="A436" s="32" t="s">
        <v>54</v>
      </c>
      <c r="B436" s="32">
        <v>300</v>
      </c>
      <c r="C436" s="32">
        <v>900</v>
      </c>
      <c r="D436" s="32">
        <v>7.31</v>
      </c>
      <c r="E436" s="32">
        <v>59.21994777188106</v>
      </c>
      <c r="F436" s="32">
        <v>2493.471485131834</v>
      </c>
      <c r="G436" s="77">
        <v>2.1999999999999999E-5</v>
      </c>
      <c r="H436" s="32">
        <v>0.22800000000000001</v>
      </c>
      <c r="I436" s="32">
        <v>66.8</v>
      </c>
      <c r="J436" s="32">
        <v>232</v>
      </c>
      <c r="K436" s="32">
        <v>2602</v>
      </c>
      <c r="L436" s="32">
        <v>0.7</v>
      </c>
      <c r="M436" s="34">
        <v>52.487759920756979</v>
      </c>
      <c r="N436" s="32">
        <v>338.1</v>
      </c>
      <c r="O436" s="32">
        <v>635.49</v>
      </c>
      <c r="P436" s="34">
        <f t="shared" si="6"/>
        <v>1.8795918367346938</v>
      </c>
    </row>
    <row r="437" spans="1:16">
      <c r="A437" s="32" t="s">
        <v>55</v>
      </c>
      <c r="B437" s="32">
        <v>200</v>
      </c>
      <c r="C437" s="32">
        <v>200</v>
      </c>
      <c r="D437" s="32">
        <v>6.6970000000000001</v>
      </c>
      <c r="E437" s="32">
        <v>161.79369250985545</v>
      </c>
      <c r="F437" s="32">
        <v>1585.0854139290407</v>
      </c>
      <c r="G437" s="77">
        <v>1.1E-5</v>
      </c>
      <c r="H437" s="32">
        <v>0.20699999999999999</v>
      </c>
      <c r="I437" s="32">
        <v>24.4</v>
      </c>
      <c r="J437" s="32">
        <v>630</v>
      </c>
      <c r="K437" s="32">
        <v>1587</v>
      </c>
      <c r="L437" s="32">
        <v>0.7</v>
      </c>
      <c r="M437" s="34">
        <v>45.329825486881525</v>
      </c>
      <c r="N437" s="32">
        <v>328.14</v>
      </c>
      <c r="O437" s="32">
        <v>307.75</v>
      </c>
      <c r="P437" s="34">
        <f t="shared" si="6"/>
        <v>0.93786188821844341</v>
      </c>
    </row>
    <row r="438" spans="1:16">
      <c r="A438" s="32" t="s">
        <v>55</v>
      </c>
      <c r="B438" s="32">
        <v>200</v>
      </c>
      <c r="C438" s="32">
        <v>400</v>
      </c>
      <c r="D438" s="32">
        <v>6.6970000000000001</v>
      </c>
      <c r="E438" s="32">
        <v>161.79369250985545</v>
      </c>
      <c r="F438" s="32">
        <v>1585.0854139290407</v>
      </c>
      <c r="G438" s="77">
        <v>1.1E-5</v>
      </c>
      <c r="H438" s="32">
        <v>0.20699999999999999</v>
      </c>
      <c r="I438" s="32">
        <v>24.4</v>
      </c>
      <c r="J438" s="32">
        <v>630</v>
      </c>
      <c r="K438" s="32">
        <v>1587</v>
      </c>
      <c r="L438" s="32">
        <v>0.7</v>
      </c>
      <c r="M438" s="34">
        <v>32.053026991776719</v>
      </c>
      <c r="N438" s="32">
        <v>230.92</v>
      </c>
      <c r="O438" s="32">
        <v>205.31</v>
      </c>
      <c r="P438" s="34">
        <f t="shared" si="6"/>
        <v>0.88909579075004341</v>
      </c>
    </row>
    <row r="439" spans="1:16">
      <c r="A439" s="32" t="s">
        <v>55</v>
      </c>
      <c r="B439" s="32">
        <v>200</v>
      </c>
      <c r="C439" s="32">
        <v>600</v>
      </c>
      <c r="D439" s="32">
        <v>6.6970000000000001</v>
      </c>
      <c r="E439" s="32">
        <v>161.79369250985545</v>
      </c>
      <c r="F439" s="32">
        <v>1585.0854139290407</v>
      </c>
      <c r="G439" s="77">
        <v>1.1E-5</v>
      </c>
      <c r="H439" s="32">
        <v>0.20699999999999999</v>
      </c>
      <c r="I439" s="32">
        <v>24.4</v>
      </c>
      <c r="J439" s="32">
        <v>630</v>
      </c>
      <c r="K439" s="32">
        <v>1587</v>
      </c>
      <c r="L439" s="32">
        <v>0.7</v>
      </c>
      <c r="M439" s="34">
        <v>26.171186947169804</v>
      </c>
      <c r="N439" s="32">
        <v>172.31</v>
      </c>
      <c r="O439" s="32">
        <v>167.58</v>
      </c>
      <c r="P439" s="34">
        <f t="shared" si="6"/>
        <v>0.97254947478381992</v>
      </c>
    </row>
    <row r="440" spans="1:16">
      <c r="A440" s="32" t="s">
        <v>55</v>
      </c>
      <c r="B440" s="32">
        <v>200</v>
      </c>
      <c r="C440" s="32">
        <v>800</v>
      </c>
      <c r="D440" s="32">
        <v>6.6970000000000001</v>
      </c>
      <c r="E440" s="32">
        <v>161.79369250985545</v>
      </c>
      <c r="F440" s="32">
        <v>1585.0854139290407</v>
      </c>
      <c r="G440" s="77">
        <v>1.1E-5</v>
      </c>
      <c r="H440" s="32">
        <v>0.20699999999999999</v>
      </c>
      <c r="I440" s="32">
        <v>24.4</v>
      </c>
      <c r="J440" s="32">
        <v>630</v>
      </c>
      <c r="K440" s="32">
        <v>1587</v>
      </c>
      <c r="L440" s="32">
        <v>0.7</v>
      </c>
      <c r="M440" s="34">
        <v>22.664912743440762</v>
      </c>
      <c r="N440" s="32">
        <v>177.45</v>
      </c>
      <c r="O440" s="32">
        <v>107.99</v>
      </c>
      <c r="P440" s="34">
        <f t="shared" si="6"/>
        <v>0.60856579318117776</v>
      </c>
    </row>
    <row r="441" spans="1:16">
      <c r="A441" s="32" t="s">
        <v>55</v>
      </c>
      <c r="B441" s="32">
        <v>200</v>
      </c>
      <c r="C441" s="32">
        <v>1200</v>
      </c>
      <c r="D441" s="32">
        <v>6.6970000000000001</v>
      </c>
      <c r="E441" s="32">
        <v>161.79369250985545</v>
      </c>
      <c r="F441" s="32">
        <v>1585.0854139290407</v>
      </c>
      <c r="G441" s="77">
        <v>1.1E-5</v>
      </c>
      <c r="H441" s="32">
        <v>0.20699999999999999</v>
      </c>
      <c r="I441" s="32">
        <v>24.4</v>
      </c>
      <c r="J441" s="32">
        <v>630</v>
      </c>
      <c r="K441" s="32">
        <v>1587</v>
      </c>
      <c r="L441" s="32">
        <v>0.7</v>
      </c>
      <c r="M441" s="34">
        <v>18.505823762044631</v>
      </c>
      <c r="N441" s="32">
        <v>163.53</v>
      </c>
      <c r="O441" s="32">
        <v>82.36</v>
      </c>
      <c r="P441" s="34">
        <f t="shared" si="6"/>
        <v>0.50363847612058954</v>
      </c>
    </row>
    <row r="442" spans="1:16">
      <c r="A442" s="32" t="s">
        <v>55</v>
      </c>
      <c r="B442" s="32">
        <v>200</v>
      </c>
      <c r="C442" s="32">
        <v>1600</v>
      </c>
      <c r="D442" s="32">
        <v>6.6970000000000001</v>
      </c>
      <c r="E442" s="32">
        <v>161.79369250985545</v>
      </c>
      <c r="F442" s="32">
        <v>1585.0854139290407</v>
      </c>
      <c r="G442" s="77">
        <v>1.1E-5</v>
      </c>
      <c r="H442" s="32">
        <v>0.20699999999999999</v>
      </c>
      <c r="I442" s="32">
        <v>24.4</v>
      </c>
      <c r="J442" s="32">
        <v>630</v>
      </c>
      <c r="K442" s="32">
        <v>1587</v>
      </c>
      <c r="L442" s="32">
        <v>0.7</v>
      </c>
      <c r="M442" s="34">
        <v>16.026513495888359</v>
      </c>
      <c r="N442" s="32">
        <v>145.88</v>
      </c>
      <c r="O442" s="32">
        <v>51.04</v>
      </c>
      <c r="P442" s="34">
        <f t="shared" si="6"/>
        <v>0.34987661091307926</v>
      </c>
    </row>
    <row r="443" spans="1:16">
      <c r="A443" s="32" t="s">
        <v>55</v>
      </c>
      <c r="B443" s="32">
        <v>200</v>
      </c>
      <c r="C443" s="32">
        <v>2000</v>
      </c>
      <c r="D443" s="32">
        <v>6.6970000000000001</v>
      </c>
      <c r="E443" s="32">
        <v>161.79369250985545</v>
      </c>
      <c r="F443" s="32">
        <v>1585.0854139290407</v>
      </c>
      <c r="G443" s="77">
        <v>1.1E-5</v>
      </c>
      <c r="H443" s="32">
        <v>0.20699999999999999</v>
      </c>
      <c r="I443" s="32">
        <v>24.4</v>
      </c>
      <c r="J443" s="32">
        <v>630</v>
      </c>
      <c r="K443" s="32">
        <v>1587</v>
      </c>
      <c r="L443" s="32">
        <v>0.7</v>
      </c>
      <c r="M443" s="34">
        <v>14.334549447649668</v>
      </c>
      <c r="N443" s="32">
        <v>111.87</v>
      </c>
      <c r="O443" s="32">
        <v>47</v>
      </c>
      <c r="P443" s="34">
        <f t="shared" si="6"/>
        <v>0.42013050862608381</v>
      </c>
    </row>
    <row r="444" spans="1:16">
      <c r="A444" s="32" t="s">
        <v>55</v>
      </c>
      <c r="B444" s="32">
        <v>200</v>
      </c>
      <c r="C444" s="32">
        <v>2400</v>
      </c>
      <c r="D444" s="32">
        <v>6.6970000000000001</v>
      </c>
      <c r="E444" s="32">
        <v>161.79369250985545</v>
      </c>
      <c r="F444" s="32">
        <v>1585.0854139290407</v>
      </c>
      <c r="G444" s="77">
        <v>1.1E-5</v>
      </c>
      <c r="H444" s="32">
        <v>0.20699999999999999</v>
      </c>
      <c r="I444" s="32">
        <v>24.4</v>
      </c>
      <c r="J444" s="32">
        <v>630</v>
      </c>
      <c r="K444" s="32">
        <v>1587</v>
      </c>
      <c r="L444" s="32">
        <v>0.7</v>
      </c>
      <c r="M444" s="34">
        <v>13.085593473584902</v>
      </c>
      <c r="N444" s="32">
        <v>86</v>
      </c>
      <c r="O444" s="32">
        <v>30</v>
      </c>
      <c r="P444" s="34">
        <f t="shared" si="6"/>
        <v>0.34883720930232559</v>
      </c>
    </row>
    <row r="445" spans="1:16">
      <c r="A445" s="32" t="s">
        <v>55</v>
      </c>
      <c r="B445" s="32">
        <v>350</v>
      </c>
      <c r="C445" s="32">
        <v>400</v>
      </c>
      <c r="D445" s="32">
        <v>6.6970000000000001</v>
      </c>
      <c r="E445" s="32">
        <v>161.79369250985545</v>
      </c>
      <c r="F445" s="32">
        <v>1585.0854139290407</v>
      </c>
      <c r="G445" s="77">
        <v>1.1E-5</v>
      </c>
      <c r="H445" s="32">
        <v>0.20699999999999999</v>
      </c>
      <c r="I445" s="32">
        <v>24.4</v>
      </c>
      <c r="J445" s="32">
        <v>630</v>
      </c>
      <c r="K445" s="32">
        <v>1587</v>
      </c>
      <c r="L445" s="32">
        <v>0.7</v>
      </c>
      <c r="M445" s="34">
        <v>56.092797235609261</v>
      </c>
      <c r="N445" s="32">
        <v>366.79</v>
      </c>
      <c r="O445" s="32">
        <v>2700</v>
      </c>
      <c r="P445" s="34">
        <f t="shared" si="6"/>
        <v>7.3611603369775613</v>
      </c>
    </row>
    <row r="446" spans="1:16">
      <c r="A446" s="32" t="s">
        <v>55</v>
      </c>
      <c r="B446" s="32">
        <v>350</v>
      </c>
      <c r="C446" s="32">
        <v>600</v>
      </c>
      <c r="D446" s="32">
        <v>6.6970000000000001</v>
      </c>
      <c r="E446" s="32">
        <v>161.79369250985545</v>
      </c>
      <c r="F446" s="32">
        <v>1585.0854139290407</v>
      </c>
      <c r="G446" s="77">
        <v>1.1E-5</v>
      </c>
      <c r="H446" s="32">
        <v>0.20699999999999999</v>
      </c>
      <c r="I446" s="32">
        <v>24.4</v>
      </c>
      <c r="J446" s="32">
        <v>630</v>
      </c>
      <c r="K446" s="32">
        <v>1587</v>
      </c>
      <c r="L446" s="32">
        <v>0.7</v>
      </c>
      <c r="M446" s="34">
        <v>45.799577157547155</v>
      </c>
      <c r="N446" s="32">
        <v>240.87</v>
      </c>
      <c r="O446" s="32">
        <v>1155.8900000000001</v>
      </c>
      <c r="P446" s="34">
        <f t="shared" si="6"/>
        <v>4.7988126375223157</v>
      </c>
    </row>
    <row r="447" spans="1:16">
      <c r="A447" s="32" t="s">
        <v>55</v>
      </c>
      <c r="B447" s="32">
        <v>350</v>
      </c>
      <c r="C447" s="32">
        <v>800</v>
      </c>
      <c r="D447" s="32">
        <v>6.6970000000000001</v>
      </c>
      <c r="E447" s="32">
        <v>161.79369250985545</v>
      </c>
      <c r="F447" s="32">
        <v>1585.0854139290407</v>
      </c>
      <c r="G447" s="77">
        <v>1.1E-5</v>
      </c>
      <c r="H447" s="32">
        <v>0.20699999999999999</v>
      </c>
      <c r="I447" s="32">
        <v>24.4</v>
      </c>
      <c r="J447" s="32">
        <v>630</v>
      </c>
      <c r="K447" s="32">
        <v>1587</v>
      </c>
      <c r="L447" s="32">
        <v>0.7</v>
      </c>
      <c r="M447" s="34">
        <v>39.663597301021333</v>
      </c>
      <c r="N447" s="32">
        <v>207.37</v>
      </c>
      <c r="O447" s="32">
        <v>733.97</v>
      </c>
      <c r="P447" s="34">
        <f t="shared" si="6"/>
        <v>3.5394222886627769</v>
      </c>
    </row>
    <row r="448" spans="1:16">
      <c r="A448" s="32" t="s">
        <v>55</v>
      </c>
      <c r="B448" s="32">
        <v>350</v>
      </c>
      <c r="C448" s="32">
        <v>1000</v>
      </c>
      <c r="D448" s="32">
        <v>6.6970000000000001</v>
      </c>
      <c r="E448" s="32">
        <v>161.79369250985545</v>
      </c>
      <c r="F448" s="32">
        <v>1585.0854139290407</v>
      </c>
      <c r="G448" s="77">
        <v>1.1E-5</v>
      </c>
      <c r="H448" s="32">
        <v>0.20699999999999999</v>
      </c>
      <c r="I448" s="32">
        <v>24.4</v>
      </c>
      <c r="J448" s="32">
        <v>630</v>
      </c>
      <c r="K448" s="32">
        <v>1587</v>
      </c>
      <c r="L448" s="32">
        <v>0.7</v>
      </c>
      <c r="M448" s="34">
        <v>35.476199918904356</v>
      </c>
      <c r="N448" s="32">
        <v>261.33</v>
      </c>
      <c r="O448" s="32">
        <v>578.92999999999995</v>
      </c>
      <c r="P448" s="34">
        <f t="shared" si="6"/>
        <v>2.215321624000306</v>
      </c>
    </row>
    <row r="449" spans="1:16">
      <c r="A449" s="32" t="s">
        <v>55</v>
      </c>
      <c r="B449" s="32">
        <v>350</v>
      </c>
      <c r="C449" s="32">
        <v>1200</v>
      </c>
      <c r="D449" s="32">
        <v>6.6970000000000001</v>
      </c>
      <c r="E449" s="32">
        <v>161.79369250985545</v>
      </c>
      <c r="F449" s="32">
        <v>1585.0854139290407</v>
      </c>
      <c r="G449" s="77">
        <v>1.1E-5</v>
      </c>
      <c r="H449" s="32">
        <v>0.20699999999999999</v>
      </c>
      <c r="I449" s="32">
        <v>24.4</v>
      </c>
      <c r="J449" s="32">
        <v>630</v>
      </c>
      <c r="K449" s="32">
        <v>1587</v>
      </c>
      <c r="L449" s="32">
        <v>0.7</v>
      </c>
      <c r="M449" s="34">
        <v>32.385191583578106</v>
      </c>
      <c r="N449" s="32">
        <v>289.70999999999998</v>
      </c>
      <c r="O449" s="32">
        <v>295.64999999999998</v>
      </c>
      <c r="P449" s="34">
        <f t="shared" si="6"/>
        <v>1.0205032618825722</v>
      </c>
    </row>
    <row r="450" spans="1:16">
      <c r="A450" s="32" t="s">
        <v>55</v>
      </c>
      <c r="B450" s="32">
        <v>350</v>
      </c>
      <c r="C450" s="32">
        <v>1600</v>
      </c>
      <c r="D450" s="32">
        <v>6.6970000000000001</v>
      </c>
      <c r="E450" s="32">
        <v>161.79369250985545</v>
      </c>
      <c r="F450" s="32">
        <v>1585.0854139290407</v>
      </c>
      <c r="G450" s="77">
        <v>1.1E-5</v>
      </c>
      <c r="H450" s="32">
        <v>0.20699999999999999</v>
      </c>
      <c r="I450" s="32">
        <v>24.4</v>
      </c>
      <c r="J450" s="32">
        <v>630</v>
      </c>
      <c r="K450" s="32">
        <v>1587</v>
      </c>
      <c r="L450" s="32">
        <v>0.7</v>
      </c>
      <c r="M450" s="34">
        <v>28.046398617804631</v>
      </c>
      <c r="N450" s="32">
        <v>200.53</v>
      </c>
      <c r="O450" s="32">
        <v>322.27</v>
      </c>
      <c r="P450" s="34">
        <f t="shared" si="6"/>
        <v>1.6070912082980102</v>
      </c>
    </row>
    <row r="451" spans="1:16">
      <c r="A451" s="32" t="s">
        <v>55</v>
      </c>
      <c r="B451" s="32">
        <v>350</v>
      </c>
      <c r="C451" s="32">
        <v>2000</v>
      </c>
      <c r="D451" s="32">
        <v>6.6970000000000001</v>
      </c>
      <c r="E451" s="32">
        <v>161.79369250985545</v>
      </c>
      <c r="F451" s="32">
        <v>1585.0854139290407</v>
      </c>
      <c r="G451" s="77">
        <v>1.1E-5</v>
      </c>
      <c r="H451" s="32">
        <v>0.20699999999999999</v>
      </c>
      <c r="I451" s="32">
        <v>24.4</v>
      </c>
      <c r="J451" s="32">
        <v>630</v>
      </c>
      <c r="K451" s="32">
        <v>1587</v>
      </c>
      <c r="L451" s="32">
        <v>0.7</v>
      </c>
      <c r="M451" s="34">
        <v>25.085461533386919</v>
      </c>
      <c r="N451" s="32">
        <v>218.84</v>
      </c>
      <c r="O451" s="32">
        <v>208.49</v>
      </c>
      <c r="P451" s="34">
        <f t="shared" si="6"/>
        <v>0.9527051727289344</v>
      </c>
    </row>
    <row r="452" spans="1:16">
      <c r="A452" s="32" t="s">
        <v>55</v>
      </c>
      <c r="B452" s="32">
        <v>350</v>
      </c>
      <c r="C452" s="32">
        <v>2400</v>
      </c>
      <c r="D452" s="32">
        <v>6.6970000000000001</v>
      </c>
      <c r="E452" s="32">
        <v>161.79369250985545</v>
      </c>
      <c r="F452" s="32">
        <v>1585.0854139290407</v>
      </c>
      <c r="G452" s="77">
        <v>1.1E-5</v>
      </c>
      <c r="H452" s="32">
        <v>0.20699999999999999</v>
      </c>
      <c r="I452" s="32">
        <v>24.4</v>
      </c>
      <c r="J452" s="32">
        <v>630</v>
      </c>
      <c r="K452" s="32">
        <v>1587</v>
      </c>
      <c r="L452" s="32">
        <v>0.7</v>
      </c>
      <c r="M452" s="34">
        <v>22.899788578773578</v>
      </c>
      <c r="N452" s="32">
        <v>190.49</v>
      </c>
      <c r="O452" s="32">
        <v>163.52000000000001</v>
      </c>
      <c r="P452" s="34">
        <f t="shared" si="6"/>
        <v>0.85841776471205844</v>
      </c>
    </row>
    <row r="453" spans="1:16">
      <c r="A453" s="32" t="s">
        <v>55</v>
      </c>
      <c r="B453" s="32">
        <v>100</v>
      </c>
      <c r="C453" s="32">
        <v>300</v>
      </c>
      <c r="D453" s="32">
        <v>6.6970000000000001</v>
      </c>
      <c r="E453" s="32">
        <v>161.79369250985545</v>
      </c>
      <c r="F453" s="32">
        <v>1585.0854139290407</v>
      </c>
      <c r="G453" s="77">
        <v>1.1E-5</v>
      </c>
      <c r="H453" s="32">
        <v>0.20699999999999999</v>
      </c>
      <c r="I453" s="32">
        <v>24.4</v>
      </c>
      <c r="J453" s="32">
        <v>630</v>
      </c>
      <c r="K453" s="32">
        <v>1587</v>
      </c>
      <c r="L453" s="32">
        <v>0.7</v>
      </c>
      <c r="M453" s="34">
        <v>18.505823762044631</v>
      </c>
      <c r="N453" s="32">
        <v>253.14</v>
      </c>
      <c r="O453" s="32">
        <v>176.33</v>
      </c>
      <c r="P453" s="34">
        <f t="shared" ref="P453:P516" si="7">O453/N453</f>
        <v>0.69657106739353725</v>
      </c>
    </row>
    <row r="454" spans="1:16">
      <c r="A454" s="32" t="s">
        <v>55</v>
      </c>
      <c r="B454" s="32">
        <v>150</v>
      </c>
      <c r="C454" s="32">
        <v>300</v>
      </c>
      <c r="D454" s="32">
        <v>6.6970000000000001</v>
      </c>
      <c r="E454" s="32">
        <v>161.79369250985545</v>
      </c>
      <c r="F454" s="32">
        <v>1585.0854139290407</v>
      </c>
      <c r="G454" s="77">
        <v>1.1E-5</v>
      </c>
      <c r="H454" s="32">
        <v>0.20699999999999999</v>
      </c>
      <c r="I454" s="32">
        <v>24.4</v>
      </c>
      <c r="J454" s="32">
        <v>630</v>
      </c>
      <c r="K454" s="32">
        <v>1587</v>
      </c>
      <c r="L454" s="32">
        <v>0.7</v>
      </c>
      <c r="M454" s="34">
        <v>27.758735643066949</v>
      </c>
      <c r="N454" s="32">
        <v>224</v>
      </c>
      <c r="O454" s="32">
        <v>266.23</v>
      </c>
      <c r="P454" s="34">
        <f t="shared" si="7"/>
        <v>1.1885267857142858</v>
      </c>
    </row>
    <row r="455" spans="1:16">
      <c r="A455" s="32" t="s">
        <v>55</v>
      </c>
      <c r="B455" s="32">
        <v>200</v>
      </c>
      <c r="C455" s="32">
        <v>300</v>
      </c>
      <c r="D455" s="32">
        <v>6.6970000000000001</v>
      </c>
      <c r="E455" s="32">
        <v>161.79369250985545</v>
      </c>
      <c r="F455" s="32">
        <v>1585.0854139290407</v>
      </c>
      <c r="G455" s="77">
        <v>1.1E-5</v>
      </c>
      <c r="H455" s="32">
        <v>0.20699999999999999</v>
      </c>
      <c r="I455" s="32">
        <v>24.4</v>
      </c>
      <c r="J455" s="32">
        <v>630</v>
      </c>
      <c r="K455" s="32">
        <v>1587</v>
      </c>
      <c r="L455" s="32">
        <v>0.7</v>
      </c>
      <c r="M455" s="34">
        <v>37.011647524089263</v>
      </c>
      <c r="N455" s="32">
        <v>211.57</v>
      </c>
      <c r="O455" s="32">
        <v>423.83</v>
      </c>
      <c r="P455" s="34">
        <f t="shared" si="7"/>
        <v>2.0032613319468733</v>
      </c>
    </row>
    <row r="456" spans="1:16">
      <c r="A456" s="32" t="s">
        <v>55</v>
      </c>
      <c r="B456" s="32">
        <v>250</v>
      </c>
      <c r="C456" s="32">
        <v>300</v>
      </c>
      <c r="D456" s="32">
        <v>6.6970000000000001</v>
      </c>
      <c r="E456" s="32">
        <v>161.79369250985545</v>
      </c>
      <c r="F456" s="32">
        <v>1585.0854139290407</v>
      </c>
      <c r="G456" s="77">
        <v>1.1E-5</v>
      </c>
      <c r="H456" s="32">
        <v>0.20699999999999999</v>
      </c>
      <c r="I456" s="32">
        <v>24.4</v>
      </c>
      <c r="J456" s="32">
        <v>630</v>
      </c>
      <c r="K456" s="32">
        <v>1587</v>
      </c>
      <c r="L456" s="32">
        <v>0.7</v>
      </c>
      <c r="M456" s="34">
        <v>46.264559405111584</v>
      </c>
      <c r="N456" s="32">
        <v>210</v>
      </c>
      <c r="O456" s="32">
        <v>434</v>
      </c>
      <c r="P456" s="34">
        <f t="shared" si="7"/>
        <v>2.0666666666666669</v>
      </c>
    </row>
    <row r="457" spans="1:16">
      <c r="A457" s="32" t="s">
        <v>55</v>
      </c>
      <c r="B457" s="32">
        <v>300</v>
      </c>
      <c r="C457" s="32">
        <v>300</v>
      </c>
      <c r="D457" s="32">
        <v>6.6970000000000001</v>
      </c>
      <c r="E457" s="32">
        <v>161.79369250985545</v>
      </c>
      <c r="F457" s="32">
        <v>1585.0854139290407</v>
      </c>
      <c r="G457" s="77">
        <v>1.1E-5</v>
      </c>
      <c r="H457" s="32">
        <v>0.20699999999999999</v>
      </c>
      <c r="I457" s="32">
        <v>24.4</v>
      </c>
      <c r="J457" s="32">
        <v>630</v>
      </c>
      <c r="K457" s="32">
        <v>1587</v>
      </c>
      <c r="L457" s="32">
        <v>0.7</v>
      </c>
      <c r="M457" s="34">
        <v>55.517471286133897</v>
      </c>
      <c r="N457" s="32">
        <v>170</v>
      </c>
      <c r="O457" s="32">
        <v>445</v>
      </c>
      <c r="P457" s="34">
        <f t="shared" si="7"/>
        <v>2.6176470588235294</v>
      </c>
    </row>
    <row r="458" spans="1:16">
      <c r="A458" s="32" t="s">
        <v>55</v>
      </c>
      <c r="B458" s="32">
        <v>100</v>
      </c>
      <c r="C458" s="32">
        <v>600</v>
      </c>
      <c r="D458" s="32">
        <v>6.6970000000000001</v>
      </c>
      <c r="E458" s="32">
        <v>161.79369250985545</v>
      </c>
      <c r="F458" s="32">
        <v>1585.0854139290407</v>
      </c>
      <c r="G458" s="77">
        <v>1.1E-5</v>
      </c>
      <c r="H458" s="32">
        <v>0.20699999999999999</v>
      </c>
      <c r="I458" s="32">
        <v>24.4</v>
      </c>
      <c r="J458" s="32">
        <v>630</v>
      </c>
      <c r="K458" s="32">
        <v>1587</v>
      </c>
      <c r="L458" s="32">
        <v>0.7</v>
      </c>
      <c r="M458" s="34">
        <v>13.085593473584902</v>
      </c>
      <c r="N458" s="32">
        <v>122.9</v>
      </c>
      <c r="O458" s="32">
        <v>34.200000000000003</v>
      </c>
      <c r="P458" s="34">
        <f t="shared" si="7"/>
        <v>0.27827502034174129</v>
      </c>
    </row>
    <row r="459" spans="1:16">
      <c r="A459" s="32" t="s">
        <v>55</v>
      </c>
      <c r="B459" s="32">
        <v>150</v>
      </c>
      <c r="C459" s="32">
        <v>600</v>
      </c>
      <c r="D459" s="32">
        <v>6.6970000000000001</v>
      </c>
      <c r="E459" s="32">
        <v>161.79369250985545</v>
      </c>
      <c r="F459" s="32">
        <v>1585.0854139290407</v>
      </c>
      <c r="G459" s="77">
        <v>1.1E-5</v>
      </c>
      <c r="H459" s="32">
        <v>0.20699999999999999</v>
      </c>
      <c r="I459" s="32">
        <v>24.4</v>
      </c>
      <c r="J459" s="32">
        <v>630</v>
      </c>
      <c r="K459" s="32">
        <v>1587</v>
      </c>
      <c r="L459" s="32">
        <v>0.7</v>
      </c>
      <c r="M459" s="34">
        <v>19.628390210377354</v>
      </c>
      <c r="N459" s="32">
        <v>131.72999999999999</v>
      </c>
      <c r="O459" s="32">
        <v>66.44</v>
      </c>
      <c r="P459" s="34">
        <f t="shared" si="7"/>
        <v>0.50436498899263649</v>
      </c>
    </row>
    <row r="460" spans="1:16">
      <c r="A460" s="32" t="s">
        <v>55</v>
      </c>
      <c r="B460" s="32">
        <v>200</v>
      </c>
      <c r="C460" s="32">
        <v>600</v>
      </c>
      <c r="D460" s="32">
        <v>6.6970000000000001</v>
      </c>
      <c r="E460" s="32">
        <v>161.79369250985545</v>
      </c>
      <c r="F460" s="32">
        <v>1585.0854139290407</v>
      </c>
      <c r="G460" s="77">
        <v>1.1E-5</v>
      </c>
      <c r="H460" s="32">
        <v>0.20699999999999999</v>
      </c>
      <c r="I460" s="32">
        <v>24.4</v>
      </c>
      <c r="J460" s="32">
        <v>630</v>
      </c>
      <c r="K460" s="32">
        <v>1587</v>
      </c>
      <c r="L460" s="32">
        <v>0.7</v>
      </c>
      <c r="M460" s="34">
        <v>26.171186947169804</v>
      </c>
      <c r="N460" s="32">
        <v>151.22999999999999</v>
      </c>
      <c r="O460" s="32">
        <v>60.93</v>
      </c>
      <c r="P460" s="34">
        <f t="shared" si="7"/>
        <v>0.40289625074390006</v>
      </c>
    </row>
    <row r="461" spans="1:16">
      <c r="A461" s="32" t="s">
        <v>55</v>
      </c>
      <c r="B461" s="32">
        <v>250</v>
      </c>
      <c r="C461" s="32">
        <v>600</v>
      </c>
      <c r="D461" s="32">
        <v>6.6970000000000001</v>
      </c>
      <c r="E461" s="32">
        <v>161.79369250985545</v>
      </c>
      <c r="F461" s="32">
        <v>1585.0854139290407</v>
      </c>
      <c r="G461" s="77">
        <v>1.1E-5</v>
      </c>
      <c r="H461" s="32">
        <v>0.20699999999999999</v>
      </c>
      <c r="I461" s="32">
        <v>24.4</v>
      </c>
      <c r="J461" s="32">
        <v>630</v>
      </c>
      <c r="K461" s="32">
        <v>1587</v>
      </c>
      <c r="L461" s="32">
        <v>0.7</v>
      </c>
      <c r="M461" s="34">
        <v>32.713983683962255</v>
      </c>
      <c r="N461" s="32">
        <v>164</v>
      </c>
      <c r="O461" s="32">
        <v>65</v>
      </c>
      <c r="P461" s="34">
        <f t="shared" si="7"/>
        <v>0.39634146341463417</v>
      </c>
    </row>
    <row r="462" spans="1:16">
      <c r="A462" s="32" t="s">
        <v>55</v>
      </c>
      <c r="B462" s="32">
        <v>300</v>
      </c>
      <c r="C462" s="32">
        <v>600</v>
      </c>
      <c r="D462" s="32">
        <v>6.6970000000000001</v>
      </c>
      <c r="E462" s="32">
        <v>161.79369250985545</v>
      </c>
      <c r="F462" s="32">
        <v>1585.0854139290407</v>
      </c>
      <c r="G462" s="77">
        <v>1.1E-5</v>
      </c>
      <c r="H462" s="32">
        <v>0.20699999999999999</v>
      </c>
      <c r="I462" s="32">
        <v>24.4</v>
      </c>
      <c r="J462" s="32">
        <v>630</v>
      </c>
      <c r="K462" s="32">
        <v>1587</v>
      </c>
      <c r="L462" s="32">
        <v>0.7</v>
      </c>
      <c r="M462" s="34">
        <v>39.256780420754708</v>
      </c>
      <c r="N462" s="32">
        <v>170</v>
      </c>
      <c r="O462" s="32">
        <v>79</v>
      </c>
      <c r="P462" s="34">
        <f t="shared" si="7"/>
        <v>0.46470588235294119</v>
      </c>
    </row>
    <row r="463" spans="1:16">
      <c r="A463" s="32" t="s">
        <v>55</v>
      </c>
      <c r="B463" s="32">
        <v>100</v>
      </c>
      <c r="C463" s="32">
        <v>900</v>
      </c>
      <c r="D463" s="32">
        <v>6.6970000000000001</v>
      </c>
      <c r="E463" s="32">
        <v>161.79369250985545</v>
      </c>
      <c r="F463" s="32">
        <v>1585.0854139290407</v>
      </c>
      <c r="G463" s="77">
        <v>1.1E-5</v>
      </c>
      <c r="H463" s="32">
        <v>0.20699999999999999</v>
      </c>
      <c r="I463" s="32">
        <v>24.4</v>
      </c>
      <c r="J463" s="32">
        <v>630</v>
      </c>
      <c r="K463" s="32">
        <v>1587</v>
      </c>
      <c r="L463" s="32">
        <v>0.7</v>
      </c>
      <c r="M463" s="34">
        <v>10.684342330592239</v>
      </c>
      <c r="N463" s="32">
        <v>141</v>
      </c>
      <c r="O463" s="32">
        <v>45.7</v>
      </c>
      <c r="P463" s="34">
        <f t="shared" si="7"/>
        <v>0.32411347517730499</v>
      </c>
    </row>
    <row r="464" spans="1:16">
      <c r="A464" s="32" t="s">
        <v>55</v>
      </c>
      <c r="B464" s="32">
        <v>150</v>
      </c>
      <c r="C464" s="32">
        <v>900</v>
      </c>
      <c r="D464" s="32">
        <v>6.6970000000000001</v>
      </c>
      <c r="E464" s="32">
        <v>161.79369250985545</v>
      </c>
      <c r="F464" s="32">
        <v>1585.0854139290407</v>
      </c>
      <c r="G464" s="77">
        <v>1.1E-5</v>
      </c>
      <c r="H464" s="32">
        <v>0.20699999999999999</v>
      </c>
      <c r="I464" s="32">
        <v>24.4</v>
      </c>
      <c r="J464" s="32">
        <v>630</v>
      </c>
      <c r="K464" s="32">
        <v>1587</v>
      </c>
      <c r="L464" s="32">
        <v>0.7</v>
      </c>
      <c r="M464" s="34">
        <v>16.026513495888359</v>
      </c>
      <c r="N464" s="32">
        <v>137</v>
      </c>
      <c r="O464" s="32">
        <v>50.8</v>
      </c>
      <c r="P464" s="34">
        <f t="shared" si="7"/>
        <v>0.3708029197080292</v>
      </c>
    </row>
    <row r="465" spans="1:16">
      <c r="A465" s="32" t="s">
        <v>55</v>
      </c>
      <c r="B465" s="32">
        <v>200</v>
      </c>
      <c r="C465" s="32">
        <v>900</v>
      </c>
      <c r="D465" s="32">
        <v>6.6970000000000001</v>
      </c>
      <c r="E465" s="32">
        <v>161.79369250985545</v>
      </c>
      <c r="F465" s="32">
        <v>1585.0854139290407</v>
      </c>
      <c r="G465" s="77">
        <v>1.1E-5</v>
      </c>
      <c r="H465" s="32">
        <v>0.20699999999999999</v>
      </c>
      <c r="I465" s="32">
        <v>24.4</v>
      </c>
      <c r="J465" s="32">
        <v>630</v>
      </c>
      <c r="K465" s="32">
        <v>1587</v>
      </c>
      <c r="L465" s="32">
        <v>0.7</v>
      </c>
      <c r="M465" s="34">
        <v>21.368684661184478</v>
      </c>
      <c r="N465" s="32">
        <v>145.88999999999999</v>
      </c>
      <c r="O465" s="32">
        <v>53.27</v>
      </c>
      <c r="P465" s="34">
        <f t="shared" si="7"/>
        <v>0.36513811775995619</v>
      </c>
    </row>
    <row r="466" spans="1:16">
      <c r="A466" s="32" t="s">
        <v>55</v>
      </c>
      <c r="B466" s="32">
        <v>250</v>
      </c>
      <c r="C466" s="32">
        <v>900</v>
      </c>
      <c r="D466" s="32">
        <v>6.6970000000000001</v>
      </c>
      <c r="E466" s="32">
        <v>161.79369250985545</v>
      </c>
      <c r="F466" s="32">
        <v>1585.0854139290407</v>
      </c>
      <c r="G466" s="77">
        <v>1.1E-5</v>
      </c>
      <c r="H466" s="32">
        <v>0.20699999999999999</v>
      </c>
      <c r="I466" s="32">
        <v>24.4</v>
      </c>
      <c r="J466" s="32">
        <v>630</v>
      </c>
      <c r="K466" s="32">
        <v>1587</v>
      </c>
      <c r="L466" s="32">
        <v>0.7</v>
      </c>
      <c r="M466" s="34">
        <v>26.7108558264806</v>
      </c>
      <c r="N466" s="32">
        <v>165.35</v>
      </c>
      <c r="O466" s="32">
        <v>57.98</v>
      </c>
      <c r="P466" s="34">
        <f t="shared" si="7"/>
        <v>0.35065013607499246</v>
      </c>
    </row>
    <row r="467" spans="1:16">
      <c r="A467" s="32" t="s">
        <v>55</v>
      </c>
      <c r="B467" s="32">
        <v>300</v>
      </c>
      <c r="C467" s="32">
        <v>900</v>
      </c>
      <c r="D467" s="32">
        <v>6.6970000000000001</v>
      </c>
      <c r="E467" s="32">
        <v>161.79369250985545</v>
      </c>
      <c r="F467" s="32">
        <v>1585.0854139290407</v>
      </c>
      <c r="G467" s="77">
        <v>1.1E-5</v>
      </c>
      <c r="H467" s="32">
        <v>0.20699999999999999</v>
      </c>
      <c r="I467" s="32">
        <v>24.4</v>
      </c>
      <c r="J467" s="32">
        <v>630</v>
      </c>
      <c r="K467" s="32">
        <v>1587</v>
      </c>
      <c r="L467" s="32">
        <v>0.7</v>
      </c>
      <c r="M467" s="34">
        <v>32.053026991776719</v>
      </c>
      <c r="N467" s="32">
        <v>176.21</v>
      </c>
      <c r="O467" s="32">
        <v>63.92</v>
      </c>
      <c r="P467" s="34">
        <f t="shared" si="7"/>
        <v>0.36274899267918959</v>
      </c>
    </row>
    <row r="468" spans="1:16">
      <c r="A468" s="32" t="s">
        <v>56</v>
      </c>
      <c r="B468" s="32">
        <v>200</v>
      </c>
      <c r="C468" s="32">
        <v>200</v>
      </c>
      <c r="D468" s="32">
        <v>11.34</v>
      </c>
      <c r="E468" s="32">
        <v>23.021235521235521</v>
      </c>
      <c r="F468" s="32">
        <v>866.31274131274131</v>
      </c>
      <c r="G468" s="77">
        <v>2.8899999999999998E-5</v>
      </c>
      <c r="H468" s="32">
        <v>0.129</v>
      </c>
      <c r="I468" s="32">
        <v>35.299999999999997</v>
      </c>
      <c r="J468" s="32">
        <v>327</v>
      </c>
      <c r="K468" s="32">
        <v>1749</v>
      </c>
      <c r="L468" s="32">
        <v>0.7</v>
      </c>
      <c r="M468" s="34">
        <v>105.88001878882719</v>
      </c>
      <c r="N468" s="32">
        <v>607</v>
      </c>
      <c r="O468" s="32">
        <v>688</v>
      </c>
      <c r="P468" s="34">
        <f t="shared" si="7"/>
        <v>1.1334431630971993</v>
      </c>
    </row>
    <row r="469" spans="1:16">
      <c r="A469" s="32" t="s">
        <v>56</v>
      </c>
      <c r="B469" s="32">
        <v>200</v>
      </c>
      <c r="C469" s="32">
        <v>400</v>
      </c>
      <c r="D469" s="32">
        <v>11.34</v>
      </c>
      <c r="E469" s="32">
        <v>23.021235521235521</v>
      </c>
      <c r="F469" s="32">
        <v>866.31274131274131</v>
      </c>
      <c r="G469" s="77">
        <v>2.8899999999999998E-5</v>
      </c>
      <c r="H469" s="32">
        <v>0.129</v>
      </c>
      <c r="I469" s="32">
        <v>35.299999999999997</v>
      </c>
      <c r="J469" s="32">
        <v>327</v>
      </c>
      <c r="K469" s="32">
        <v>1749</v>
      </c>
      <c r="L469" s="32">
        <v>0.7</v>
      </c>
      <c r="M469" s="34">
        <v>74.868479277738771</v>
      </c>
      <c r="N469" s="32">
        <v>397</v>
      </c>
      <c r="O469" s="32">
        <v>494</v>
      </c>
      <c r="P469" s="34">
        <f t="shared" si="7"/>
        <v>1.2443324937027709</v>
      </c>
    </row>
    <row r="470" spans="1:16">
      <c r="A470" s="32" t="s">
        <v>56</v>
      </c>
      <c r="B470" s="32">
        <v>200</v>
      </c>
      <c r="C470" s="32">
        <v>600</v>
      </c>
      <c r="D470" s="32">
        <v>11.34</v>
      </c>
      <c r="E470" s="32">
        <v>23.021235521235521</v>
      </c>
      <c r="F470" s="32">
        <v>866.31274131274131</v>
      </c>
      <c r="G470" s="77">
        <v>2.8899999999999998E-5</v>
      </c>
      <c r="H470" s="32">
        <v>0.129</v>
      </c>
      <c r="I470" s="32">
        <v>35.299999999999997</v>
      </c>
      <c r="J470" s="32">
        <v>327</v>
      </c>
      <c r="K470" s="32">
        <v>1749</v>
      </c>
      <c r="L470" s="32">
        <v>0.7</v>
      </c>
      <c r="M470" s="34">
        <v>61.12985734953201</v>
      </c>
      <c r="N470" s="32">
        <v>424</v>
      </c>
      <c r="O470" s="32">
        <v>417</v>
      </c>
      <c r="P470" s="34">
        <f t="shared" si="7"/>
        <v>0.98349056603773588</v>
      </c>
    </row>
    <row r="471" spans="1:16">
      <c r="A471" s="32" t="s">
        <v>56</v>
      </c>
      <c r="B471" s="32">
        <v>200</v>
      </c>
      <c r="C471" s="32">
        <v>800</v>
      </c>
      <c r="D471" s="32">
        <v>11.34</v>
      </c>
      <c r="E471" s="32">
        <v>23.021235521235521</v>
      </c>
      <c r="F471" s="32">
        <v>866.31274131274131</v>
      </c>
      <c r="G471" s="77">
        <v>2.8899999999999998E-5</v>
      </c>
      <c r="H471" s="32">
        <v>0.129</v>
      </c>
      <c r="I471" s="32">
        <v>35.299999999999997</v>
      </c>
      <c r="J471" s="32">
        <v>327</v>
      </c>
      <c r="K471" s="32">
        <v>1749</v>
      </c>
      <c r="L471" s="32">
        <v>0.7</v>
      </c>
      <c r="M471" s="34">
        <v>52.940009394413593</v>
      </c>
      <c r="N471" s="32">
        <v>405</v>
      </c>
      <c r="O471" s="32">
        <v>375</v>
      </c>
      <c r="P471" s="34">
        <f t="shared" si="7"/>
        <v>0.92592592592592593</v>
      </c>
    </row>
    <row r="472" spans="1:16">
      <c r="A472" s="32" t="s">
        <v>56</v>
      </c>
      <c r="B472" s="32">
        <v>200</v>
      </c>
      <c r="C472" s="32">
        <v>1200</v>
      </c>
      <c r="D472" s="32">
        <v>11.34</v>
      </c>
      <c r="E472" s="32">
        <v>23.021235521235521</v>
      </c>
      <c r="F472" s="32">
        <v>866.31274131274131</v>
      </c>
      <c r="G472" s="77">
        <v>2.8899999999999998E-5</v>
      </c>
      <c r="H472" s="32">
        <v>0.129</v>
      </c>
      <c r="I472" s="32">
        <v>35.299999999999997</v>
      </c>
      <c r="J472" s="32">
        <v>327</v>
      </c>
      <c r="K472" s="32">
        <v>1749</v>
      </c>
      <c r="L472" s="32">
        <v>0.7</v>
      </c>
      <c r="M472" s="34">
        <v>43.225336664820396</v>
      </c>
      <c r="N472" s="32">
        <v>365</v>
      </c>
      <c r="O472" s="32">
        <v>308</v>
      </c>
      <c r="P472" s="34">
        <f t="shared" si="7"/>
        <v>0.84383561643835614</v>
      </c>
    </row>
    <row r="473" spans="1:16">
      <c r="A473" s="32" t="s">
        <v>56</v>
      </c>
      <c r="B473" s="32">
        <v>200</v>
      </c>
      <c r="C473" s="32">
        <v>1600</v>
      </c>
      <c r="D473" s="32">
        <v>11.34</v>
      </c>
      <c r="E473" s="32">
        <v>23.021235521235521</v>
      </c>
      <c r="F473" s="32">
        <v>866.31274131274131</v>
      </c>
      <c r="G473" s="77">
        <v>2.8899999999999998E-5</v>
      </c>
      <c r="H473" s="32">
        <v>0.129</v>
      </c>
      <c r="I473" s="32">
        <v>35.299999999999997</v>
      </c>
      <c r="J473" s="32">
        <v>327</v>
      </c>
      <c r="K473" s="32">
        <v>1749</v>
      </c>
      <c r="L473" s="32">
        <v>0.7</v>
      </c>
      <c r="M473" s="34">
        <v>37.434239638869386</v>
      </c>
      <c r="N473" s="32">
        <v>318</v>
      </c>
      <c r="O473" s="32">
        <v>280</v>
      </c>
      <c r="P473" s="34">
        <f t="shared" si="7"/>
        <v>0.88050314465408808</v>
      </c>
    </row>
    <row r="474" spans="1:16">
      <c r="A474" s="32" t="s">
        <v>56</v>
      </c>
      <c r="B474" s="32">
        <v>200</v>
      </c>
      <c r="C474" s="32">
        <v>2000</v>
      </c>
      <c r="D474" s="32">
        <v>11.34</v>
      </c>
      <c r="E474" s="32">
        <v>23.021235521235521</v>
      </c>
      <c r="F474" s="32">
        <v>866.31274131274131</v>
      </c>
      <c r="G474" s="77">
        <v>2.8899999999999998E-5</v>
      </c>
      <c r="H474" s="32">
        <v>0.129</v>
      </c>
      <c r="I474" s="32">
        <v>35.299999999999997</v>
      </c>
      <c r="J474" s="32">
        <v>327</v>
      </c>
      <c r="K474" s="32">
        <v>1749</v>
      </c>
      <c r="L474" s="32">
        <v>0.7</v>
      </c>
      <c r="M474" s="34">
        <v>33.482201807411649</v>
      </c>
      <c r="N474" s="32">
        <v>276</v>
      </c>
      <c r="O474" s="32">
        <v>240</v>
      </c>
      <c r="P474" s="34">
        <f t="shared" si="7"/>
        <v>0.86956521739130432</v>
      </c>
    </row>
    <row r="475" spans="1:16">
      <c r="A475" s="32" t="s">
        <v>56</v>
      </c>
      <c r="B475" s="32">
        <v>200</v>
      </c>
      <c r="C475" s="32">
        <v>2400</v>
      </c>
      <c r="D475" s="32">
        <v>11.34</v>
      </c>
      <c r="E475" s="32">
        <v>23.021235521235521</v>
      </c>
      <c r="F475" s="32">
        <v>866.31274131274131</v>
      </c>
      <c r="G475" s="77">
        <v>2.8899999999999998E-5</v>
      </c>
      <c r="H475" s="32">
        <v>0.129</v>
      </c>
      <c r="I475" s="32">
        <v>35.299999999999997</v>
      </c>
      <c r="J475" s="32">
        <v>327</v>
      </c>
      <c r="K475" s="32">
        <v>1749</v>
      </c>
      <c r="L475" s="32">
        <v>0.7</v>
      </c>
      <c r="M475" s="34">
        <v>30.564928674766005</v>
      </c>
      <c r="N475" s="32">
        <v>184</v>
      </c>
      <c r="O475" s="32">
        <v>208</v>
      </c>
      <c r="P475" s="34">
        <f t="shared" si="7"/>
        <v>1.1304347826086956</v>
      </c>
    </row>
    <row r="476" spans="1:16">
      <c r="A476" s="32" t="s">
        <v>56</v>
      </c>
      <c r="B476" s="32">
        <v>350</v>
      </c>
      <c r="C476" s="32">
        <v>400</v>
      </c>
      <c r="D476" s="32">
        <v>11.34</v>
      </c>
      <c r="E476" s="32">
        <v>23.021235521235521</v>
      </c>
      <c r="F476" s="32">
        <v>866.31274131274131</v>
      </c>
      <c r="G476" s="77">
        <v>2.8899999999999998E-5</v>
      </c>
      <c r="H476" s="32">
        <v>0.129</v>
      </c>
      <c r="I476" s="32">
        <v>35.299999999999997</v>
      </c>
      <c r="J476" s="32">
        <v>327</v>
      </c>
      <c r="K476" s="32">
        <v>1749</v>
      </c>
      <c r="L476" s="32">
        <v>0.7</v>
      </c>
      <c r="M476" s="34">
        <v>131.01983873604286</v>
      </c>
      <c r="N476" s="32">
        <v>566</v>
      </c>
      <c r="O476" s="32">
        <v>2085</v>
      </c>
      <c r="P476" s="34">
        <f t="shared" si="7"/>
        <v>3.6837455830388692</v>
      </c>
    </row>
    <row r="477" spans="1:16">
      <c r="A477" s="32" t="s">
        <v>56</v>
      </c>
      <c r="B477" s="32">
        <v>350</v>
      </c>
      <c r="C477" s="32">
        <v>600</v>
      </c>
      <c r="D477" s="32">
        <v>11.34</v>
      </c>
      <c r="E477" s="32">
        <v>23.021235521235521</v>
      </c>
      <c r="F477" s="32">
        <v>866.31274131274131</v>
      </c>
      <c r="G477" s="77">
        <v>2.8899999999999998E-5</v>
      </c>
      <c r="H477" s="32">
        <v>0.129</v>
      </c>
      <c r="I477" s="32">
        <v>35.299999999999997</v>
      </c>
      <c r="J477" s="32">
        <v>327</v>
      </c>
      <c r="K477" s="32">
        <v>1749</v>
      </c>
      <c r="L477" s="32">
        <v>0.7</v>
      </c>
      <c r="M477" s="34">
        <v>106.97725036168102</v>
      </c>
      <c r="N477" s="32">
        <v>589</v>
      </c>
      <c r="O477" s="32">
        <v>1569</v>
      </c>
      <c r="P477" s="34">
        <f t="shared" si="7"/>
        <v>2.6638370118845502</v>
      </c>
    </row>
    <row r="478" spans="1:16">
      <c r="A478" s="32" t="s">
        <v>56</v>
      </c>
      <c r="B478" s="32">
        <v>350</v>
      </c>
      <c r="C478" s="32">
        <v>800</v>
      </c>
      <c r="D478" s="32">
        <v>11.34</v>
      </c>
      <c r="E478" s="32">
        <v>23.021235521235521</v>
      </c>
      <c r="F478" s="32">
        <v>866.31274131274131</v>
      </c>
      <c r="G478" s="77">
        <v>2.8899999999999998E-5</v>
      </c>
      <c r="H478" s="32">
        <v>0.129</v>
      </c>
      <c r="I478" s="32">
        <v>35.299999999999997</v>
      </c>
      <c r="J478" s="32">
        <v>327</v>
      </c>
      <c r="K478" s="32">
        <v>1749</v>
      </c>
      <c r="L478" s="32">
        <v>0.7</v>
      </c>
      <c r="M478" s="34">
        <v>92.645016440223785</v>
      </c>
      <c r="N478" s="32">
        <v>555</v>
      </c>
      <c r="O478" s="32">
        <v>1236</v>
      </c>
      <c r="P478" s="34">
        <f t="shared" si="7"/>
        <v>2.2270270270270269</v>
      </c>
    </row>
    <row r="479" spans="1:16">
      <c r="A479" s="32" t="s">
        <v>56</v>
      </c>
      <c r="B479" s="32">
        <v>350</v>
      </c>
      <c r="C479" s="32">
        <v>1000</v>
      </c>
      <c r="D479" s="32">
        <v>11.34</v>
      </c>
      <c r="E479" s="32">
        <v>23.021235521235521</v>
      </c>
      <c r="F479" s="32">
        <v>866.31274131274131</v>
      </c>
      <c r="G479" s="77">
        <v>2.8899999999999998E-5</v>
      </c>
      <c r="H479" s="32">
        <v>0.129</v>
      </c>
      <c r="I479" s="32">
        <v>35.299999999999997</v>
      </c>
      <c r="J479" s="32">
        <v>327</v>
      </c>
      <c r="K479" s="32">
        <v>1749</v>
      </c>
      <c r="L479" s="32">
        <v>0.7</v>
      </c>
      <c r="M479" s="34">
        <v>82.864221814770389</v>
      </c>
      <c r="N479" s="32">
        <v>572</v>
      </c>
      <c r="O479" s="32">
        <v>831</v>
      </c>
      <c r="P479" s="34">
        <f t="shared" si="7"/>
        <v>1.4527972027972027</v>
      </c>
    </row>
    <row r="480" spans="1:16">
      <c r="A480" s="32" t="s">
        <v>56</v>
      </c>
      <c r="B480" s="32">
        <v>350</v>
      </c>
      <c r="C480" s="32">
        <v>1200</v>
      </c>
      <c r="D480" s="32">
        <v>11.34</v>
      </c>
      <c r="E480" s="32">
        <v>23.021235521235521</v>
      </c>
      <c r="F480" s="32">
        <v>866.31274131274131</v>
      </c>
      <c r="G480" s="77">
        <v>2.8899999999999998E-5</v>
      </c>
      <c r="H480" s="32">
        <v>0.129</v>
      </c>
      <c r="I480" s="32">
        <v>35.299999999999997</v>
      </c>
      <c r="J480" s="32">
        <v>327</v>
      </c>
      <c r="K480" s="32">
        <v>1749</v>
      </c>
      <c r="L480" s="32">
        <v>0.7</v>
      </c>
      <c r="M480" s="34">
        <v>75.644339163435703</v>
      </c>
      <c r="N480" s="32">
        <v>539</v>
      </c>
      <c r="O480" s="32">
        <v>644</v>
      </c>
      <c r="P480" s="34">
        <f t="shared" si="7"/>
        <v>1.1948051948051948</v>
      </c>
    </row>
    <row r="481" spans="1:16">
      <c r="A481" s="32" t="s">
        <v>56</v>
      </c>
      <c r="B481" s="32">
        <v>350</v>
      </c>
      <c r="C481" s="32">
        <v>1600</v>
      </c>
      <c r="D481" s="32">
        <v>11.34</v>
      </c>
      <c r="E481" s="32">
        <v>23.021235521235521</v>
      </c>
      <c r="F481" s="32">
        <v>866.31274131274131</v>
      </c>
      <c r="G481" s="77">
        <v>2.8899999999999998E-5</v>
      </c>
      <c r="H481" s="32">
        <v>0.129</v>
      </c>
      <c r="I481" s="32">
        <v>35.299999999999997</v>
      </c>
      <c r="J481" s="32">
        <v>327</v>
      </c>
      <c r="K481" s="32">
        <v>1749</v>
      </c>
      <c r="L481" s="32">
        <v>0.7</v>
      </c>
      <c r="M481" s="34">
        <v>65.509919368021428</v>
      </c>
      <c r="N481" s="32">
        <v>347</v>
      </c>
      <c r="O481" s="32">
        <v>498</v>
      </c>
      <c r="P481" s="34">
        <f t="shared" si="7"/>
        <v>1.4351585014409223</v>
      </c>
    </row>
    <row r="482" spans="1:16">
      <c r="A482" s="32" t="s">
        <v>56</v>
      </c>
      <c r="B482" s="32">
        <v>350</v>
      </c>
      <c r="C482" s="32">
        <v>2000</v>
      </c>
      <c r="D482" s="32">
        <v>11.34</v>
      </c>
      <c r="E482" s="32">
        <v>23.021235521235521</v>
      </c>
      <c r="F482" s="32">
        <v>866.31274131274131</v>
      </c>
      <c r="G482" s="77">
        <v>2.8899999999999998E-5</v>
      </c>
      <c r="H482" s="32">
        <v>0.129</v>
      </c>
      <c r="I482" s="32">
        <v>35.299999999999997</v>
      </c>
      <c r="J482" s="32">
        <v>327</v>
      </c>
      <c r="K482" s="32">
        <v>1749</v>
      </c>
      <c r="L482" s="32">
        <v>0.7</v>
      </c>
      <c r="M482" s="34">
        <v>58.59385316297039</v>
      </c>
      <c r="N482" s="32">
        <v>331</v>
      </c>
      <c r="O482" s="32">
        <v>415</v>
      </c>
      <c r="P482" s="34">
        <f t="shared" si="7"/>
        <v>1.2537764350453173</v>
      </c>
    </row>
    <row r="483" spans="1:16">
      <c r="A483" s="32" t="s">
        <v>56</v>
      </c>
      <c r="B483" s="32">
        <v>350</v>
      </c>
      <c r="C483" s="32">
        <v>2400</v>
      </c>
      <c r="D483" s="32">
        <v>11.34</v>
      </c>
      <c r="E483" s="32">
        <v>23.021235521235521</v>
      </c>
      <c r="F483" s="32">
        <v>866.31274131274131</v>
      </c>
      <c r="G483" s="77">
        <v>2.8899999999999998E-5</v>
      </c>
      <c r="H483" s="32">
        <v>0.129</v>
      </c>
      <c r="I483" s="32">
        <v>35.299999999999997</v>
      </c>
      <c r="J483" s="32">
        <v>327</v>
      </c>
      <c r="K483" s="32">
        <v>1749</v>
      </c>
      <c r="L483" s="32">
        <v>0.7</v>
      </c>
      <c r="M483" s="34">
        <v>53.488625180840508</v>
      </c>
      <c r="N483" s="32">
        <v>254</v>
      </c>
      <c r="O483" s="32">
        <v>287</v>
      </c>
      <c r="P483" s="34">
        <f t="shared" si="7"/>
        <v>1.1299212598425197</v>
      </c>
    </row>
    <row r="484" spans="1:16">
      <c r="A484" s="32" t="s">
        <v>56</v>
      </c>
      <c r="B484" s="32">
        <v>100</v>
      </c>
      <c r="C484" s="32">
        <v>300</v>
      </c>
      <c r="D484" s="32">
        <v>11.34</v>
      </c>
      <c r="E484" s="32">
        <v>23.021235521235521</v>
      </c>
      <c r="F484" s="32">
        <v>866.31274131274131</v>
      </c>
      <c r="G484" s="77">
        <v>2.8899999999999998E-5</v>
      </c>
      <c r="H484" s="32">
        <v>0.129</v>
      </c>
      <c r="I484" s="32">
        <v>35.299999999999997</v>
      </c>
      <c r="J484" s="32">
        <v>327</v>
      </c>
      <c r="K484" s="32">
        <v>1749</v>
      </c>
      <c r="L484" s="32">
        <v>0.7</v>
      </c>
      <c r="M484" s="34">
        <v>43.225336664820396</v>
      </c>
      <c r="N484" s="32">
        <v>447</v>
      </c>
      <c r="O484" s="32">
        <v>274</v>
      </c>
      <c r="P484" s="34">
        <f t="shared" si="7"/>
        <v>0.61297539149888147</v>
      </c>
    </row>
    <row r="485" spans="1:16">
      <c r="A485" s="32" t="s">
        <v>56</v>
      </c>
      <c r="B485" s="32">
        <v>150</v>
      </c>
      <c r="C485" s="32">
        <v>300</v>
      </c>
      <c r="D485" s="32">
        <v>11.34</v>
      </c>
      <c r="E485" s="32">
        <v>23.021235521235521</v>
      </c>
      <c r="F485" s="32">
        <v>866.31274131274131</v>
      </c>
      <c r="G485" s="77">
        <v>2.8899999999999998E-5</v>
      </c>
      <c r="H485" s="32">
        <v>0.129</v>
      </c>
      <c r="I485" s="32">
        <v>35.299999999999997</v>
      </c>
      <c r="J485" s="32">
        <v>327</v>
      </c>
      <c r="K485" s="32">
        <v>1749</v>
      </c>
      <c r="L485" s="32">
        <v>0.7</v>
      </c>
      <c r="M485" s="34">
        <v>64.838004997230598</v>
      </c>
      <c r="N485" s="32">
        <v>476</v>
      </c>
      <c r="O485" s="32">
        <v>359</v>
      </c>
      <c r="P485" s="34">
        <f t="shared" si="7"/>
        <v>0.75420168067226889</v>
      </c>
    </row>
    <row r="486" spans="1:16">
      <c r="A486" s="32" t="s">
        <v>56</v>
      </c>
      <c r="B486" s="32">
        <v>200</v>
      </c>
      <c r="C486" s="32">
        <v>300</v>
      </c>
      <c r="D486" s="32">
        <v>11.34</v>
      </c>
      <c r="E486" s="32">
        <v>23.021235521235521</v>
      </c>
      <c r="F486" s="32">
        <v>866.31274131274131</v>
      </c>
      <c r="G486" s="77">
        <v>2.8899999999999998E-5</v>
      </c>
      <c r="H486" s="32">
        <v>0.129</v>
      </c>
      <c r="I486" s="32">
        <v>35.299999999999997</v>
      </c>
      <c r="J486" s="32">
        <v>327</v>
      </c>
      <c r="K486" s="32">
        <v>1749</v>
      </c>
      <c r="L486" s="32">
        <v>0.7</v>
      </c>
      <c r="M486" s="34">
        <v>86.450673329640793</v>
      </c>
      <c r="N486" s="32">
        <v>523.70000000000005</v>
      </c>
      <c r="O486" s="32">
        <v>400.2</v>
      </c>
      <c r="P486" s="34">
        <f t="shared" si="7"/>
        <v>0.76417796448348285</v>
      </c>
    </row>
    <row r="487" spans="1:16">
      <c r="A487" s="32" t="s">
        <v>56</v>
      </c>
      <c r="B487" s="32">
        <v>250</v>
      </c>
      <c r="C487" s="32">
        <v>300</v>
      </c>
      <c r="D487" s="32">
        <v>11.34</v>
      </c>
      <c r="E487" s="32">
        <v>23.021235521235521</v>
      </c>
      <c r="F487" s="32">
        <v>866.31274131274131</v>
      </c>
      <c r="G487" s="77">
        <v>2.8899999999999998E-5</v>
      </c>
      <c r="H487" s="32">
        <v>0.129</v>
      </c>
      <c r="I487" s="32">
        <v>35.299999999999997</v>
      </c>
      <c r="J487" s="32">
        <v>327</v>
      </c>
      <c r="K487" s="32">
        <v>1749</v>
      </c>
      <c r="L487" s="32">
        <v>0.7</v>
      </c>
      <c r="M487" s="34">
        <v>108.063341662051</v>
      </c>
      <c r="N487" s="32">
        <v>556</v>
      </c>
      <c r="O487" s="32">
        <v>802</v>
      </c>
      <c r="P487" s="34">
        <f t="shared" si="7"/>
        <v>1.4424460431654675</v>
      </c>
    </row>
    <row r="488" spans="1:16">
      <c r="A488" s="32" t="s">
        <v>56</v>
      </c>
      <c r="B488" s="32">
        <v>300</v>
      </c>
      <c r="C488" s="32">
        <v>300</v>
      </c>
      <c r="D488" s="32">
        <v>11.34</v>
      </c>
      <c r="E488" s="32">
        <v>23.021235521235521</v>
      </c>
      <c r="F488" s="32">
        <v>866.31274131274131</v>
      </c>
      <c r="G488" s="77">
        <v>2.8899999999999998E-5</v>
      </c>
      <c r="H488" s="32">
        <v>0.129</v>
      </c>
      <c r="I488" s="32">
        <v>35.299999999999997</v>
      </c>
      <c r="J488" s="32">
        <v>327</v>
      </c>
      <c r="K488" s="32">
        <v>1749</v>
      </c>
      <c r="L488" s="32">
        <v>0.7</v>
      </c>
      <c r="M488" s="34">
        <v>129.6760099944612</v>
      </c>
      <c r="N488" s="32">
        <v>581.46</v>
      </c>
      <c r="O488" s="32">
        <v>1519.24</v>
      </c>
      <c r="P488" s="34">
        <f t="shared" si="7"/>
        <v>2.6128022563890894</v>
      </c>
    </row>
    <row r="489" spans="1:16">
      <c r="A489" s="32" t="s">
        <v>56</v>
      </c>
      <c r="B489" s="32">
        <v>100</v>
      </c>
      <c r="C489" s="32">
        <v>600</v>
      </c>
      <c r="D489" s="32">
        <v>11.34</v>
      </c>
      <c r="E489" s="32">
        <v>23.021235521235521</v>
      </c>
      <c r="F489" s="32">
        <v>866.31274131274131</v>
      </c>
      <c r="G489" s="77">
        <v>2.8899999999999998E-5</v>
      </c>
      <c r="H489" s="32">
        <v>0.129</v>
      </c>
      <c r="I489" s="32">
        <v>35.299999999999997</v>
      </c>
      <c r="J489" s="32">
        <v>327</v>
      </c>
      <c r="K489" s="32">
        <v>1749</v>
      </c>
      <c r="L489" s="32">
        <v>0.7</v>
      </c>
      <c r="M489" s="34">
        <v>30.564928674766005</v>
      </c>
      <c r="N489" s="32">
        <v>274</v>
      </c>
      <c r="O489" s="32">
        <v>328.4</v>
      </c>
      <c r="P489" s="34">
        <f t="shared" si="7"/>
        <v>1.1985401459854015</v>
      </c>
    </row>
    <row r="490" spans="1:16">
      <c r="A490" s="32" t="s">
        <v>56</v>
      </c>
      <c r="B490" s="32">
        <v>150</v>
      </c>
      <c r="C490" s="32">
        <v>600</v>
      </c>
      <c r="D490" s="32">
        <v>11.34</v>
      </c>
      <c r="E490" s="32">
        <v>23.021235521235521</v>
      </c>
      <c r="F490" s="32">
        <v>866.31274131274131</v>
      </c>
      <c r="G490" s="77">
        <v>2.8899999999999998E-5</v>
      </c>
      <c r="H490" s="32">
        <v>0.129</v>
      </c>
      <c r="I490" s="32">
        <v>35.299999999999997</v>
      </c>
      <c r="J490" s="32">
        <v>327</v>
      </c>
      <c r="K490" s="32">
        <v>1749</v>
      </c>
      <c r="L490" s="32">
        <v>0.7</v>
      </c>
      <c r="M490" s="34">
        <v>45.847393012149013</v>
      </c>
      <c r="N490" s="32">
        <v>282.94</v>
      </c>
      <c r="O490" s="32">
        <v>677.11</v>
      </c>
      <c r="P490" s="34">
        <f t="shared" si="7"/>
        <v>2.393122216724394</v>
      </c>
    </row>
    <row r="491" spans="1:16">
      <c r="A491" s="32" t="s">
        <v>56</v>
      </c>
      <c r="B491" s="32">
        <v>200</v>
      </c>
      <c r="C491" s="32">
        <v>600</v>
      </c>
      <c r="D491" s="32">
        <v>11.34</v>
      </c>
      <c r="E491" s="32">
        <v>23.021235521235521</v>
      </c>
      <c r="F491" s="32">
        <v>866.31274131274131</v>
      </c>
      <c r="G491" s="77">
        <v>2.8899999999999998E-5</v>
      </c>
      <c r="H491" s="32">
        <v>0.129</v>
      </c>
      <c r="I491" s="32">
        <v>35.299999999999997</v>
      </c>
      <c r="J491" s="32">
        <v>327</v>
      </c>
      <c r="K491" s="32">
        <v>1749</v>
      </c>
      <c r="L491" s="32">
        <v>0.7</v>
      </c>
      <c r="M491" s="34">
        <v>61.12985734953201</v>
      </c>
      <c r="N491" s="32">
        <v>293.2</v>
      </c>
      <c r="O491" s="32">
        <v>942.48</v>
      </c>
      <c r="P491" s="34">
        <f t="shared" si="7"/>
        <v>3.214461118690314</v>
      </c>
    </row>
    <row r="492" spans="1:16">
      <c r="A492" s="32" t="s">
        <v>56</v>
      </c>
      <c r="B492" s="32">
        <v>250</v>
      </c>
      <c r="C492" s="32">
        <v>600</v>
      </c>
      <c r="D492" s="32">
        <v>11.34</v>
      </c>
      <c r="E492" s="32">
        <v>23.021235521235521</v>
      </c>
      <c r="F492" s="32">
        <v>866.31274131274131</v>
      </c>
      <c r="G492" s="77">
        <v>2.8899999999999998E-5</v>
      </c>
      <c r="H492" s="32">
        <v>0.129</v>
      </c>
      <c r="I492" s="32">
        <v>35.299999999999997</v>
      </c>
      <c r="J492" s="32">
        <v>327</v>
      </c>
      <c r="K492" s="32">
        <v>1749</v>
      </c>
      <c r="L492" s="32">
        <v>0.7</v>
      </c>
      <c r="M492" s="34">
        <v>76.412321686915021</v>
      </c>
      <c r="N492" s="32">
        <v>532.99</v>
      </c>
      <c r="O492" s="32">
        <v>982.62</v>
      </c>
      <c r="P492" s="34">
        <f t="shared" si="7"/>
        <v>1.8435993170603575</v>
      </c>
    </row>
    <row r="493" spans="1:16">
      <c r="A493" s="32" t="s">
        <v>56</v>
      </c>
      <c r="B493" s="32">
        <v>300</v>
      </c>
      <c r="C493" s="32">
        <v>600</v>
      </c>
      <c r="D493" s="32">
        <v>11.34</v>
      </c>
      <c r="E493" s="32">
        <v>23.021235521235521</v>
      </c>
      <c r="F493" s="32">
        <v>866.31274131274131</v>
      </c>
      <c r="G493" s="77">
        <v>2.8899999999999998E-5</v>
      </c>
      <c r="H493" s="32">
        <v>0.129</v>
      </c>
      <c r="I493" s="32">
        <v>35.299999999999997</v>
      </c>
      <c r="J493" s="32">
        <v>327</v>
      </c>
      <c r="K493" s="32">
        <v>1749</v>
      </c>
      <c r="L493" s="32">
        <v>0.7</v>
      </c>
      <c r="M493" s="34">
        <v>91.694786024298025</v>
      </c>
      <c r="N493" s="32">
        <v>543</v>
      </c>
      <c r="O493" s="32">
        <v>1181.3800000000001</v>
      </c>
      <c r="P493" s="34">
        <f t="shared" si="7"/>
        <v>2.1756537753222838</v>
      </c>
    </row>
    <row r="494" spans="1:16">
      <c r="A494" s="32" t="s">
        <v>56</v>
      </c>
      <c r="B494" s="32">
        <v>100</v>
      </c>
      <c r="C494" s="32">
        <v>900</v>
      </c>
      <c r="D494" s="32">
        <v>11.34</v>
      </c>
      <c r="E494" s="32">
        <v>23.021235521235521</v>
      </c>
      <c r="F494" s="32">
        <v>866.31274131274131</v>
      </c>
      <c r="G494" s="77">
        <v>2.8899999999999998E-5</v>
      </c>
      <c r="H494" s="32">
        <v>0.129</v>
      </c>
      <c r="I494" s="32">
        <v>35.299999999999997</v>
      </c>
      <c r="J494" s="32">
        <v>327</v>
      </c>
      <c r="K494" s="32">
        <v>1749</v>
      </c>
      <c r="L494" s="32">
        <v>0.7</v>
      </c>
      <c r="M494" s="34">
        <v>24.956159759246258</v>
      </c>
      <c r="N494" s="32">
        <v>216</v>
      </c>
      <c r="O494" s="32">
        <v>146</v>
      </c>
      <c r="P494" s="34">
        <f t="shared" si="7"/>
        <v>0.67592592592592593</v>
      </c>
    </row>
    <row r="495" spans="1:16">
      <c r="A495" s="32" t="s">
        <v>56</v>
      </c>
      <c r="B495" s="32">
        <v>150</v>
      </c>
      <c r="C495" s="32">
        <v>900</v>
      </c>
      <c r="D495" s="32">
        <v>11.34</v>
      </c>
      <c r="E495" s="32">
        <v>23.021235521235521</v>
      </c>
      <c r="F495" s="32">
        <v>866.31274131274131</v>
      </c>
      <c r="G495" s="77">
        <v>2.8899999999999998E-5</v>
      </c>
      <c r="H495" s="32">
        <v>0.129</v>
      </c>
      <c r="I495" s="32">
        <v>35.299999999999997</v>
      </c>
      <c r="J495" s="32">
        <v>327</v>
      </c>
      <c r="K495" s="32">
        <v>1749</v>
      </c>
      <c r="L495" s="32">
        <v>0.7</v>
      </c>
      <c r="M495" s="34">
        <v>37.434239638869386</v>
      </c>
      <c r="N495" s="32">
        <v>294</v>
      </c>
      <c r="O495" s="32">
        <v>258.22000000000003</v>
      </c>
      <c r="P495" s="34">
        <f t="shared" si="7"/>
        <v>0.87829931972789121</v>
      </c>
    </row>
    <row r="496" spans="1:16">
      <c r="A496" s="32" t="s">
        <v>56</v>
      </c>
      <c r="B496" s="32">
        <v>200</v>
      </c>
      <c r="C496" s="32">
        <v>900</v>
      </c>
      <c r="D496" s="32">
        <v>11.34</v>
      </c>
      <c r="E496" s="32">
        <v>23.021235521235521</v>
      </c>
      <c r="F496" s="32">
        <v>866.31274131274131</v>
      </c>
      <c r="G496" s="77">
        <v>2.8899999999999998E-5</v>
      </c>
      <c r="H496" s="32">
        <v>0.129</v>
      </c>
      <c r="I496" s="32">
        <v>35.299999999999997</v>
      </c>
      <c r="J496" s="32">
        <v>327</v>
      </c>
      <c r="K496" s="32">
        <v>1749</v>
      </c>
      <c r="L496" s="32">
        <v>0.7</v>
      </c>
      <c r="M496" s="34">
        <v>49.912319518492517</v>
      </c>
      <c r="N496" s="32">
        <v>356</v>
      </c>
      <c r="O496" s="32">
        <v>285</v>
      </c>
      <c r="P496" s="34">
        <f t="shared" si="7"/>
        <v>0.800561797752809</v>
      </c>
    </row>
    <row r="497" spans="1:16">
      <c r="A497" s="32" t="s">
        <v>56</v>
      </c>
      <c r="B497" s="32">
        <v>250</v>
      </c>
      <c r="C497" s="32">
        <v>900</v>
      </c>
      <c r="D497" s="32">
        <v>11.34</v>
      </c>
      <c r="E497" s="32">
        <v>23.021235521235521</v>
      </c>
      <c r="F497" s="32">
        <v>866.31274131274131</v>
      </c>
      <c r="G497" s="77">
        <v>2.8899999999999998E-5</v>
      </c>
      <c r="H497" s="32">
        <v>0.129</v>
      </c>
      <c r="I497" s="32">
        <v>35.299999999999997</v>
      </c>
      <c r="J497" s="32">
        <v>327</v>
      </c>
      <c r="K497" s="32">
        <v>1749</v>
      </c>
      <c r="L497" s="32">
        <v>0.7</v>
      </c>
      <c r="M497" s="34">
        <v>62.390399398115648</v>
      </c>
      <c r="N497" s="32">
        <v>393.12</v>
      </c>
      <c r="O497" s="32">
        <v>333.35</v>
      </c>
      <c r="P497" s="34">
        <f t="shared" si="7"/>
        <v>0.84795991045991048</v>
      </c>
    </row>
    <row r="498" spans="1:16">
      <c r="A498" s="32" t="s">
        <v>56</v>
      </c>
      <c r="B498" s="32">
        <v>300</v>
      </c>
      <c r="C498" s="32">
        <v>900</v>
      </c>
      <c r="D498" s="32">
        <v>11.34</v>
      </c>
      <c r="E498" s="32">
        <v>23.021235521235521</v>
      </c>
      <c r="F498" s="32">
        <v>866.31274131274131</v>
      </c>
      <c r="G498" s="77">
        <v>2.8899999999999998E-5</v>
      </c>
      <c r="H498" s="32">
        <v>0.129</v>
      </c>
      <c r="I498" s="32">
        <v>35.299999999999997</v>
      </c>
      <c r="J498" s="32">
        <v>327</v>
      </c>
      <c r="K498" s="32">
        <v>1749</v>
      </c>
      <c r="L498" s="32">
        <v>0.7</v>
      </c>
      <c r="M498" s="34">
        <v>74.868479277738771</v>
      </c>
      <c r="N498" s="32">
        <v>563.38</v>
      </c>
      <c r="O498" s="32">
        <v>350.3</v>
      </c>
      <c r="P498" s="34">
        <f t="shared" si="7"/>
        <v>0.62178281089140552</v>
      </c>
    </row>
    <row r="499" spans="1:16">
      <c r="A499" s="32" t="s">
        <v>57</v>
      </c>
      <c r="B499" s="32">
        <v>200</v>
      </c>
      <c r="C499" s="32">
        <v>200</v>
      </c>
      <c r="D499" s="32">
        <v>9.7799999999999994</v>
      </c>
      <c r="E499" s="32">
        <v>52.158001420228885</v>
      </c>
      <c r="F499" s="32">
        <v>722.5557994912441</v>
      </c>
      <c r="G499" s="77">
        <v>1.34E-5</v>
      </c>
      <c r="H499" s="32">
        <v>0.122</v>
      </c>
      <c r="I499" s="32">
        <v>7.97</v>
      </c>
      <c r="J499" s="32">
        <v>271</v>
      </c>
      <c r="K499" s="32">
        <v>1564</v>
      </c>
      <c r="L499" s="32">
        <v>0.7</v>
      </c>
      <c r="M499" s="34">
        <v>176.00592275141489</v>
      </c>
      <c r="N499" s="32">
        <v>246.84</v>
      </c>
      <c r="O499" s="32">
        <v>363.83</v>
      </c>
      <c r="P499" s="34">
        <f t="shared" si="7"/>
        <v>1.4739507373197211</v>
      </c>
    </row>
    <row r="500" spans="1:16">
      <c r="A500" s="32" t="s">
        <v>57</v>
      </c>
      <c r="B500" s="32">
        <v>200</v>
      </c>
      <c r="C500" s="32">
        <v>400</v>
      </c>
      <c r="D500" s="32">
        <v>9.7799999999999994</v>
      </c>
      <c r="E500" s="32">
        <v>52.158001420228885</v>
      </c>
      <c r="F500" s="32">
        <v>722.5557994912441</v>
      </c>
      <c r="G500" s="77">
        <v>1.34E-5</v>
      </c>
      <c r="H500" s="32">
        <v>0.122</v>
      </c>
      <c r="I500" s="32">
        <v>7.97</v>
      </c>
      <c r="J500" s="32">
        <v>271</v>
      </c>
      <c r="K500" s="32">
        <v>1564</v>
      </c>
      <c r="L500" s="32">
        <v>0.7</v>
      </c>
      <c r="M500" s="34">
        <v>124.45498150652112</v>
      </c>
      <c r="N500" s="32">
        <v>287.63</v>
      </c>
      <c r="O500" s="32">
        <v>412.89</v>
      </c>
      <c r="P500" s="34">
        <f t="shared" si="7"/>
        <v>1.4354900392865835</v>
      </c>
    </row>
    <row r="501" spans="1:16">
      <c r="A501" s="32" t="s">
        <v>57</v>
      </c>
      <c r="B501" s="32">
        <v>200</v>
      </c>
      <c r="C501" s="32">
        <v>600</v>
      </c>
      <c r="D501" s="32">
        <v>9.7799999999999994</v>
      </c>
      <c r="E501" s="32">
        <v>52.158001420228885</v>
      </c>
      <c r="F501" s="32">
        <v>722.5557994912441</v>
      </c>
      <c r="G501" s="77">
        <v>1.34E-5</v>
      </c>
      <c r="H501" s="32">
        <v>0.122</v>
      </c>
      <c r="I501" s="32">
        <v>7.97</v>
      </c>
      <c r="J501" s="32">
        <v>271</v>
      </c>
      <c r="K501" s="32">
        <v>1564</v>
      </c>
      <c r="L501" s="32">
        <v>0.7</v>
      </c>
      <c r="M501" s="34">
        <v>101.61706687949787</v>
      </c>
      <c r="N501" s="32">
        <v>299.76</v>
      </c>
      <c r="O501" s="32">
        <v>526.28</v>
      </c>
      <c r="P501" s="34">
        <f t="shared" si="7"/>
        <v>1.7556712036295703</v>
      </c>
    </row>
    <row r="502" spans="1:16">
      <c r="A502" s="32" t="s">
        <v>57</v>
      </c>
      <c r="B502" s="32">
        <v>200</v>
      </c>
      <c r="C502" s="32">
        <v>800</v>
      </c>
      <c r="D502" s="32">
        <v>9.7799999999999994</v>
      </c>
      <c r="E502" s="32">
        <v>52.158001420228885</v>
      </c>
      <c r="F502" s="32">
        <v>722.5557994912441</v>
      </c>
      <c r="G502" s="77">
        <v>1.34E-5</v>
      </c>
      <c r="H502" s="32">
        <v>0.122</v>
      </c>
      <c r="I502" s="32">
        <v>7.97</v>
      </c>
      <c r="J502" s="32">
        <v>271</v>
      </c>
      <c r="K502" s="32">
        <v>1564</v>
      </c>
      <c r="L502" s="32">
        <v>0.7</v>
      </c>
      <c r="M502" s="34">
        <v>88.002961375707443</v>
      </c>
      <c r="N502" s="32">
        <v>384.13</v>
      </c>
      <c r="O502" s="32">
        <v>570.44000000000005</v>
      </c>
      <c r="P502" s="34">
        <f t="shared" si="7"/>
        <v>1.4850180928331556</v>
      </c>
    </row>
    <row r="503" spans="1:16">
      <c r="A503" s="32" t="s">
        <v>57</v>
      </c>
      <c r="B503" s="32">
        <v>200</v>
      </c>
      <c r="C503" s="32">
        <v>1200</v>
      </c>
      <c r="D503" s="32">
        <v>9.7799999999999994</v>
      </c>
      <c r="E503" s="32">
        <v>52.158001420228885</v>
      </c>
      <c r="F503" s="32">
        <v>722.5557994912441</v>
      </c>
      <c r="G503" s="77">
        <v>1.34E-5</v>
      </c>
      <c r="H503" s="32">
        <v>0.122</v>
      </c>
      <c r="I503" s="32">
        <v>7.97</v>
      </c>
      <c r="J503" s="32">
        <v>271</v>
      </c>
      <c r="K503" s="32">
        <v>1564</v>
      </c>
      <c r="L503" s="32">
        <v>0.7</v>
      </c>
      <c r="M503" s="34">
        <v>71.854117074779865</v>
      </c>
      <c r="N503" s="32">
        <v>410.67</v>
      </c>
      <c r="O503" s="32">
        <v>752.65</v>
      </c>
      <c r="P503" s="34">
        <f t="shared" si="7"/>
        <v>1.8327367472666616</v>
      </c>
    </row>
    <row r="504" spans="1:16">
      <c r="A504" s="32" t="s">
        <v>57</v>
      </c>
      <c r="B504" s="32">
        <v>200</v>
      </c>
      <c r="C504" s="32">
        <v>1600</v>
      </c>
      <c r="D504" s="32">
        <v>9.7799999999999994</v>
      </c>
      <c r="E504" s="32">
        <v>52.158001420228885</v>
      </c>
      <c r="F504" s="32">
        <v>722.5557994912441</v>
      </c>
      <c r="G504" s="77">
        <v>1.34E-5</v>
      </c>
      <c r="H504" s="32">
        <v>0.122</v>
      </c>
      <c r="I504" s="32">
        <v>7.97</v>
      </c>
      <c r="J504" s="32">
        <v>271</v>
      </c>
      <c r="K504" s="32">
        <v>1564</v>
      </c>
      <c r="L504" s="32">
        <v>0.7</v>
      </c>
      <c r="M504" s="34">
        <v>62.227490753260561</v>
      </c>
      <c r="N504" s="32">
        <v>364.68</v>
      </c>
      <c r="O504" s="32">
        <v>1099.56</v>
      </c>
      <c r="P504" s="34">
        <f t="shared" si="7"/>
        <v>3.0151365580783152</v>
      </c>
    </row>
    <row r="505" spans="1:16">
      <c r="A505" s="32" t="s">
        <v>57</v>
      </c>
      <c r="B505" s="32">
        <v>350</v>
      </c>
      <c r="C505" s="32">
        <v>400</v>
      </c>
      <c r="D505" s="32">
        <v>9.7799999999999994</v>
      </c>
      <c r="E505" s="32">
        <v>52.158001420228885</v>
      </c>
      <c r="F505" s="32">
        <v>722.5557994912441</v>
      </c>
      <c r="G505" s="77">
        <v>1.34E-5</v>
      </c>
      <c r="H505" s="32">
        <v>0.122</v>
      </c>
      <c r="I505" s="32">
        <v>7.97</v>
      </c>
      <c r="J505" s="32">
        <v>271</v>
      </c>
      <c r="K505" s="32">
        <v>1564</v>
      </c>
      <c r="L505" s="32">
        <v>0.7</v>
      </c>
      <c r="M505" s="34">
        <v>217.79621763641197</v>
      </c>
      <c r="N505" s="32">
        <v>379.27</v>
      </c>
      <c r="O505" s="32">
        <v>437.33</v>
      </c>
      <c r="P505" s="34">
        <f t="shared" si="7"/>
        <v>1.1530835552508767</v>
      </c>
    </row>
    <row r="506" spans="1:16">
      <c r="A506" s="32" t="s">
        <v>57</v>
      </c>
      <c r="B506" s="32">
        <v>350</v>
      </c>
      <c r="C506" s="32">
        <v>600</v>
      </c>
      <c r="D506" s="32">
        <v>9.7799999999999994</v>
      </c>
      <c r="E506" s="32">
        <v>52.158001420228885</v>
      </c>
      <c r="F506" s="32">
        <v>722.5557994912441</v>
      </c>
      <c r="G506" s="77">
        <v>1.34E-5</v>
      </c>
      <c r="H506" s="32">
        <v>0.122</v>
      </c>
      <c r="I506" s="32">
        <v>7.97</v>
      </c>
      <c r="J506" s="32">
        <v>271</v>
      </c>
      <c r="K506" s="32">
        <v>1564</v>
      </c>
      <c r="L506" s="32">
        <v>0.7</v>
      </c>
      <c r="M506" s="34">
        <v>177.8298670391213</v>
      </c>
      <c r="N506" s="32">
        <v>336</v>
      </c>
      <c r="O506" s="32">
        <v>611.22</v>
      </c>
      <c r="P506" s="34">
        <f t="shared" si="7"/>
        <v>1.819107142857143</v>
      </c>
    </row>
    <row r="507" spans="1:16">
      <c r="A507" s="32" t="s">
        <v>57</v>
      </c>
      <c r="B507" s="32">
        <v>350</v>
      </c>
      <c r="C507" s="32">
        <v>800</v>
      </c>
      <c r="D507" s="32">
        <v>9.7799999999999994</v>
      </c>
      <c r="E507" s="32">
        <v>52.158001420228885</v>
      </c>
      <c r="F507" s="32">
        <v>722.5557994912441</v>
      </c>
      <c r="G507" s="77">
        <v>1.34E-5</v>
      </c>
      <c r="H507" s="32">
        <v>0.122</v>
      </c>
      <c r="I507" s="32">
        <v>7.97</v>
      </c>
      <c r="J507" s="32">
        <v>271</v>
      </c>
      <c r="K507" s="32">
        <v>1564</v>
      </c>
      <c r="L507" s="32">
        <v>0.7</v>
      </c>
      <c r="M507" s="34">
        <v>154.00518240748804</v>
      </c>
      <c r="N507" s="32">
        <v>355.5</v>
      </c>
      <c r="O507" s="32">
        <v>733.58</v>
      </c>
      <c r="P507" s="34">
        <f t="shared" si="7"/>
        <v>2.0635161744022503</v>
      </c>
    </row>
    <row r="508" spans="1:16">
      <c r="A508" s="32" t="s">
        <v>57</v>
      </c>
      <c r="B508" s="32">
        <v>350</v>
      </c>
      <c r="C508" s="32">
        <v>1000</v>
      </c>
      <c r="D508" s="32">
        <v>9.7799999999999994</v>
      </c>
      <c r="E508" s="32">
        <v>52.158001420228885</v>
      </c>
      <c r="F508" s="32">
        <v>722.5557994912441</v>
      </c>
      <c r="G508" s="77">
        <v>1.34E-5</v>
      </c>
      <c r="H508" s="32">
        <v>0.122</v>
      </c>
      <c r="I508" s="32">
        <v>7.97</v>
      </c>
      <c r="J508" s="32">
        <v>271</v>
      </c>
      <c r="K508" s="32">
        <v>1564</v>
      </c>
      <c r="L508" s="32">
        <v>0.7</v>
      </c>
      <c r="M508" s="34">
        <v>137.7464227001592</v>
      </c>
      <c r="N508" s="32">
        <v>512.89</v>
      </c>
      <c r="O508" s="32">
        <v>665.75</v>
      </c>
      <c r="P508" s="34">
        <f t="shared" si="7"/>
        <v>1.2980366160385268</v>
      </c>
    </row>
    <row r="509" spans="1:16">
      <c r="A509" s="32" t="s">
        <v>57</v>
      </c>
      <c r="B509" s="32">
        <v>350</v>
      </c>
      <c r="C509" s="32">
        <v>1200</v>
      </c>
      <c r="D509" s="32">
        <v>9.7799999999999994</v>
      </c>
      <c r="E509" s="32">
        <v>52.158001420228885</v>
      </c>
      <c r="F509" s="32">
        <v>722.5557994912441</v>
      </c>
      <c r="G509" s="77">
        <v>1.34E-5</v>
      </c>
      <c r="H509" s="32">
        <v>0.122</v>
      </c>
      <c r="I509" s="32">
        <v>7.97</v>
      </c>
      <c r="J509" s="32">
        <v>271</v>
      </c>
      <c r="K509" s="32">
        <v>1564</v>
      </c>
      <c r="L509" s="32">
        <v>0.7</v>
      </c>
      <c r="M509" s="34">
        <v>125.74470488086477</v>
      </c>
      <c r="N509" s="32">
        <v>514.42999999999995</v>
      </c>
      <c r="O509" s="32">
        <v>1012.21</v>
      </c>
      <c r="P509" s="34">
        <f t="shared" si="7"/>
        <v>1.9676340804385439</v>
      </c>
    </row>
    <row r="510" spans="1:16">
      <c r="A510" s="32" t="s">
        <v>57</v>
      </c>
      <c r="B510" s="32">
        <v>350</v>
      </c>
      <c r="C510" s="32">
        <v>1600</v>
      </c>
      <c r="D510" s="32">
        <v>9.7799999999999994</v>
      </c>
      <c r="E510" s="32">
        <v>52.158001420228885</v>
      </c>
      <c r="F510" s="32">
        <v>722.5557994912441</v>
      </c>
      <c r="G510" s="77">
        <v>1.34E-5</v>
      </c>
      <c r="H510" s="32">
        <v>0.122</v>
      </c>
      <c r="I510" s="32">
        <v>7.97</v>
      </c>
      <c r="J510" s="32">
        <v>271</v>
      </c>
      <c r="K510" s="32">
        <v>1564</v>
      </c>
      <c r="L510" s="32">
        <v>0.7</v>
      </c>
      <c r="M510" s="34">
        <v>108.89810881820598</v>
      </c>
      <c r="N510" s="32">
        <v>541.1</v>
      </c>
      <c r="O510" s="32">
        <v>1062.9100000000001</v>
      </c>
      <c r="P510" s="34">
        <f t="shared" si="7"/>
        <v>1.9643503973387544</v>
      </c>
    </row>
    <row r="511" spans="1:16">
      <c r="A511" s="32" t="s">
        <v>57</v>
      </c>
      <c r="B511" s="32">
        <v>350</v>
      </c>
      <c r="C511" s="32">
        <v>2000</v>
      </c>
      <c r="D511" s="32">
        <v>9.7799999999999994</v>
      </c>
      <c r="E511" s="32">
        <v>52.158001420228885</v>
      </c>
      <c r="F511" s="32">
        <v>722.5557994912441</v>
      </c>
      <c r="G511" s="77">
        <v>1.34E-5</v>
      </c>
      <c r="H511" s="32">
        <v>0.122</v>
      </c>
      <c r="I511" s="32">
        <v>7.97</v>
      </c>
      <c r="J511" s="32">
        <v>271</v>
      </c>
      <c r="K511" s="32">
        <v>1564</v>
      </c>
      <c r="L511" s="32">
        <v>0.7</v>
      </c>
      <c r="M511" s="34">
        <v>97.401429575471141</v>
      </c>
      <c r="N511" s="32">
        <v>545</v>
      </c>
      <c r="O511" s="32">
        <v>1467.26</v>
      </c>
      <c r="P511" s="34">
        <f t="shared" si="7"/>
        <v>2.6922201834862385</v>
      </c>
    </row>
    <row r="512" spans="1:16">
      <c r="A512" s="32" t="s">
        <v>57</v>
      </c>
      <c r="B512" s="32">
        <v>350</v>
      </c>
      <c r="C512" s="32">
        <v>2400</v>
      </c>
      <c r="D512" s="32">
        <v>9.7799999999999994</v>
      </c>
      <c r="E512" s="32">
        <v>52.158001420228885</v>
      </c>
      <c r="F512" s="32">
        <v>722.5557994912441</v>
      </c>
      <c r="G512" s="77">
        <v>1.34E-5</v>
      </c>
      <c r="H512" s="32">
        <v>0.122</v>
      </c>
      <c r="I512" s="32">
        <v>7.97</v>
      </c>
      <c r="J512" s="32">
        <v>271</v>
      </c>
      <c r="K512" s="32">
        <v>1564</v>
      </c>
      <c r="L512" s="32">
        <v>0.7</v>
      </c>
      <c r="M512" s="34">
        <v>88.914933519560648</v>
      </c>
      <c r="N512" s="32">
        <v>501.22</v>
      </c>
      <c r="O512" s="32">
        <v>1927</v>
      </c>
      <c r="P512" s="34">
        <f t="shared" si="7"/>
        <v>3.8446191293244483</v>
      </c>
    </row>
    <row r="513" spans="1:16">
      <c r="A513" s="32" t="s">
        <v>57</v>
      </c>
      <c r="B513" s="32">
        <v>100</v>
      </c>
      <c r="C513" s="32">
        <v>300</v>
      </c>
      <c r="D513" s="32">
        <v>9.7799999999999994</v>
      </c>
      <c r="E513" s="32">
        <v>52.158001420228885</v>
      </c>
      <c r="F513" s="32">
        <v>722.5557994912441</v>
      </c>
      <c r="G513" s="77">
        <v>1.34E-5</v>
      </c>
      <c r="H513" s="32">
        <v>0.122</v>
      </c>
      <c r="I513" s="32">
        <v>7.97</v>
      </c>
      <c r="J513" s="32">
        <v>271</v>
      </c>
      <c r="K513" s="32">
        <v>1564</v>
      </c>
      <c r="L513" s="32">
        <v>0.7</v>
      </c>
      <c r="M513" s="34">
        <v>71.854117074779865</v>
      </c>
      <c r="N513" s="32">
        <v>469.67</v>
      </c>
      <c r="O513" s="32">
        <v>363.24</v>
      </c>
      <c r="P513" s="34">
        <f t="shared" si="7"/>
        <v>0.77339408520876363</v>
      </c>
    </row>
    <row r="514" spans="1:16">
      <c r="A514" s="32" t="s">
        <v>57</v>
      </c>
      <c r="B514" s="32">
        <v>150</v>
      </c>
      <c r="C514" s="32">
        <v>300</v>
      </c>
      <c r="D514" s="32">
        <v>9.7799999999999994</v>
      </c>
      <c r="E514" s="32">
        <v>52.158001420228885</v>
      </c>
      <c r="F514" s="32">
        <v>722.5557994912441</v>
      </c>
      <c r="G514" s="77">
        <v>1.34E-5</v>
      </c>
      <c r="H514" s="32">
        <v>0.122</v>
      </c>
      <c r="I514" s="32">
        <v>7.97</v>
      </c>
      <c r="J514" s="32">
        <v>271</v>
      </c>
      <c r="K514" s="32">
        <v>1564</v>
      </c>
      <c r="L514" s="32">
        <v>0.7</v>
      </c>
      <c r="M514" s="34">
        <v>107.7811756121698</v>
      </c>
      <c r="N514" s="32">
        <v>476</v>
      </c>
      <c r="O514" s="32">
        <v>1075.19</v>
      </c>
      <c r="P514" s="34">
        <f t="shared" si="7"/>
        <v>2.2588025210084033</v>
      </c>
    </row>
    <row r="515" spans="1:16">
      <c r="A515" s="32" t="s">
        <v>57</v>
      </c>
      <c r="B515" s="32">
        <v>200</v>
      </c>
      <c r="C515" s="32">
        <v>300</v>
      </c>
      <c r="D515" s="32">
        <v>9.7799999999999994</v>
      </c>
      <c r="E515" s="32">
        <v>52.158001420228885</v>
      </c>
      <c r="F515" s="32">
        <v>722.5557994912441</v>
      </c>
      <c r="G515" s="77">
        <v>1.34E-5</v>
      </c>
      <c r="H515" s="32">
        <v>0.122</v>
      </c>
      <c r="I515" s="32">
        <v>7.97</v>
      </c>
      <c r="J515" s="32">
        <v>271</v>
      </c>
      <c r="K515" s="32">
        <v>1564</v>
      </c>
      <c r="L515" s="32">
        <v>0.7</v>
      </c>
      <c r="M515" s="34">
        <v>143.70823414955973</v>
      </c>
      <c r="N515" s="32">
        <v>374.79</v>
      </c>
      <c r="O515" s="32">
        <v>1318.93</v>
      </c>
      <c r="P515" s="34">
        <f t="shared" si="7"/>
        <v>3.5191173723952081</v>
      </c>
    </row>
    <row r="516" spans="1:16">
      <c r="A516" s="32" t="s">
        <v>57</v>
      </c>
      <c r="B516" s="32">
        <v>100</v>
      </c>
      <c r="C516" s="32">
        <v>600</v>
      </c>
      <c r="D516" s="32">
        <v>9.7799999999999994</v>
      </c>
      <c r="E516" s="32">
        <v>52.158001420228885</v>
      </c>
      <c r="F516" s="32">
        <v>722.5557994912441</v>
      </c>
      <c r="G516" s="77">
        <v>1.34E-5</v>
      </c>
      <c r="H516" s="32">
        <v>0.122</v>
      </c>
      <c r="I516" s="32">
        <v>7.97</v>
      </c>
      <c r="J516" s="32">
        <v>271</v>
      </c>
      <c r="K516" s="32">
        <v>1564</v>
      </c>
      <c r="L516" s="32">
        <v>0.7</v>
      </c>
      <c r="M516" s="34">
        <v>50.808533439748935</v>
      </c>
      <c r="N516" s="32">
        <v>304.54000000000002</v>
      </c>
      <c r="O516" s="32">
        <v>185.2</v>
      </c>
      <c r="P516" s="34">
        <f t="shared" si="7"/>
        <v>0.60813029487095283</v>
      </c>
    </row>
    <row r="517" spans="1:16">
      <c r="A517" s="32" t="s">
        <v>57</v>
      </c>
      <c r="B517" s="32">
        <v>150</v>
      </c>
      <c r="C517" s="32">
        <v>600</v>
      </c>
      <c r="D517" s="32">
        <v>9.7799999999999994</v>
      </c>
      <c r="E517" s="32">
        <v>52.158001420228885</v>
      </c>
      <c r="F517" s="32">
        <v>722.5557994912441</v>
      </c>
      <c r="G517" s="77">
        <v>1.34E-5</v>
      </c>
      <c r="H517" s="32">
        <v>0.122</v>
      </c>
      <c r="I517" s="32">
        <v>7.97</v>
      </c>
      <c r="J517" s="32">
        <v>271</v>
      </c>
      <c r="K517" s="32">
        <v>1564</v>
      </c>
      <c r="L517" s="32">
        <v>0.7</v>
      </c>
      <c r="M517" s="34">
        <v>76.212800159623413</v>
      </c>
      <c r="N517" s="32">
        <v>286.98</v>
      </c>
      <c r="O517" s="32">
        <v>1081.5899999999999</v>
      </c>
      <c r="P517" s="34">
        <f t="shared" ref="P517:P580" si="8">O517/N517</f>
        <v>3.7688689107254856</v>
      </c>
    </row>
    <row r="518" spans="1:16">
      <c r="A518" s="32" t="s">
        <v>57</v>
      </c>
      <c r="B518" s="32">
        <v>200</v>
      </c>
      <c r="C518" s="32">
        <v>600</v>
      </c>
      <c r="D518" s="32">
        <v>9.7799999999999994</v>
      </c>
      <c r="E518" s="32">
        <v>52.158001420228885</v>
      </c>
      <c r="F518" s="32">
        <v>722.5557994912441</v>
      </c>
      <c r="G518" s="77">
        <v>1.34E-5</v>
      </c>
      <c r="H518" s="32">
        <v>0.122</v>
      </c>
      <c r="I518" s="32">
        <v>7.97</v>
      </c>
      <c r="J518" s="32">
        <v>271</v>
      </c>
      <c r="K518" s="32">
        <v>1564</v>
      </c>
      <c r="L518" s="32">
        <v>0.7</v>
      </c>
      <c r="M518" s="34">
        <v>101.61706687949787</v>
      </c>
      <c r="N518" s="32">
        <v>396.37</v>
      </c>
      <c r="O518" s="32">
        <v>1222.94</v>
      </c>
      <c r="P518" s="34">
        <f t="shared" si="8"/>
        <v>3.0853495471402983</v>
      </c>
    </row>
    <row r="519" spans="1:16">
      <c r="A519" s="32" t="s">
        <v>57</v>
      </c>
      <c r="B519" s="32">
        <v>250</v>
      </c>
      <c r="C519" s="32">
        <v>600</v>
      </c>
      <c r="D519" s="32">
        <v>9.7799999999999994</v>
      </c>
      <c r="E519" s="32">
        <v>52.158001420228885</v>
      </c>
      <c r="F519" s="32">
        <v>722.5557994912441</v>
      </c>
      <c r="G519" s="77">
        <v>1.34E-5</v>
      </c>
      <c r="H519" s="32">
        <v>0.122</v>
      </c>
      <c r="I519" s="32">
        <v>7.97</v>
      </c>
      <c r="J519" s="32">
        <v>271</v>
      </c>
      <c r="K519" s="32">
        <v>1564</v>
      </c>
      <c r="L519" s="32">
        <v>0.7</v>
      </c>
      <c r="M519" s="34">
        <v>127.02133359937235</v>
      </c>
      <c r="N519" s="32">
        <v>338.51</v>
      </c>
      <c r="O519" s="32">
        <v>1645.22</v>
      </c>
      <c r="P519" s="34">
        <f t="shared" si="8"/>
        <v>4.8601813831201444</v>
      </c>
    </row>
    <row r="520" spans="1:16">
      <c r="A520" s="32" t="s">
        <v>57</v>
      </c>
      <c r="B520" s="32">
        <v>300</v>
      </c>
      <c r="C520" s="32">
        <v>600</v>
      </c>
      <c r="D520" s="32">
        <v>9.7799999999999994</v>
      </c>
      <c r="E520" s="32">
        <v>52.158001420228885</v>
      </c>
      <c r="F520" s="32">
        <v>722.5557994912441</v>
      </c>
      <c r="G520" s="77">
        <v>1.34E-5</v>
      </c>
      <c r="H520" s="32">
        <v>0.122</v>
      </c>
      <c r="I520" s="32">
        <v>7.97</v>
      </c>
      <c r="J520" s="32">
        <v>271</v>
      </c>
      <c r="K520" s="32">
        <v>1564</v>
      </c>
      <c r="L520" s="32">
        <v>0.7</v>
      </c>
      <c r="M520" s="34">
        <v>152.42560031924683</v>
      </c>
      <c r="N520" s="32">
        <v>518.55999999999995</v>
      </c>
      <c r="O520" s="32">
        <v>1692.52</v>
      </c>
      <c r="P520" s="34">
        <f t="shared" si="8"/>
        <v>3.2638846035174334</v>
      </c>
    </row>
    <row r="521" spans="1:16">
      <c r="A521" s="32" t="s">
        <v>57</v>
      </c>
      <c r="B521" s="32">
        <v>100</v>
      </c>
      <c r="C521" s="32">
        <v>900</v>
      </c>
      <c r="D521" s="32">
        <v>9.7799999999999994</v>
      </c>
      <c r="E521" s="32">
        <v>52.158001420228885</v>
      </c>
      <c r="F521" s="32">
        <v>722.5557994912441</v>
      </c>
      <c r="G521" s="77">
        <v>1.34E-5</v>
      </c>
      <c r="H521" s="32">
        <v>0.122</v>
      </c>
      <c r="I521" s="32">
        <v>7.97</v>
      </c>
      <c r="J521" s="32">
        <v>271</v>
      </c>
      <c r="K521" s="32">
        <v>1564</v>
      </c>
      <c r="L521" s="32">
        <v>0.7</v>
      </c>
      <c r="M521" s="34">
        <v>41.484993835507041</v>
      </c>
      <c r="N521" s="32">
        <v>264</v>
      </c>
      <c r="O521" s="32">
        <v>507</v>
      </c>
      <c r="P521" s="34">
        <f t="shared" si="8"/>
        <v>1.9204545454545454</v>
      </c>
    </row>
    <row r="522" spans="1:16">
      <c r="A522" s="32" t="s">
        <v>57</v>
      </c>
      <c r="B522" s="32">
        <v>150</v>
      </c>
      <c r="C522" s="32">
        <v>900</v>
      </c>
      <c r="D522" s="32">
        <v>9.7799999999999994</v>
      </c>
      <c r="E522" s="32">
        <v>52.158001420228885</v>
      </c>
      <c r="F522" s="32">
        <v>722.5557994912441</v>
      </c>
      <c r="G522" s="77">
        <v>1.34E-5</v>
      </c>
      <c r="H522" s="32">
        <v>0.122</v>
      </c>
      <c r="I522" s="32">
        <v>7.97</v>
      </c>
      <c r="J522" s="32">
        <v>271</v>
      </c>
      <c r="K522" s="32">
        <v>1564</v>
      </c>
      <c r="L522" s="32">
        <v>0.7</v>
      </c>
      <c r="M522" s="34">
        <v>62.227490753260561</v>
      </c>
      <c r="N522" s="32">
        <v>322.93</v>
      </c>
      <c r="O522" s="32">
        <v>838</v>
      </c>
      <c r="P522" s="34">
        <f t="shared" si="8"/>
        <v>2.5949896262347876</v>
      </c>
    </row>
    <row r="523" spans="1:16">
      <c r="A523" s="32" t="s">
        <v>57</v>
      </c>
      <c r="B523" s="32">
        <v>200</v>
      </c>
      <c r="C523" s="32">
        <v>900</v>
      </c>
      <c r="D523" s="32">
        <v>9.7799999999999994</v>
      </c>
      <c r="E523" s="32">
        <v>52.158001420228885</v>
      </c>
      <c r="F523" s="32">
        <v>722.5557994912441</v>
      </c>
      <c r="G523" s="77">
        <v>1.34E-5</v>
      </c>
      <c r="H523" s="32">
        <v>0.122</v>
      </c>
      <c r="I523" s="32">
        <v>7.97</v>
      </c>
      <c r="J523" s="32">
        <v>271</v>
      </c>
      <c r="K523" s="32">
        <v>1564</v>
      </c>
      <c r="L523" s="32">
        <v>0.7</v>
      </c>
      <c r="M523" s="34">
        <v>82.969987671014081</v>
      </c>
      <c r="N523" s="32">
        <v>359.6</v>
      </c>
      <c r="O523" s="32">
        <v>722</v>
      </c>
      <c r="P523" s="34">
        <f t="shared" si="8"/>
        <v>2.0077864293659622</v>
      </c>
    </row>
    <row r="524" spans="1:16">
      <c r="A524" s="32" t="s">
        <v>57</v>
      </c>
      <c r="B524" s="32">
        <v>250</v>
      </c>
      <c r="C524" s="32">
        <v>900</v>
      </c>
      <c r="D524" s="32">
        <v>9.7799999999999994</v>
      </c>
      <c r="E524" s="32">
        <v>52.158001420228885</v>
      </c>
      <c r="F524" s="32">
        <v>722.5557994912441</v>
      </c>
      <c r="G524" s="77">
        <v>1.34E-5</v>
      </c>
      <c r="H524" s="32">
        <v>0.122</v>
      </c>
      <c r="I524" s="32">
        <v>7.97</v>
      </c>
      <c r="J524" s="32">
        <v>271</v>
      </c>
      <c r="K524" s="32">
        <v>1564</v>
      </c>
      <c r="L524" s="32">
        <v>0.7</v>
      </c>
      <c r="M524" s="34">
        <v>103.71248458876759</v>
      </c>
      <c r="N524" s="32">
        <v>360.38</v>
      </c>
      <c r="O524" s="32">
        <v>1193</v>
      </c>
      <c r="P524" s="34">
        <f t="shared" si="8"/>
        <v>3.3103945834951998</v>
      </c>
    </row>
    <row r="525" spans="1:16">
      <c r="A525" s="32" t="s">
        <v>57</v>
      </c>
      <c r="B525" s="32">
        <v>300</v>
      </c>
      <c r="C525" s="32">
        <v>900</v>
      </c>
      <c r="D525" s="32">
        <v>9.7799999999999994</v>
      </c>
      <c r="E525" s="32">
        <v>52.158001420228885</v>
      </c>
      <c r="F525" s="32">
        <v>722.5557994912441</v>
      </c>
      <c r="G525" s="77">
        <v>1.34E-5</v>
      </c>
      <c r="H525" s="32">
        <v>0.122</v>
      </c>
      <c r="I525" s="32">
        <v>7.97</v>
      </c>
      <c r="J525" s="32">
        <v>271</v>
      </c>
      <c r="K525" s="32">
        <v>1564</v>
      </c>
      <c r="L525" s="32">
        <v>0.7</v>
      </c>
      <c r="M525" s="34">
        <v>124.45498150652112</v>
      </c>
      <c r="N525" s="32">
        <v>364.45</v>
      </c>
      <c r="O525" s="32">
        <v>1233</v>
      </c>
      <c r="P525" s="34">
        <f t="shared" si="8"/>
        <v>3.3831801344491699</v>
      </c>
    </row>
    <row r="526" spans="1:16">
      <c r="A526" s="32" t="s">
        <v>58</v>
      </c>
      <c r="B526" s="32">
        <v>200</v>
      </c>
      <c r="C526" s="32">
        <v>200</v>
      </c>
      <c r="D526" s="32">
        <v>8.57</v>
      </c>
      <c r="E526" s="32">
        <v>322.90573832558522</v>
      </c>
      <c r="F526" s="32">
        <v>7319.1967353799319</v>
      </c>
      <c r="G526" s="77">
        <v>7.2999999999999996E-6</v>
      </c>
      <c r="H526" s="32">
        <v>0.26500000000000001</v>
      </c>
      <c r="I526" s="32">
        <v>53.7</v>
      </c>
      <c r="J526" s="32">
        <v>2477</v>
      </c>
      <c r="K526" s="32">
        <v>4744</v>
      </c>
      <c r="L526" s="32">
        <v>0.65</v>
      </c>
      <c r="M526" s="34">
        <v>10.521529428600173</v>
      </c>
      <c r="N526" s="32">
        <v>245.22</v>
      </c>
      <c r="O526" s="32">
        <v>178.43</v>
      </c>
      <c r="P526" s="34">
        <f t="shared" si="8"/>
        <v>0.72763233015251616</v>
      </c>
    </row>
    <row r="527" spans="1:16">
      <c r="A527" s="32" t="s">
        <v>58</v>
      </c>
      <c r="B527" s="32">
        <v>200</v>
      </c>
      <c r="C527" s="32">
        <v>400</v>
      </c>
      <c r="D527" s="32">
        <v>8.57</v>
      </c>
      <c r="E527" s="32">
        <v>322.90573832558522</v>
      </c>
      <c r="F527" s="32">
        <v>7319.1967353799319</v>
      </c>
      <c r="G527" s="77">
        <v>7.2999999999999996E-6</v>
      </c>
      <c r="H527" s="32">
        <v>0.26500000000000001</v>
      </c>
      <c r="I527" s="32">
        <v>53.7</v>
      </c>
      <c r="J527" s="32">
        <v>2477</v>
      </c>
      <c r="K527" s="32">
        <v>4744</v>
      </c>
      <c r="L527" s="32">
        <v>0.65</v>
      </c>
      <c r="M527" s="34">
        <v>7.4398448074170043</v>
      </c>
      <c r="N527" s="32">
        <v>210.52</v>
      </c>
      <c r="O527" s="32">
        <v>113.7</v>
      </c>
      <c r="P527" s="34">
        <f t="shared" si="8"/>
        <v>0.54009120273608202</v>
      </c>
    </row>
    <row r="528" spans="1:16">
      <c r="A528" s="32" t="s">
        <v>58</v>
      </c>
      <c r="B528" s="32">
        <v>200</v>
      </c>
      <c r="C528" s="32">
        <v>600</v>
      </c>
      <c r="D528" s="32">
        <v>8.57</v>
      </c>
      <c r="E528" s="32">
        <v>322.90573832558522</v>
      </c>
      <c r="F528" s="32">
        <v>7319.1967353799319</v>
      </c>
      <c r="G528" s="77">
        <v>7.2999999999999996E-6</v>
      </c>
      <c r="H528" s="32">
        <v>0.26500000000000001</v>
      </c>
      <c r="I528" s="32">
        <v>53.7</v>
      </c>
      <c r="J528" s="32">
        <v>2477</v>
      </c>
      <c r="K528" s="32">
        <v>4744</v>
      </c>
      <c r="L528" s="32">
        <v>0.65</v>
      </c>
      <c r="M528" s="34">
        <v>6.0746078478888803</v>
      </c>
      <c r="N528" s="32">
        <v>111.79</v>
      </c>
      <c r="O528" s="32">
        <v>32.67</v>
      </c>
      <c r="P528" s="34">
        <f t="shared" si="8"/>
        <v>0.29224438679667231</v>
      </c>
    </row>
    <row r="529" spans="1:16">
      <c r="A529" s="32" t="s">
        <v>58</v>
      </c>
      <c r="B529" s="32">
        <v>200</v>
      </c>
      <c r="C529" s="32">
        <v>800</v>
      </c>
      <c r="D529" s="32">
        <v>8.57</v>
      </c>
      <c r="E529" s="32">
        <v>322.90573832558522</v>
      </c>
      <c r="F529" s="32">
        <v>7319.1967353799319</v>
      </c>
      <c r="G529" s="77">
        <v>7.2999999999999996E-6</v>
      </c>
      <c r="H529" s="32">
        <v>0.26500000000000001</v>
      </c>
      <c r="I529" s="32">
        <v>53.7</v>
      </c>
      <c r="J529" s="32">
        <v>2477</v>
      </c>
      <c r="K529" s="32">
        <v>4744</v>
      </c>
      <c r="L529" s="32">
        <v>0.65</v>
      </c>
      <c r="M529" s="34">
        <v>5.2607647143000866</v>
      </c>
      <c r="N529" s="32">
        <v>111.55</v>
      </c>
      <c r="O529" s="32">
        <v>28.2</v>
      </c>
      <c r="P529" s="34">
        <f t="shared" si="8"/>
        <v>0.25280143433437918</v>
      </c>
    </row>
    <row r="530" spans="1:16">
      <c r="A530" s="32" t="s">
        <v>58</v>
      </c>
      <c r="B530" s="32">
        <v>200</v>
      </c>
      <c r="C530" s="32">
        <v>1200</v>
      </c>
      <c r="D530" s="32">
        <v>8.57</v>
      </c>
      <c r="E530" s="32">
        <v>322.90573832558522</v>
      </c>
      <c r="F530" s="32">
        <v>7319.1967353799319</v>
      </c>
      <c r="G530" s="77">
        <v>7.2999999999999996E-6</v>
      </c>
      <c r="H530" s="32">
        <v>0.26500000000000001</v>
      </c>
      <c r="I530" s="32">
        <v>53.7</v>
      </c>
      <c r="J530" s="32">
        <v>2477</v>
      </c>
      <c r="K530" s="32">
        <v>4744</v>
      </c>
      <c r="L530" s="32">
        <v>0.65</v>
      </c>
      <c r="M530" s="34">
        <v>4.2953964022912468</v>
      </c>
      <c r="N530" s="32">
        <v>73.680000000000007</v>
      </c>
      <c r="O530" s="32">
        <v>17.91</v>
      </c>
      <c r="P530" s="34">
        <f t="shared" si="8"/>
        <v>0.24307817589576544</v>
      </c>
    </row>
    <row r="531" spans="1:16">
      <c r="A531" s="32" t="s">
        <v>58</v>
      </c>
      <c r="B531" s="32">
        <v>200</v>
      </c>
      <c r="C531" s="32">
        <v>1600</v>
      </c>
      <c r="D531" s="32">
        <v>8.57</v>
      </c>
      <c r="E531" s="32">
        <v>322.90573832558522</v>
      </c>
      <c r="F531" s="32">
        <v>7319.1967353799319</v>
      </c>
      <c r="G531" s="77">
        <v>7.2999999999999996E-6</v>
      </c>
      <c r="H531" s="32">
        <v>0.26500000000000001</v>
      </c>
      <c r="I531" s="32">
        <v>53.7</v>
      </c>
      <c r="J531" s="32">
        <v>2477</v>
      </c>
      <c r="K531" s="32">
        <v>4744</v>
      </c>
      <c r="L531" s="32">
        <v>0.65</v>
      </c>
      <c r="M531" s="34">
        <v>3.7199224037085021</v>
      </c>
      <c r="N531" s="32">
        <v>75.05</v>
      </c>
      <c r="O531" s="32">
        <v>16.66</v>
      </c>
      <c r="P531" s="34">
        <f t="shared" si="8"/>
        <v>0.22198534310459694</v>
      </c>
    </row>
    <row r="532" spans="1:16">
      <c r="A532" s="32" t="s">
        <v>58</v>
      </c>
      <c r="B532" s="32">
        <v>200</v>
      </c>
      <c r="C532" s="32">
        <v>2000</v>
      </c>
      <c r="D532" s="32">
        <v>8.57</v>
      </c>
      <c r="E532" s="32">
        <v>322.90573832558522</v>
      </c>
      <c r="F532" s="32">
        <v>7319.1967353799319</v>
      </c>
      <c r="G532" s="77">
        <v>7.2999999999999996E-6</v>
      </c>
      <c r="H532" s="32">
        <v>0.26500000000000001</v>
      </c>
      <c r="I532" s="32">
        <v>53.7</v>
      </c>
      <c r="J532" s="32">
        <v>2477</v>
      </c>
      <c r="K532" s="32">
        <v>4744</v>
      </c>
      <c r="L532" s="32">
        <v>0.65</v>
      </c>
      <c r="M532" s="34">
        <v>3.3271997462866496</v>
      </c>
      <c r="N532" s="32">
        <v>55.43</v>
      </c>
      <c r="O532" s="32">
        <v>10.199999999999999</v>
      </c>
      <c r="P532" s="34">
        <f t="shared" si="8"/>
        <v>0.18401587587948762</v>
      </c>
    </row>
    <row r="533" spans="1:16">
      <c r="A533" s="32" t="s">
        <v>58</v>
      </c>
      <c r="B533" s="32">
        <v>200</v>
      </c>
      <c r="C533" s="32">
        <v>2400</v>
      </c>
      <c r="D533" s="32">
        <v>8.57</v>
      </c>
      <c r="E533" s="32">
        <v>322.90573832558522</v>
      </c>
      <c r="F533" s="32">
        <v>7319.1967353799319</v>
      </c>
      <c r="G533" s="77">
        <v>7.2999999999999996E-6</v>
      </c>
      <c r="H533" s="32">
        <v>0.26500000000000001</v>
      </c>
      <c r="I533" s="32">
        <v>53.7</v>
      </c>
      <c r="J533" s="32">
        <v>2477</v>
      </c>
      <c r="K533" s="32">
        <v>4744</v>
      </c>
      <c r="L533" s="32">
        <v>0.65</v>
      </c>
      <c r="M533" s="34">
        <v>3.0373039239444402</v>
      </c>
      <c r="N533" s="32">
        <v>41.5</v>
      </c>
      <c r="O533" s="32">
        <v>7.12</v>
      </c>
      <c r="P533" s="34">
        <f t="shared" si="8"/>
        <v>0.17156626506024097</v>
      </c>
    </row>
    <row r="534" spans="1:16">
      <c r="A534" s="32" t="s">
        <v>58</v>
      </c>
      <c r="B534" s="32">
        <v>350</v>
      </c>
      <c r="C534" s="32">
        <v>400</v>
      </c>
      <c r="D534" s="32">
        <v>8.57</v>
      </c>
      <c r="E534" s="32">
        <v>322.90573832558522</v>
      </c>
      <c r="F534" s="32">
        <v>7319.1967353799319</v>
      </c>
      <c r="G534" s="77">
        <v>7.2999999999999996E-6</v>
      </c>
      <c r="H534" s="32">
        <v>0.26500000000000001</v>
      </c>
      <c r="I534" s="32">
        <v>53.7</v>
      </c>
      <c r="J534" s="32">
        <v>2477</v>
      </c>
      <c r="K534" s="32">
        <v>4744</v>
      </c>
      <c r="L534" s="32">
        <v>0.65</v>
      </c>
      <c r="M534" s="34">
        <v>13.019728412979756</v>
      </c>
      <c r="N534" s="32">
        <v>293.56</v>
      </c>
      <c r="O534" s="32">
        <v>178.25</v>
      </c>
      <c r="P534" s="34">
        <f t="shared" si="8"/>
        <v>0.60720125357678156</v>
      </c>
    </row>
    <row r="535" spans="1:16">
      <c r="A535" s="32" t="s">
        <v>58</v>
      </c>
      <c r="B535" s="32">
        <v>350</v>
      </c>
      <c r="C535" s="32">
        <v>600</v>
      </c>
      <c r="D535" s="32">
        <v>8.57</v>
      </c>
      <c r="E535" s="32">
        <v>322.90573832558522</v>
      </c>
      <c r="F535" s="32">
        <v>7319.1967353799319</v>
      </c>
      <c r="G535" s="77">
        <v>7.2999999999999996E-6</v>
      </c>
      <c r="H535" s="32">
        <v>0.26500000000000001</v>
      </c>
      <c r="I535" s="32">
        <v>53.7</v>
      </c>
      <c r="J535" s="32">
        <v>2477</v>
      </c>
      <c r="K535" s="32">
        <v>4744</v>
      </c>
      <c r="L535" s="32">
        <v>0.65</v>
      </c>
      <c r="M535" s="34">
        <v>10.630563733805539</v>
      </c>
      <c r="N535" s="32">
        <v>211.12</v>
      </c>
      <c r="O535" s="32">
        <v>103.84</v>
      </c>
      <c r="P535" s="34">
        <f t="shared" si="8"/>
        <v>0.49185297461159533</v>
      </c>
    </row>
    <row r="536" spans="1:16">
      <c r="A536" s="32" t="s">
        <v>58</v>
      </c>
      <c r="B536" s="32">
        <v>350</v>
      </c>
      <c r="C536" s="32">
        <v>800</v>
      </c>
      <c r="D536" s="32">
        <v>8.57</v>
      </c>
      <c r="E536" s="32">
        <v>322.90573832558522</v>
      </c>
      <c r="F536" s="32">
        <v>7319.1967353799319</v>
      </c>
      <c r="G536" s="77">
        <v>7.2999999999999996E-6</v>
      </c>
      <c r="H536" s="32">
        <v>0.26500000000000001</v>
      </c>
      <c r="I536" s="32">
        <v>53.7</v>
      </c>
      <c r="J536" s="32">
        <v>2477</v>
      </c>
      <c r="K536" s="32">
        <v>4744</v>
      </c>
      <c r="L536" s="32">
        <v>0.65</v>
      </c>
      <c r="M536" s="34">
        <v>9.2063382500251496</v>
      </c>
      <c r="N536" s="32">
        <v>150.31</v>
      </c>
      <c r="O536" s="32">
        <v>71.41</v>
      </c>
      <c r="P536" s="34">
        <f t="shared" si="8"/>
        <v>0.47508482469562902</v>
      </c>
    </row>
    <row r="537" spans="1:16">
      <c r="A537" s="32" t="s">
        <v>58</v>
      </c>
      <c r="B537" s="32">
        <v>350</v>
      </c>
      <c r="C537" s="32">
        <v>1000</v>
      </c>
      <c r="D537" s="32">
        <v>8.57</v>
      </c>
      <c r="E537" s="32">
        <v>322.90573832558522</v>
      </c>
      <c r="F537" s="32">
        <v>7319.1967353799319</v>
      </c>
      <c r="G537" s="77">
        <v>7.2999999999999996E-6</v>
      </c>
      <c r="H537" s="32">
        <v>0.26500000000000001</v>
      </c>
      <c r="I537" s="32">
        <v>53.7</v>
      </c>
      <c r="J537" s="32">
        <v>2477</v>
      </c>
      <c r="K537" s="32">
        <v>4744</v>
      </c>
      <c r="L537" s="32">
        <v>0.65</v>
      </c>
      <c r="M537" s="34">
        <v>8.2343992603650769</v>
      </c>
      <c r="N537" s="32">
        <v>78.5</v>
      </c>
      <c r="O537" s="32">
        <v>24.45</v>
      </c>
      <c r="P537" s="34">
        <f t="shared" si="8"/>
        <v>0.31146496815286623</v>
      </c>
    </row>
    <row r="538" spans="1:16">
      <c r="A538" s="32" t="s">
        <v>58</v>
      </c>
      <c r="B538" s="32">
        <v>350</v>
      </c>
      <c r="C538" s="32">
        <v>1200</v>
      </c>
      <c r="D538" s="32">
        <v>8.57</v>
      </c>
      <c r="E538" s="32">
        <v>322.90573832558522</v>
      </c>
      <c r="F538" s="32">
        <v>7319.1967353799319</v>
      </c>
      <c r="G538" s="77">
        <v>7.2999999999999996E-6</v>
      </c>
      <c r="H538" s="32">
        <v>0.26500000000000001</v>
      </c>
      <c r="I538" s="32">
        <v>53.7</v>
      </c>
      <c r="J538" s="32">
        <v>2477</v>
      </c>
      <c r="K538" s="32">
        <v>4744</v>
      </c>
      <c r="L538" s="32">
        <v>0.65</v>
      </c>
      <c r="M538" s="34">
        <v>7.5169437040096811</v>
      </c>
      <c r="N538" s="32">
        <v>48.45</v>
      </c>
      <c r="O538" s="32">
        <v>10.78</v>
      </c>
      <c r="P538" s="34">
        <f t="shared" si="8"/>
        <v>0.2224974200206398</v>
      </c>
    </row>
    <row r="539" spans="1:16">
      <c r="A539" s="32" t="s">
        <v>58</v>
      </c>
      <c r="B539" s="32">
        <v>350</v>
      </c>
      <c r="C539" s="32">
        <v>1600</v>
      </c>
      <c r="D539" s="32">
        <v>8.57</v>
      </c>
      <c r="E539" s="32">
        <v>322.90573832558522</v>
      </c>
      <c r="F539" s="32">
        <v>7319.1967353799319</v>
      </c>
      <c r="G539" s="77">
        <v>7.2999999999999996E-6</v>
      </c>
      <c r="H539" s="32">
        <v>0.26500000000000001</v>
      </c>
      <c r="I539" s="32">
        <v>53.7</v>
      </c>
      <c r="J539" s="32">
        <v>2477</v>
      </c>
      <c r="K539" s="32">
        <v>4744</v>
      </c>
      <c r="L539" s="32">
        <v>0.65</v>
      </c>
      <c r="M539" s="34">
        <v>6.509864206489878</v>
      </c>
      <c r="N539" s="32">
        <v>52.28</v>
      </c>
      <c r="O539" s="32">
        <v>12.36</v>
      </c>
      <c r="P539" s="34">
        <f t="shared" si="8"/>
        <v>0.23641928079571536</v>
      </c>
    </row>
    <row r="540" spans="1:16">
      <c r="A540" s="32" t="s">
        <v>58</v>
      </c>
      <c r="B540" s="32">
        <v>350</v>
      </c>
      <c r="C540" s="32">
        <v>2000</v>
      </c>
      <c r="D540" s="32">
        <v>8.57</v>
      </c>
      <c r="E540" s="32">
        <v>322.90573832558522</v>
      </c>
      <c r="F540" s="32">
        <v>7319.1967353799319</v>
      </c>
      <c r="G540" s="77">
        <v>7.2999999999999996E-6</v>
      </c>
      <c r="H540" s="32">
        <v>0.26500000000000001</v>
      </c>
      <c r="I540" s="32">
        <v>53.7</v>
      </c>
      <c r="J540" s="32">
        <v>2477</v>
      </c>
      <c r="K540" s="32">
        <v>4744</v>
      </c>
      <c r="L540" s="32">
        <v>0.65</v>
      </c>
      <c r="M540" s="34">
        <v>5.8225995560016361</v>
      </c>
      <c r="N540" s="32">
        <v>48.95</v>
      </c>
      <c r="O540" s="32">
        <v>5</v>
      </c>
      <c r="P540" s="34">
        <f t="shared" si="8"/>
        <v>0.10214504596527067</v>
      </c>
    </row>
    <row r="541" spans="1:16">
      <c r="A541" s="32" t="s">
        <v>58</v>
      </c>
      <c r="B541" s="32">
        <v>350</v>
      </c>
      <c r="C541" s="32">
        <v>2400</v>
      </c>
      <c r="D541" s="32">
        <v>8.57</v>
      </c>
      <c r="E541" s="32">
        <v>322.90573832558522</v>
      </c>
      <c r="F541" s="32">
        <v>7319.1967353799319</v>
      </c>
      <c r="G541" s="77">
        <v>7.2999999999999996E-6</v>
      </c>
      <c r="H541" s="32">
        <v>0.26500000000000001</v>
      </c>
      <c r="I541" s="32">
        <v>53.7</v>
      </c>
      <c r="J541" s="32">
        <v>2477</v>
      </c>
      <c r="K541" s="32">
        <v>4744</v>
      </c>
      <c r="L541" s="32">
        <v>0.65</v>
      </c>
      <c r="M541" s="34">
        <v>5.3152818669027697</v>
      </c>
      <c r="N541" s="32">
        <v>31.67</v>
      </c>
      <c r="O541" s="32">
        <v>4.6900000000000004</v>
      </c>
      <c r="P541" s="34">
        <f t="shared" si="8"/>
        <v>0.14808967477107673</v>
      </c>
    </row>
    <row r="542" spans="1:16">
      <c r="A542" s="32" t="s">
        <v>58</v>
      </c>
      <c r="B542" s="32">
        <v>100</v>
      </c>
      <c r="C542" s="32">
        <v>300</v>
      </c>
      <c r="D542" s="32">
        <v>8.57</v>
      </c>
      <c r="E542" s="32">
        <v>322.90573832558522</v>
      </c>
      <c r="F542" s="32">
        <v>7319.1967353799319</v>
      </c>
      <c r="G542" s="77">
        <v>7.2999999999999996E-6</v>
      </c>
      <c r="H542" s="32">
        <v>0.26500000000000001</v>
      </c>
      <c r="I542" s="32">
        <v>53.7</v>
      </c>
      <c r="J542" s="32">
        <v>2477</v>
      </c>
      <c r="K542" s="32">
        <v>4744</v>
      </c>
      <c r="L542" s="32">
        <v>0.65</v>
      </c>
      <c r="M542" s="34">
        <v>4.2953964022912468</v>
      </c>
      <c r="N542" s="32">
        <v>123.74</v>
      </c>
      <c r="O542" s="32">
        <v>58</v>
      </c>
      <c r="P542" s="34">
        <f t="shared" si="8"/>
        <v>0.46872474543397447</v>
      </c>
    </row>
    <row r="543" spans="1:16">
      <c r="A543" s="32" t="s">
        <v>58</v>
      </c>
      <c r="B543" s="32">
        <v>150</v>
      </c>
      <c r="C543" s="32">
        <v>300</v>
      </c>
      <c r="D543" s="32">
        <v>8.57</v>
      </c>
      <c r="E543" s="32">
        <v>322.90573832558522</v>
      </c>
      <c r="F543" s="32">
        <v>7319.1967353799319</v>
      </c>
      <c r="G543" s="77">
        <v>7.2999999999999996E-6</v>
      </c>
      <c r="H543" s="32">
        <v>0.26500000000000001</v>
      </c>
      <c r="I543" s="32">
        <v>53.7</v>
      </c>
      <c r="J543" s="32">
        <v>2477</v>
      </c>
      <c r="K543" s="32">
        <v>4744</v>
      </c>
      <c r="L543" s="32">
        <v>0.65</v>
      </c>
      <c r="M543" s="34">
        <v>6.4430946034368697</v>
      </c>
      <c r="N543" s="32">
        <v>278</v>
      </c>
      <c r="O543" s="32">
        <v>90.35</v>
      </c>
      <c r="P543" s="34">
        <f t="shared" si="8"/>
        <v>0.32499999999999996</v>
      </c>
    </row>
    <row r="544" spans="1:16">
      <c r="A544" s="32" t="s">
        <v>58</v>
      </c>
      <c r="B544" s="32">
        <v>200</v>
      </c>
      <c r="C544" s="32">
        <v>300</v>
      </c>
      <c r="D544" s="32">
        <v>8.57</v>
      </c>
      <c r="E544" s="32">
        <v>322.90573832558522</v>
      </c>
      <c r="F544" s="32">
        <v>7319.1967353799319</v>
      </c>
      <c r="G544" s="77">
        <v>7.2999999999999996E-6</v>
      </c>
      <c r="H544" s="32">
        <v>0.26500000000000001</v>
      </c>
      <c r="I544" s="32">
        <v>53.7</v>
      </c>
      <c r="J544" s="32">
        <v>2477</v>
      </c>
      <c r="K544" s="32">
        <v>4744</v>
      </c>
      <c r="L544" s="32">
        <v>0.65</v>
      </c>
      <c r="M544" s="34">
        <v>8.5907928045824935</v>
      </c>
      <c r="N544" s="32">
        <v>300.7</v>
      </c>
      <c r="O544" s="32">
        <v>139.1</v>
      </c>
      <c r="P544" s="34">
        <f t="shared" si="8"/>
        <v>0.46258729630861323</v>
      </c>
    </row>
    <row r="545" spans="1:16">
      <c r="A545" s="32" t="s">
        <v>58</v>
      </c>
      <c r="B545" s="32">
        <v>250</v>
      </c>
      <c r="C545" s="32">
        <v>300</v>
      </c>
      <c r="D545" s="32">
        <v>8.57</v>
      </c>
      <c r="E545" s="32">
        <v>322.90573832558522</v>
      </c>
      <c r="F545" s="32">
        <v>7319.1967353799319</v>
      </c>
      <c r="G545" s="77">
        <v>7.2999999999999996E-6</v>
      </c>
      <c r="H545" s="32">
        <v>0.26500000000000001</v>
      </c>
      <c r="I545" s="32">
        <v>53.7</v>
      </c>
      <c r="J545" s="32">
        <v>2477</v>
      </c>
      <c r="K545" s="32">
        <v>4744</v>
      </c>
      <c r="L545" s="32">
        <v>0.65</v>
      </c>
      <c r="M545" s="34">
        <v>10.738491005728116</v>
      </c>
      <c r="N545" s="32">
        <v>352</v>
      </c>
      <c r="O545" s="32">
        <v>174.9</v>
      </c>
      <c r="P545" s="34">
        <f t="shared" si="8"/>
        <v>0.49687500000000001</v>
      </c>
    </row>
    <row r="546" spans="1:16">
      <c r="A546" s="32" t="s">
        <v>58</v>
      </c>
      <c r="B546" s="32">
        <v>300</v>
      </c>
      <c r="C546" s="32">
        <v>300</v>
      </c>
      <c r="D546" s="32">
        <v>8.57</v>
      </c>
      <c r="E546" s="32">
        <v>322.90573832558522</v>
      </c>
      <c r="F546" s="32">
        <v>7319.1967353799319</v>
      </c>
      <c r="G546" s="77">
        <v>7.2999999999999996E-6</v>
      </c>
      <c r="H546" s="32">
        <v>0.26500000000000001</v>
      </c>
      <c r="I546" s="32">
        <v>53.7</v>
      </c>
      <c r="J546" s="32">
        <v>2477</v>
      </c>
      <c r="K546" s="32">
        <v>4744</v>
      </c>
      <c r="L546" s="32">
        <v>0.65</v>
      </c>
      <c r="M546" s="34">
        <v>12.886189206873739</v>
      </c>
      <c r="N546" s="32">
        <v>370.59</v>
      </c>
      <c r="O546" s="32">
        <v>209</v>
      </c>
      <c r="P546" s="34">
        <f t="shared" si="8"/>
        <v>0.56396556841792822</v>
      </c>
    </row>
    <row r="547" spans="1:16">
      <c r="A547" s="32" t="s">
        <v>58</v>
      </c>
      <c r="B547" s="32">
        <v>100</v>
      </c>
      <c r="C547" s="32">
        <v>600</v>
      </c>
      <c r="D547" s="32">
        <v>8.57</v>
      </c>
      <c r="E547" s="32">
        <v>322.90573832558522</v>
      </c>
      <c r="F547" s="32">
        <v>7319.1967353799319</v>
      </c>
      <c r="G547" s="77">
        <v>7.2999999999999996E-6</v>
      </c>
      <c r="H547" s="32">
        <v>0.26500000000000001</v>
      </c>
      <c r="I547" s="32">
        <v>53.7</v>
      </c>
      <c r="J547" s="32">
        <v>2477</v>
      </c>
      <c r="K547" s="32">
        <v>4744</v>
      </c>
      <c r="L547" s="32">
        <v>0.65</v>
      </c>
      <c r="M547" s="34">
        <v>3.0373039239444402</v>
      </c>
      <c r="N547" s="32">
        <v>184.42</v>
      </c>
      <c r="O547" s="32">
        <v>94.48</v>
      </c>
      <c r="P547" s="34">
        <f t="shared" si="8"/>
        <v>0.51230886021038935</v>
      </c>
    </row>
    <row r="548" spans="1:16">
      <c r="A548" s="32" t="s">
        <v>58</v>
      </c>
      <c r="B548" s="32">
        <v>150</v>
      </c>
      <c r="C548" s="32">
        <v>600</v>
      </c>
      <c r="D548" s="32">
        <v>8.57</v>
      </c>
      <c r="E548" s="32">
        <v>322.90573832558522</v>
      </c>
      <c r="F548" s="32">
        <v>7319.1967353799319</v>
      </c>
      <c r="G548" s="77">
        <v>7.2999999999999996E-6</v>
      </c>
      <c r="H548" s="32">
        <v>0.26500000000000001</v>
      </c>
      <c r="I548" s="32">
        <v>53.7</v>
      </c>
      <c r="J548" s="32">
        <v>2477</v>
      </c>
      <c r="K548" s="32">
        <v>4744</v>
      </c>
      <c r="L548" s="32">
        <v>0.65</v>
      </c>
      <c r="M548" s="34">
        <v>4.55595588591666</v>
      </c>
      <c r="N548" s="32">
        <v>249.72</v>
      </c>
      <c r="O548" s="32">
        <v>125.79</v>
      </c>
      <c r="P548" s="34">
        <f t="shared" si="8"/>
        <v>0.50372417107160017</v>
      </c>
    </row>
    <row r="549" spans="1:16">
      <c r="A549" s="32" t="s">
        <v>58</v>
      </c>
      <c r="B549" s="32">
        <v>200</v>
      </c>
      <c r="C549" s="32">
        <v>600</v>
      </c>
      <c r="D549" s="32">
        <v>8.57</v>
      </c>
      <c r="E549" s="32">
        <v>322.90573832558522</v>
      </c>
      <c r="F549" s="32">
        <v>7319.1967353799319</v>
      </c>
      <c r="G549" s="77">
        <v>7.2999999999999996E-6</v>
      </c>
      <c r="H549" s="32">
        <v>0.26500000000000001</v>
      </c>
      <c r="I549" s="32">
        <v>53.7</v>
      </c>
      <c r="J549" s="32">
        <v>2477</v>
      </c>
      <c r="K549" s="32">
        <v>4744</v>
      </c>
      <c r="L549" s="32">
        <v>0.65</v>
      </c>
      <c r="M549" s="34">
        <v>6.0746078478888803</v>
      </c>
      <c r="N549" s="32">
        <v>301</v>
      </c>
      <c r="O549" s="32">
        <v>144.47</v>
      </c>
      <c r="P549" s="34">
        <f t="shared" si="8"/>
        <v>0.47996677740863786</v>
      </c>
    </row>
    <row r="550" spans="1:16">
      <c r="A550" s="32" t="s">
        <v>58</v>
      </c>
      <c r="B550" s="32">
        <v>250</v>
      </c>
      <c r="C550" s="32">
        <v>600</v>
      </c>
      <c r="D550" s="32">
        <v>8.57</v>
      </c>
      <c r="E550" s="32">
        <v>322.90573832558522</v>
      </c>
      <c r="F550" s="32">
        <v>7319.1967353799319</v>
      </c>
      <c r="G550" s="77">
        <v>7.2999999999999996E-6</v>
      </c>
      <c r="H550" s="32">
        <v>0.26500000000000001</v>
      </c>
      <c r="I550" s="32">
        <v>53.7</v>
      </c>
      <c r="J550" s="32">
        <v>2477</v>
      </c>
      <c r="K550" s="32">
        <v>4744</v>
      </c>
      <c r="L550" s="32">
        <v>0.65</v>
      </c>
      <c r="M550" s="34">
        <v>7.5932598098610997</v>
      </c>
      <c r="N550" s="32">
        <v>341.7</v>
      </c>
      <c r="O550" s="32">
        <v>159</v>
      </c>
      <c r="P550" s="34">
        <f t="shared" si="8"/>
        <v>0.46532045654082532</v>
      </c>
    </row>
    <row r="551" spans="1:16">
      <c r="A551" s="32" t="s">
        <v>58</v>
      </c>
      <c r="B551" s="32">
        <v>300</v>
      </c>
      <c r="C551" s="32">
        <v>600</v>
      </c>
      <c r="D551" s="32">
        <v>8.57</v>
      </c>
      <c r="E551" s="32">
        <v>322.90573832558522</v>
      </c>
      <c r="F551" s="32">
        <v>7319.1967353799319</v>
      </c>
      <c r="G551" s="77">
        <v>7.2999999999999996E-6</v>
      </c>
      <c r="H551" s="32">
        <v>0.26500000000000001</v>
      </c>
      <c r="I551" s="32">
        <v>53.7</v>
      </c>
      <c r="J551" s="32">
        <v>2477</v>
      </c>
      <c r="K551" s="32">
        <v>4744</v>
      </c>
      <c r="L551" s="32">
        <v>0.65</v>
      </c>
      <c r="M551" s="34">
        <v>9.11191177183332</v>
      </c>
      <c r="N551" s="32">
        <v>385.77</v>
      </c>
      <c r="O551" s="32">
        <v>191.6</v>
      </c>
      <c r="P551" s="34">
        <f t="shared" si="8"/>
        <v>0.49666899966301165</v>
      </c>
    </row>
    <row r="552" spans="1:16">
      <c r="A552" s="32" t="s">
        <v>58</v>
      </c>
      <c r="B552" s="32">
        <v>100</v>
      </c>
      <c r="C552" s="32">
        <v>900</v>
      </c>
      <c r="D552" s="32">
        <v>8.57</v>
      </c>
      <c r="E552" s="32">
        <v>322.90573832558522</v>
      </c>
      <c r="F552" s="32">
        <v>7319.1967353799319</v>
      </c>
      <c r="G552" s="77">
        <v>7.2999999999999996E-6</v>
      </c>
      <c r="H552" s="32">
        <v>0.26500000000000001</v>
      </c>
      <c r="I552" s="32">
        <v>53.7</v>
      </c>
      <c r="J552" s="32">
        <v>2477</v>
      </c>
      <c r="K552" s="32">
        <v>4744</v>
      </c>
      <c r="L552" s="32">
        <v>0.65</v>
      </c>
      <c r="M552" s="34">
        <v>2.4799482691390011</v>
      </c>
      <c r="N552" s="32">
        <v>237.53</v>
      </c>
      <c r="O552" s="32">
        <v>119.32</v>
      </c>
      <c r="P552" s="34">
        <f t="shared" si="8"/>
        <v>0.50233654696248897</v>
      </c>
    </row>
    <row r="553" spans="1:16">
      <c r="A553" s="32" t="s">
        <v>58</v>
      </c>
      <c r="B553" s="32">
        <v>150</v>
      </c>
      <c r="C553" s="32">
        <v>900</v>
      </c>
      <c r="D553" s="32">
        <v>8.57</v>
      </c>
      <c r="E553" s="32">
        <v>322.90573832558522</v>
      </c>
      <c r="F553" s="32">
        <v>7319.1967353799319</v>
      </c>
      <c r="G553" s="77">
        <v>7.2999999999999996E-6</v>
      </c>
      <c r="H553" s="32">
        <v>0.26500000000000001</v>
      </c>
      <c r="I553" s="32">
        <v>53.7</v>
      </c>
      <c r="J553" s="32">
        <v>2477</v>
      </c>
      <c r="K553" s="32">
        <v>4744</v>
      </c>
      <c r="L553" s="32">
        <v>0.65</v>
      </c>
      <c r="M553" s="34">
        <v>3.7199224037085017</v>
      </c>
      <c r="N553" s="32">
        <v>432</v>
      </c>
      <c r="O553" s="32">
        <v>202.59</v>
      </c>
      <c r="P553" s="34">
        <f t="shared" si="8"/>
        <v>0.46895833333333337</v>
      </c>
    </row>
    <row r="554" spans="1:16">
      <c r="A554" s="32" t="s">
        <v>58</v>
      </c>
      <c r="B554" s="32">
        <v>200</v>
      </c>
      <c r="C554" s="32">
        <v>900</v>
      </c>
      <c r="D554" s="32">
        <v>8.57</v>
      </c>
      <c r="E554" s="32">
        <v>322.90573832558522</v>
      </c>
      <c r="F554" s="32">
        <v>7319.1967353799319</v>
      </c>
      <c r="G554" s="77">
        <v>7.2999999999999996E-6</v>
      </c>
      <c r="H554" s="32">
        <v>0.26500000000000001</v>
      </c>
      <c r="I554" s="32">
        <v>53.7</v>
      </c>
      <c r="J554" s="32">
        <v>2477</v>
      </c>
      <c r="K554" s="32">
        <v>4744</v>
      </c>
      <c r="L554" s="32">
        <v>0.65</v>
      </c>
      <c r="M554" s="34">
        <v>4.9598965382780023</v>
      </c>
      <c r="N554" s="32">
        <v>363.34</v>
      </c>
      <c r="O554" s="32">
        <v>215.56</v>
      </c>
      <c r="P554" s="34">
        <f t="shared" si="8"/>
        <v>0.59327351791710248</v>
      </c>
    </row>
    <row r="555" spans="1:16">
      <c r="A555" s="32" t="s">
        <v>58</v>
      </c>
      <c r="B555" s="32">
        <v>250</v>
      </c>
      <c r="C555" s="32">
        <v>900</v>
      </c>
      <c r="D555" s="32">
        <v>8.57</v>
      </c>
      <c r="E555" s="32">
        <v>322.90573832558522</v>
      </c>
      <c r="F555" s="32">
        <v>7319.1967353799319</v>
      </c>
      <c r="G555" s="77">
        <v>7.2999999999999996E-6</v>
      </c>
      <c r="H555" s="32">
        <v>0.26500000000000001</v>
      </c>
      <c r="I555" s="32">
        <v>53.7</v>
      </c>
      <c r="J555" s="32">
        <v>2477</v>
      </c>
      <c r="K555" s="32">
        <v>4744</v>
      </c>
      <c r="L555" s="32">
        <v>0.65</v>
      </c>
      <c r="M555" s="34">
        <v>6.1998706728475028</v>
      </c>
      <c r="N555" s="32">
        <v>360.57</v>
      </c>
      <c r="O555" s="32">
        <v>231</v>
      </c>
      <c r="P555" s="34">
        <f t="shared" si="8"/>
        <v>0.6406523005241701</v>
      </c>
    </row>
    <row r="556" spans="1:16">
      <c r="A556" s="32" t="s">
        <v>58</v>
      </c>
      <c r="B556" s="32">
        <v>300</v>
      </c>
      <c r="C556" s="32">
        <v>900</v>
      </c>
      <c r="D556" s="32">
        <v>8.57</v>
      </c>
      <c r="E556" s="32">
        <v>322.90573832558522</v>
      </c>
      <c r="F556" s="32">
        <v>7319.1967353799319</v>
      </c>
      <c r="G556" s="77">
        <v>7.2999999999999996E-6</v>
      </c>
      <c r="H556" s="32">
        <v>0.26500000000000001</v>
      </c>
      <c r="I556" s="32">
        <v>53.7</v>
      </c>
      <c r="J556" s="32">
        <v>2477</v>
      </c>
      <c r="K556" s="32">
        <v>4744</v>
      </c>
      <c r="L556" s="32">
        <v>0.65</v>
      </c>
      <c r="M556" s="34">
        <v>7.4398448074170034</v>
      </c>
      <c r="N556" s="32">
        <v>548</v>
      </c>
      <c r="O556" s="32">
        <v>159</v>
      </c>
      <c r="P556" s="34">
        <f t="shared" si="8"/>
        <v>0.29014598540145986</v>
      </c>
    </row>
    <row r="557" spans="1:16">
      <c r="A557" s="32" t="s">
        <v>59</v>
      </c>
      <c r="B557" s="32">
        <v>200</v>
      </c>
      <c r="C557" s="32">
        <v>200</v>
      </c>
      <c r="D557" s="32">
        <v>10.28</v>
      </c>
      <c r="E557" s="32">
        <v>375.19541427826994</v>
      </c>
      <c r="F557" s="32">
        <v>6253.2569046378321</v>
      </c>
      <c r="G557" s="77">
        <v>4.7999999999999998E-6</v>
      </c>
      <c r="H557" s="32">
        <v>0.251</v>
      </c>
      <c r="I557" s="32">
        <v>138</v>
      </c>
      <c r="J557" s="32">
        <v>2623</v>
      </c>
      <c r="K557" s="32">
        <v>4639</v>
      </c>
      <c r="L557" s="32">
        <v>0.7</v>
      </c>
      <c r="M557" s="34">
        <v>4.7333160722987619</v>
      </c>
      <c r="N557" s="32">
        <v>154.19999999999999</v>
      </c>
      <c r="O557" s="32">
        <v>86.19</v>
      </c>
      <c r="P557" s="34">
        <f t="shared" si="8"/>
        <v>0.55894941634241246</v>
      </c>
    </row>
    <row r="558" spans="1:16">
      <c r="A558" s="32" t="s">
        <v>59</v>
      </c>
      <c r="B558" s="32">
        <v>200</v>
      </c>
      <c r="C558" s="32">
        <v>400</v>
      </c>
      <c r="D558" s="32">
        <v>10.28</v>
      </c>
      <c r="E558" s="32">
        <v>375.19541427826994</v>
      </c>
      <c r="F558" s="32">
        <v>6253.2569046378321</v>
      </c>
      <c r="G558" s="77">
        <v>4.7999999999999998E-6</v>
      </c>
      <c r="H558" s="32">
        <v>0.251</v>
      </c>
      <c r="I558" s="32">
        <v>138</v>
      </c>
      <c r="J558" s="32">
        <v>2623</v>
      </c>
      <c r="K558" s="32">
        <v>4639</v>
      </c>
      <c r="L558" s="32">
        <v>0.7</v>
      </c>
      <c r="M558" s="34">
        <v>3.346959892221729</v>
      </c>
      <c r="N558" s="32">
        <v>100.11</v>
      </c>
      <c r="O558" s="32">
        <v>52.49</v>
      </c>
      <c r="P558" s="34">
        <f t="shared" si="8"/>
        <v>0.52432324443112577</v>
      </c>
    </row>
    <row r="559" spans="1:16">
      <c r="A559" s="32" t="s">
        <v>59</v>
      </c>
      <c r="B559" s="32">
        <v>200</v>
      </c>
      <c r="C559" s="32">
        <v>600</v>
      </c>
      <c r="D559" s="32">
        <v>10.28</v>
      </c>
      <c r="E559" s="32">
        <v>375.19541427826994</v>
      </c>
      <c r="F559" s="32">
        <v>6253.2569046378321</v>
      </c>
      <c r="G559" s="77">
        <v>4.7999999999999998E-6</v>
      </c>
      <c r="H559" s="32">
        <v>0.251</v>
      </c>
      <c r="I559" s="32">
        <v>138</v>
      </c>
      <c r="J559" s="32">
        <v>2623</v>
      </c>
      <c r="K559" s="32">
        <v>4639</v>
      </c>
      <c r="L559" s="32">
        <v>0.7</v>
      </c>
      <c r="M559" s="34">
        <v>2.7327813085012722</v>
      </c>
      <c r="N559" s="32">
        <v>82.56</v>
      </c>
      <c r="O559" s="32">
        <v>44.47</v>
      </c>
      <c r="P559" s="34">
        <f t="shared" si="8"/>
        <v>0.53863856589147285</v>
      </c>
    </row>
    <row r="560" spans="1:16">
      <c r="A560" s="32" t="s">
        <v>59</v>
      </c>
      <c r="B560" s="32">
        <v>200</v>
      </c>
      <c r="C560" s="32">
        <v>800</v>
      </c>
      <c r="D560" s="32">
        <v>10.28</v>
      </c>
      <c r="E560" s="32">
        <v>375.19541427826994</v>
      </c>
      <c r="F560" s="32">
        <v>6253.2569046378321</v>
      </c>
      <c r="G560" s="77">
        <v>4.7999999999999998E-6</v>
      </c>
      <c r="H560" s="32">
        <v>0.251</v>
      </c>
      <c r="I560" s="32">
        <v>138</v>
      </c>
      <c r="J560" s="32">
        <v>2623</v>
      </c>
      <c r="K560" s="32">
        <v>4639</v>
      </c>
      <c r="L560" s="32">
        <v>0.7</v>
      </c>
      <c r="M560" s="34">
        <v>2.366658036149381</v>
      </c>
      <c r="N560" s="32">
        <v>53</v>
      </c>
      <c r="O560" s="32">
        <v>27.23</v>
      </c>
      <c r="P560" s="34">
        <f t="shared" si="8"/>
        <v>0.51377358490566039</v>
      </c>
    </row>
    <row r="561" spans="1:16">
      <c r="A561" s="32" t="s">
        <v>59</v>
      </c>
      <c r="B561" s="32">
        <v>200</v>
      </c>
      <c r="C561" s="32">
        <v>1200</v>
      </c>
      <c r="D561" s="32">
        <v>10.28</v>
      </c>
      <c r="E561" s="32">
        <v>375.19541427826994</v>
      </c>
      <c r="F561" s="32">
        <v>6253.2569046378321</v>
      </c>
      <c r="G561" s="77">
        <v>4.7999999999999998E-6</v>
      </c>
      <c r="H561" s="32">
        <v>0.251</v>
      </c>
      <c r="I561" s="32">
        <v>138</v>
      </c>
      <c r="J561" s="32">
        <v>2623</v>
      </c>
      <c r="K561" s="32">
        <v>4639</v>
      </c>
      <c r="L561" s="32">
        <v>0.7</v>
      </c>
      <c r="M561" s="34">
        <v>1.9323681947410958</v>
      </c>
      <c r="N561" s="32">
        <v>52.61</v>
      </c>
      <c r="O561" s="32">
        <v>18.809999999999999</v>
      </c>
      <c r="P561" s="34">
        <f t="shared" si="8"/>
        <v>0.35753659000190074</v>
      </c>
    </row>
    <row r="562" spans="1:16">
      <c r="A562" s="32" t="s">
        <v>59</v>
      </c>
      <c r="B562" s="32">
        <v>200</v>
      </c>
      <c r="C562" s="32">
        <v>1600</v>
      </c>
      <c r="D562" s="32">
        <v>10.28</v>
      </c>
      <c r="E562" s="32">
        <v>375.19541427826994</v>
      </c>
      <c r="F562" s="32">
        <v>6253.2569046378321</v>
      </c>
      <c r="G562" s="77">
        <v>4.7999999999999998E-6</v>
      </c>
      <c r="H562" s="32">
        <v>0.251</v>
      </c>
      <c r="I562" s="32">
        <v>138</v>
      </c>
      <c r="J562" s="32">
        <v>2623</v>
      </c>
      <c r="K562" s="32">
        <v>4639</v>
      </c>
      <c r="L562" s="32">
        <v>0.7</v>
      </c>
      <c r="M562" s="34">
        <v>1.6734799461108645</v>
      </c>
      <c r="N562" s="32">
        <v>45.51</v>
      </c>
      <c r="O562" s="32">
        <v>15.42</v>
      </c>
      <c r="P562" s="34">
        <f t="shared" si="8"/>
        <v>0.33882663150955833</v>
      </c>
    </row>
    <row r="563" spans="1:16">
      <c r="A563" s="32" t="s">
        <v>59</v>
      </c>
      <c r="B563" s="32">
        <v>200</v>
      </c>
      <c r="C563" s="32">
        <v>2000</v>
      </c>
      <c r="D563" s="32">
        <v>10.28</v>
      </c>
      <c r="E563" s="32">
        <v>375.19541427826994</v>
      </c>
      <c r="F563" s="32">
        <v>6253.2569046378321</v>
      </c>
      <c r="G563" s="77">
        <v>4.7999999999999998E-6</v>
      </c>
      <c r="H563" s="32">
        <v>0.251</v>
      </c>
      <c r="I563" s="32">
        <v>138</v>
      </c>
      <c r="J563" s="32">
        <v>2623</v>
      </c>
      <c r="K563" s="32">
        <v>4639</v>
      </c>
      <c r="L563" s="32">
        <v>0.7</v>
      </c>
      <c r="M563" s="34">
        <v>1.4968059673946312</v>
      </c>
      <c r="N563" s="32">
        <v>39.76</v>
      </c>
      <c r="O563" s="32">
        <v>13.05</v>
      </c>
      <c r="P563" s="34">
        <f t="shared" si="8"/>
        <v>0.32821931589537229</v>
      </c>
    </row>
    <row r="564" spans="1:16">
      <c r="A564" s="32" t="s">
        <v>59</v>
      </c>
      <c r="B564" s="32">
        <v>200</v>
      </c>
      <c r="C564" s="32">
        <v>2400</v>
      </c>
      <c r="D564" s="32">
        <v>10.28</v>
      </c>
      <c r="E564" s="32">
        <v>375.19541427826994</v>
      </c>
      <c r="F564" s="32">
        <v>6253.2569046378321</v>
      </c>
      <c r="G564" s="77">
        <v>4.7999999999999998E-6</v>
      </c>
      <c r="H564" s="32">
        <v>0.251</v>
      </c>
      <c r="I564" s="32">
        <v>138</v>
      </c>
      <c r="J564" s="32">
        <v>2623</v>
      </c>
      <c r="K564" s="32">
        <v>4639</v>
      </c>
      <c r="L564" s="32">
        <v>0.7</v>
      </c>
      <c r="M564" s="34">
        <v>1.3663906542506361</v>
      </c>
      <c r="N564" s="32">
        <v>22.25</v>
      </c>
      <c r="O564" s="32">
        <v>12</v>
      </c>
      <c r="P564" s="34">
        <f t="shared" si="8"/>
        <v>0.5393258426966292</v>
      </c>
    </row>
    <row r="565" spans="1:16">
      <c r="A565" s="32" t="s">
        <v>59</v>
      </c>
      <c r="B565" s="32">
        <v>350</v>
      </c>
      <c r="C565" s="32">
        <v>400</v>
      </c>
      <c r="D565" s="32">
        <v>10.28</v>
      </c>
      <c r="E565" s="32">
        <v>375.19541427826994</v>
      </c>
      <c r="F565" s="32">
        <v>6253.2569046378321</v>
      </c>
      <c r="G565" s="77">
        <v>4.7999999999999998E-6</v>
      </c>
      <c r="H565" s="32">
        <v>0.251</v>
      </c>
      <c r="I565" s="32">
        <v>138</v>
      </c>
      <c r="J565" s="32">
        <v>2623</v>
      </c>
      <c r="K565" s="32">
        <v>4639</v>
      </c>
      <c r="L565" s="32">
        <v>0.7</v>
      </c>
      <c r="M565" s="34">
        <v>5.8571798113880256</v>
      </c>
      <c r="N565" s="32">
        <v>128.9</v>
      </c>
      <c r="O565" s="32">
        <v>70.47</v>
      </c>
      <c r="P565" s="34">
        <f t="shared" si="8"/>
        <v>0.54670287044220323</v>
      </c>
    </row>
    <row r="566" spans="1:16">
      <c r="A566" s="32" t="s">
        <v>59</v>
      </c>
      <c r="B566" s="32">
        <v>350</v>
      </c>
      <c r="C566" s="32">
        <v>600</v>
      </c>
      <c r="D566" s="32">
        <v>10.28</v>
      </c>
      <c r="E566" s="32">
        <v>375.19541427826994</v>
      </c>
      <c r="F566" s="32">
        <v>6253.2569046378321</v>
      </c>
      <c r="G566" s="77">
        <v>4.7999999999999998E-6</v>
      </c>
      <c r="H566" s="32">
        <v>0.251</v>
      </c>
      <c r="I566" s="32">
        <v>138</v>
      </c>
      <c r="J566" s="32">
        <v>2623</v>
      </c>
      <c r="K566" s="32">
        <v>4639</v>
      </c>
      <c r="L566" s="32">
        <v>0.7</v>
      </c>
      <c r="M566" s="34">
        <v>4.782367289877226</v>
      </c>
      <c r="N566" s="32">
        <v>112.47</v>
      </c>
      <c r="O566" s="32">
        <v>56.95</v>
      </c>
      <c r="P566" s="34">
        <f t="shared" si="8"/>
        <v>0.50635725082244154</v>
      </c>
    </row>
    <row r="567" spans="1:16">
      <c r="A567" s="32" t="s">
        <v>59</v>
      </c>
      <c r="B567" s="32">
        <v>350</v>
      </c>
      <c r="C567" s="32">
        <v>800</v>
      </c>
      <c r="D567" s="32">
        <v>10.28</v>
      </c>
      <c r="E567" s="32">
        <v>375.19541427826994</v>
      </c>
      <c r="F567" s="32">
        <v>6253.2569046378321</v>
      </c>
      <c r="G567" s="77">
        <v>4.7999999999999998E-6</v>
      </c>
      <c r="H567" s="32">
        <v>0.251</v>
      </c>
      <c r="I567" s="32">
        <v>138</v>
      </c>
      <c r="J567" s="32">
        <v>2623</v>
      </c>
      <c r="K567" s="32">
        <v>4639</v>
      </c>
      <c r="L567" s="32">
        <v>0.7</v>
      </c>
      <c r="M567" s="34">
        <v>4.1416515632614166</v>
      </c>
      <c r="N567" s="32">
        <v>96.67</v>
      </c>
      <c r="O567" s="32">
        <v>49.37</v>
      </c>
      <c r="P567" s="34">
        <f t="shared" si="8"/>
        <v>0.51070652736112543</v>
      </c>
    </row>
    <row r="568" spans="1:16">
      <c r="A568" s="32" t="s">
        <v>59</v>
      </c>
      <c r="B568" s="32">
        <v>350</v>
      </c>
      <c r="C568" s="32">
        <v>1000</v>
      </c>
      <c r="D568" s="32">
        <v>10.28</v>
      </c>
      <c r="E568" s="32">
        <v>375.19541427826994</v>
      </c>
      <c r="F568" s="32">
        <v>6253.2569046378321</v>
      </c>
      <c r="G568" s="77">
        <v>4.7999999999999998E-6</v>
      </c>
      <c r="H568" s="32">
        <v>0.251</v>
      </c>
      <c r="I568" s="32">
        <v>138</v>
      </c>
      <c r="J568" s="32">
        <v>2623</v>
      </c>
      <c r="K568" s="32">
        <v>4639</v>
      </c>
      <c r="L568" s="32">
        <v>0.7</v>
      </c>
      <c r="M568" s="34">
        <v>3.7044057738283191</v>
      </c>
      <c r="N568" s="32">
        <v>81</v>
      </c>
      <c r="O568" s="32">
        <v>33.1</v>
      </c>
      <c r="P568" s="34">
        <f t="shared" si="8"/>
        <v>0.40864197530864199</v>
      </c>
    </row>
    <row r="569" spans="1:16">
      <c r="A569" s="32" t="s">
        <v>59</v>
      </c>
      <c r="B569" s="32">
        <v>350</v>
      </c>
      <c r="C569" s="32">
        <v>1200</v>
      </c>
      <c r="D569" s="32">
        <v>10.28</v>
      </c>
      <c r="E569" s="32">
        <v>375.19541427826994</v>
      </c>
      <c r="F569" s="32">
        <v>6253.2569046378321</v>
      </c>
      <c r="G569" s="77">
        <v>4.7999999999999998E-6</v>
      </c>
      <c r="H569" s="32">
        <v>0.251</v>
      </c>
      <c r="I569" s="32">
        <v>138</v>
      </c>
      <c r="J569" s="32">
        <v>2623</v>
      </c>
      <c r="K569" s="32">
        <v>4639</v>
      </c>
      <c r="L569" s="32">
        <v>0.7</v>
      </c>
      <c r="M569" s="34">
        <v>3.3816443407969179</v>
      </c>
      <c r="N569" s="32">
        <v>58.26</v>
      </c>
      <c r="O569" s="32">
        <v>25.08</v>
      </c>
      <c r="P569" s="34">
        <f t="shared" si="8"/>
        <v>0.43048403707518024</v>
      </c>
    </row>
    <row r="570" spans="1:16">
      <c r="A570" s="32" t="s">
        <v>59</v>
      </c>
      <c r="B570" s="32">
        <v>350</v>
      </c>
      <c r="C570" s="32">
        <v>1600</v>
      </c>
      <c r="D570" s="32">
        <v>10.28</v>
      </c>
      <c r="E570" s="32">
        <v>375.19541427826994</v>
      </c>
      <c r="F570" s="32">
        <v>6253.2569046378321</v>
      </c>
      <c r="G570" s="77">
        <v>4.7999999999999998E-6</v>
      </c>
      <c r="H570" s="32">
        <v>0.251</v>
      </c>
      <c r="I570" s="32">
        <v>138</v>
      </c>
      <c r="J570" s="32">
        <v>2623</v>
      </c>
      <c r="K570" s="32">
        <v>4639</v>
      </c>
      <c r="L570" s="32">
        <v>0.7</v>
      </c>
      <c r="M570" s="34">
        <v>2.9285899056940128</v>
      </c>
      <c r="N570" s="32">
        <v>52.6</v>
      </c>
      <c r="O570" s="32">
        <v>22.75</v>
      </c>
      <c r="P570" s="34">
        <f t="shared" si="8"/>
        <v>0.43250950570342206</v>
      </c>
    </row>
    <row r="571" spans="1:16">
      <c r="A571" s="32" t="s">
        <v>59</v>
      </c>
      <c r="B571" s="32">
        <v>350</v>
      </c>
      <c r="C571" s="32">
        <v>2000</v>
      </c>
      <c r="D571" s="32">
        <v>10.28</v>
      </c>
      <c r="E571" s="32">
        <v>375.19541427826994</v>
      </c>
      <c r="F571" s="32">
        <v>6253.2569046378321</v>
      </c>
      <c r="G571" s="77">
        <v>4.7999999999999998E-6</v>
      </c>
      <c r="H571" s="32">
        <v>0.251</v>
      </c>
      <c r="I571" s="32">
        <v>138</v>
      </c>
      <c r="J571" s="32">
        <v>2623</v>
      </c>
      <c r="K571" s="32">
        <v>4639</v>
      </c>
      <c r="L571" s="32">
        <v>0.7</v>
      </c>
      <c r="M571" s="34">
        <v>2.6194104429406044</v>
      </c>
      <c r="N571" s="32">
        <v>48.71</v>
      </c>
      <c r="O571" s="32">
        <v>21</v>
      </c>
      <c r="P571" s="34">
        <f t="shared" si="8"/>
        <v>0.43112297269554506</v>
      </c>
    </row>
    <row r="572" spans="1:16">
      <c r="A572" s="32" t="s">
        <v>59</v>
      </c>
      <c r="B572" s="32">
        <v>350</v>
      </c>
      <c r="C572" s="32">
        <v>2400</v>
      </c>
      <c r="D572" s="32">
        <v>10.28</v>
      </c>
      <c r="E572" s="32">
        <v>375.19541427826994</v>
      </c>
      <c r="F572" s="32">
        <v>6253.2569046378321</v>
      </c>
      <c r="G572" s="77">
        <v>4.7999999999999998E-6</v>
      </c>
      <c r="H572" s="32">
        <v>0.251</v>
      </c>
      <c r="I572" s="32">
        <v>138</v>
      </c>
      <c r="J572" s="32">
        <v>2623</v>
      </c>
      <c r="K572" s="32">
        <v>4639</v>
      </c>
      <c r="L572" s="32">
        <v>0.7</v>
      </c>
      <c r="M572" s="34">
        <v>2.391183644938613</v>
      </c>
      <c r="N572" s="32">
        <v>44.18</v>
      </c>
      <c r="O572" s="32">
        <v>14.6</v>
      </c>
      <c r="P572" s="34">
        <f t="shared" si="8"/>
        <v>0.33046627433227704</v>
      </c>
    </row>
    <row r="573" spans="1:16">
      <c r="A573" s="32" t="s">
        <v>59</v>
      </c>
      <c r="B573" s="32">
        <v>100</v>
      </c>
      <c r="C573" s="32">
        <v>300</v>
      </c>
      <c r="D573" s="32">
        <v>10.28</v>
      </c>
      <c r="E573" s="32">
        <v>375.19541427826994</v>
      </c>
      <c r="F573" s="32">
        <v>6253.2569046378321</v>
      </c>
      <c r="G573" s="77">
        <v>4.7999999999999998E-6</v>
      </c>
      <c r="H573" s="32">
        <v>0.251</v>
      </c>
      <c r="I573" s="32">
        <v>138</v>
      </c>
      <c r="J573" s="32">
        <v>2623</v>
      </c>
      <c r="K573" s="32">
        <v>4639</v>
      </c>
      <c r="L573" s="32">
        <v>0.7</v>
      </c>
      <c r="M573" s="34">
        <v>1.9323681947410958</v>
      </c>
      <c r="N573" s="32">
        <v>152.52000000000001</v>
      </c>
      <c r="O573" s="32">
        <v>87.29</v>
      </c>
      <c r="P573" s="34">
        <f t="shared" si="8"/>
        <v>0.57231838447416727</v>
      </c>
    </row>
    <row r="574" spans="1:16">
      <c r="A574" s="32" t="s">
        <v>59</v>
      </c>
      <c r="B574" s="32">
        <v>150</v>
      </c>
      <c r="C574" s="32">
        <v>300</v>
      </c>
      <c r="D574" s="32">
        <v>10.28</v>
      </c>
      <c r="E574" s="32">
        <v>375.19541427826994</v>
      </c>
      <c r="F574" s="32">
        <v>6253.2569046378321</v>
      </c>
      <c r="G574" s="77">
        <v>4.7999999999999998E-6</v>
      </c>
      <c r="H574" s="32">
        <v>0.251</v>
      </c>
      <c r="I574" s="32">
        <v>138</v>
      </c>
      <c r="J574" s="32">
        <v>2623</v>
      </c>
      <c r="K574" s="32">
        <v>4639</v>
      </c>
      <c r="L574" s="32">
        <v>0.7</v>
      </c>
      <c r="M574" s="34">
        <v>2.8985522921116438</v>
      </c>
      <c r="N574" s="32">
        <v>163.27000000000001</v>
      </c>
      <c r="O574" s="32">
        <v>85.24</v>
      </c>
      <c r="P574" s="34">
        <f t="shared" si="8"/>
        <v>0.52207999020028173</v>
      </c>
    </row>
    <row r="575" spans="1:16">
      <c r="A575" s="32" t="s">
        <v>59</v>
      </c>
      <c r="B575" s="32">
        <v>200</v>
      </c>
      <c r="C575" s="32">
        <v>300</v>
      </c>
      <c r="D575" s="32">
        <v>10.28</v>
      </c>
      <c r="E575" s="32">
        <v>375.19541427826994</v>
      </c>
      <c r="F575" s="32">
        <v>6253.2569046378321</v>
      </c>
      <c r="G575" s="77">
        <v>4.7999999999999998E-6</v>
      </c>
      <c r="H575" s="32">
        <v>0.251</v>
      </c>
      <c r="I575" s="32">
        <v>138</v>
      </c>
      <c r="J575" s="32">
        <v>2623</v>
      </c>
      <c r="K575" s="32">
        <v>4639</v>
      </c>
      <c r="L575" s="32">
        <v>0.7</v>
      </c>
      <c r="M575" s="34">
        <v>3.8647363894821916</v>
      </c>
      <c r="N575" s="32">
        <v>267.75</v>
      </c>
      <c r="O575" s="32">
        <v>134.81</v>
      </c>
      <c r="P575" s="34">
        <f t="shared" si="8"/>
        <v>0.50349206349206355</v>
      </c>
    </row>
    <row r="576" spans="1:16">
      <c r="A576" s="32" t="s">
        <v>59</v>
      </c>
      <c r="B576" s="32">
        <v>250</v>
      </c>
      <c r="C576" s="32">
        <v>300</v>
      </c>
      <c r="D576" s="32">
        <v>10.28</v>
      </c>
      <c r="E576" s="32">
        <v>375.19541427826994</v>
      </c>
      <c r="F576" s="32">
        <v>6253.2569046378321</v>
      </c>
      <c r="G576" s="77">
        <v>4.7999999999999998E-6</v>
      </c>
      <c r="H576" s="32">
        <v>0.251</v>
      </c>
      <c r="I576" s="32">
        <v>138</v>
      </c>
      <c r="J576" s="32">
        <v>2623</v>
      </c>
      <c r="K576" s="32">
        <v>4639</v>
      </c>
      <c r="L576" s="32">
        <v>0.7</v>
      </c>
      <c r="M576" s="34">
        <v>4.8309204868527402</v>
      </c>
      <c r="N576" s="32">
        <v>239.69</v>
      </c>
      <c r="O576" s="32">
        <v>119.48</v>
      </c>
      <c r="P576" s="34">
        <f t="shared" si="8"/>
        <v>0.49847719971630022</v>
      </c>
    </row>
    <row r="577" spans="1:16">
      <c r="A577" s="32" t="s">
        <v>59</v>
      </c>
      <c r="B577" s="32">
        <v>300</v>
      </c>
      <c r="C577" s="32">
        <v>300</v>
      </c>
      <c r="D577" s="32">
        <v>10.28</v>
      </c>
      <c r="E577" s="32">
        <v>375.19541427826994</v>
      </c>
      <c r="F577" s="32">
        <v>6253.2569046378321</v>
      </c>
      <c r="G577" s="77">
        <v>4.7999999999999998E-6</v>
      </c>
      <c r="H577" s="32">
        <v>0.251</v>
      </c>
      <c r="I577" s="32">
        <v>138</v>
      </c>
      <c r="J577" s="32">
        <v>2623</v>
      </c>
      <c r="K577" s="32">
        <v>4639</v>
      </c>
      <c r="L577" s="32">
        <v>0.7</v>
      </c>
      <c r="M577" s="34">
        <v>5.7971045842232876</v>
      </c>
      <c r="N577" s="32">
        <v>257</v>
      </c>
      <c r="O577" s="32">
        <v>130.5</v>
      </c>
      <c r="P577" s="34">
        <f t="shared" si="8"/>
        <v>0.50778210116731515</v>
      </c>
    </row>
    <row r="578" spans="1:16">
      <c r="A578" s="32" t="s">
        <v>59</v>
      </c>
      <c r="B578" s="32">
        <v>100</v>
      </c>
      <c r="C578" s="32">
        <v>600</v>
      </c>
      <c r="D578" s="32">
        <v>10.28</v>
      </c>
      <c r="E578" s="32">
        <v>375.19541427826994</v>
      </c>
      <c r="F578" s="32">
        <v>6253.2569046378321</v>
      </c>
      <c r="G578" s="77">
        <v>4.7999999999999998E-6</v>
      </c>
      <c r="H578" s="32">
        <v>0.251</v>
      </c>
      <c r="I578" s="32">
        <v>138</v>
      </c>
      <c r="J578" s="32">
        <v>2623</v>
      </c>
      <c r="K578" s="32">
        <v>4639</v>
      </c>
      <c r="L578" s="32">
        <v>0.7</v>
      </c>
      <c r="M578" s="34">
        <v>1.3663906542506361</v>
      </c>
      <c r="N578" s="32">
        <v>130.91</v>
      </c>
      <c r="O578" s="32">
        <v>21</v>
      </c>
      <c r="P578" s="34">
        <f t="shared" si="8"/>
        <v>0.16041555266977314</v>
      </c>
    </row>
    <row r="579" spans="1:16">
      <c r="A579" s="32" t="s">
        <v>59</v>
      </c>
      <c r="B579" s="32">
        <v>150</v>
      </c>
      <c r="C579" s="32">
        <v>600</v>
      </c>
      <c r="D579" s="32">
        <v>10.28</v>
      </c>
      <c r="E579" s="32">
        <v>375.19541427826994</v>
      </c>
      <c r="F579" s="32">
        <v>6253.2569046378321</v>
      </c>
      <c r="G579" s="77">
        <v>4.7999999999999998E-6</v>
      </c>
      <c r="H579" s="32">
        <v>0.251</v>
      </c>
      <c r="I579" s="32">
        <v>138</v>
      </c>
      <c r="J579" s="32">
        <v>2623</v>
      </c>
      <c r="K579" s="32">
        <v>4639</v>
      </c>
      <c r="L579" s="32">
        <v>0.7</v>
      </c>
      <c r="M579" s="34">
        <v>2.0495859813759543</v>
      </c>
      <c r="N579" s="32">
        <v>111.87</v>
      </c>
      <c r="O579" s="32">
        <v>28</v>
      </c>
      <c r="P579" s="34">
        <f t="shared" si="8"/>
        <v>0.25029051577724143</v>
      </c>
    </row>
    <row r="580" spans="1:16">
      <c r="A580" s="32" t="s">
        <v>59</v>
      </c>
      <c r="B580" s="32">
        <v>200</v>
      </c>
      <c r="C580" s="32">
        <v>600</v>
      </c>
      <c r="D580" s="32">
        <v>10.28</v>
      </c>
      <c r="E580" s="32">
        <v>375.19541427826994</v>
      </c>
      <c r="F580" s="32">
        <v>6253.2569046378321</v>
      </c>
      <c r="G580" s="77">
        <v>4.7999999999999998E-6</v>
      </c>
      <c r="H580" s="32">
        <v>0.251</v>
      </c>
      <c r="I580" s="32">
        <v>138</v>
      </c>
      <c r="J580" s="32">
        <v>2623</v>
      </c>
      <c r="K580" s="32">
        <v>4639</v>
      </c>
      <c r="L580" s="32">
        <v>0.7</v>
      </c>
      <c r="M580" s="34">
        <v>2.7327813085012722</v>
      </c>
      <c r="N580" s="32">
        <v>122</v>
      </c>
      <c r="O580" s="32">
        <v>32.99</v>
      </c>
      <c r="P580" s="34">
        <f t="shared" si="8"/>
        <v>0.27040983606557378</v>
      </c>
    </row>
    <row r="581" spans="1:16">
      <c r="A581" s="32" t="s">
        <v>59</v>
      </c>
      <c r="B581" s="32">
        <v>250</v>
      </c>
      <c r="C581" s="32">
        <v>600</v>
      </c>
      <c r="D581" s="32">
        <v>10.28</v>
      </c>
      <c r="E581" s="32">
        <v>375.19541427826994</v>
      </c>
      <c r="F581" s="32">
        <v>6253.2569046378321</v>
      </c>
      <c r="G581" s="77">
        <v>4.7999999999999998E-6</v>
      </c>
      <c r="H581" s="32">
        <v>0.251</v>
      </c>
      <c r="I581" s="32">
        <v>138</v>
      </c>
      <c r="J581" s="32">
        <v>2623</v>
      </c>
      <c r="K581" s="32">
        <v>4639</v>
      </c>
      <c r="L581" s="32">
        <v>0.7</v>
      </c>
      <c r="M581" s="34">
        <v>3.4159766356265902</v>
      </c>
      <c r="N581" s="32">
        <v>139</v>
      </c>
      <c r="O581" s="32">
        <v>49.2</v>
      </c>
      <c r="P581" s="34">
        <f t="shared" ref="P581:P644" si="9">O581/N581</f>
        <v>0.35395683453237414</v>
      </c>
    </row>
    <row r="582" spans="1:16">
      <c r="A582" s="32" t="s">
        <v>59</v>
      </c>
      <c r="B582" s="32">
        <v>300</v>
      </c>
      <c r="C582" s="32">
        <v>600</v>
      </c>
      <c r="D582" s="32">
        <v>10.28</v>
      </c>
      <c r="E582" s="32">
        <v>375.19541427826994</v>
      </c>
      <c r="F582" s="32">
        <v>6253.2569046378321</v>
      </c>
      <c r="G582" s="77">
        <v>4.7999999999999998E-6</v>
      </c>
      <c r="H582" s="32">
        <v>0.251</v>
      </c>
      <c r="I582" s="32">
        <v>138</v>
      </c>
      <c r="J582" s="32">
        <v>2623</v>
      </c>
      <c r="K582" s="32">
        <v>4639</v>
      </c>
      <c r="L582" s="32">
        <v>0.7</v>
      </c>
      <c r="M582" s="34">
        <v>4.0991719627519085</v>
      </c>
      <c r="N582" s="32">
        <v>156.9</v>
      </c>
      <c r="O582" s="32">
        <v>73.75</v>
      </c>
      <c r="P582" s="34">
        <f t="shared" si="9"/>
        <v>0.47004461440407902</v>
      </c>
    </row>
    <row r="583" spans="1:16">
      <c r="A583" s="32" t="s">
        <v>59</v>
      </c>
      <c r="B583" s="32">
        <v>100</v>
      </c>
      <c r="C583" s="32">
        <v>900</v>
      </c>
      <c r="D583" s="32">
        <v>10.28</v>
      </c>
      <c r="E583" s="32">
        <v>375.19541427826994</v>
      </c>
      <c r="F583" s="32">
        <v>6253.2569046378321</v>
      </c>
      <c r="G583" s="77">
        <v>4.7999999999999998E-6</v>
      </c>
      <c r="H583" s="32">
        <v>0.251</v>
      </c>
      <c r="I583" s="32">
        <v>138</v>
      </c>
      <c r="J583" s="32">
        <v>2623</v>
      </c>
      <c r="K583" s="32">
        <v>4639</v>
      </c>
      <c r="L583" s="32">
        <v>0.7</v>
      </c>
      <c r="M583" s="34">
        <v>1.1156532974072428</v>
      </c>
      <c r="N583" s="32">
        <v>155.91999999999999</v>
      </c>
      <c r="O583" s="32">
        <v>63.5</v>
      </c>
      <c r="P583" s="34">
        <f t="shared" si="9"/>
        <v>0.4072601334017445</v>
      </c>
    </row>
    <row r="584" spans="1:16">
      <c r="A584" s="32" t="s">
        <v>59</v>
      </c>
      <c r="B584" s="32">
        <v>150</v>
      </c>
      <c r="C584" s="32">
        <v>900</v>
      </c>
      <c r="D584" s="32">
        <v>10.28</v>
      </c>
      <c r="E584" s="32">
        <v>375.19541427826994</v>
      </c>
      <c r="F584" s="32">
        <v>6253.2569046378321</v>
      </c>
      <c r="G584" s="77">
        <v>4.7999999999999998E-6</v>
      </c>
      <c r="H584" s="32">
        <v>0.251</v>
      </c>
      <c r="I584" s="32">
        <v>138</v>
      </c>
      <c r="J584" s="32">
        <v>2623</v>
      </c>
      <c r="K584" s="32">
        <v>4639</v>
      </c>
      <c r="L584" s="32">
        <v>0.7</v>
      </c>
      <c r="M584" s="34">
        <v>1.6734799461108645</v>
      </c>
      <c r="N584" s="32">
        <v>144.4</v>
      </c>
      <c r="O584" s="32">
        <v>96.54</v>
      </c>
      <c r="P584" s="34">
        <f t="shared" si="9"/>
        <v>0.66855955678670365</v>
      </c>
    </row>
    <row r="585" spans="1:16">
      <c r="A585" s="32" t="s">
        <v>59</v>
      </c>
      <c r="B585" s="32">
        <v>200</v>
      </c>
      <c r="C585" s="32">
        <v>900</v>
      </c>
      <c r="D585" s="32">
        <v>10.28</v>
      </c>
      <c r="E585" s="32">
        <v>375.19541427826994</v>
      </c>
      <c r="F585" s="32">
        <v>6253.2569046378321</v>
      </c>
      <c r="G585" s="77">
        <v>4.7999999999999998E-6</v>
      </c>
      <c r="H585" s="32">
        <v>0.251</v>
      </c>
      <c r="I585" s="32">
        <v>138</v>
      </c>
      <c r="J585" s="32">
        <v>2623</v>
      </c>
      <c r="K585" s="32">
        <v>4639</v>
      </c>
      <c r="L585" s="32">
        <v>0.7</v>
      </c>
      <c r="M585" s="34">
        <v>2.2313065948144857</v>
      </c>
      <c r="N585" s="32">
        <v>165</v>
      </c>
      <c r="O585" s="32">
        <v>112</v>
      </c>
      <c r="P585" s="34">
        <f t="shared" si="9"/>
        <v>0.67878787878787883</v>
      </c>
    </row>
    <row r="586" spans="1:16">
      <c r="A586" s="32" t="s">
        <v>59</v>
      </c>
      <c r="B586" s="32">
        <v>250</v>
      </c>
      <c r="C586" s="32">
        <v>900</v>
      </c>
      <c r="D586" s="32">
        <v>10.28</v>
      </c>
      <c r="E586" s="32">
        <v>375.19541427826994</v>
      </c>
      <c r="F586" s="32">
        <v>6253.2569046378321</v>
      </c>
      <c r="G586" s="77">
        <v>4.7999999999999998E-6</v>
      </c>
      <c r="H586" s="32">
        <v>0.251</v>
      </c>
      <c r="I586" s="32">
        <v>138</v>
      </c>
      <c r="J586" s="32">
        <v>2623</v>
      </c>
      <c r="K586" s="32">
        <v>4639</v>
      </c>
      <c r="L586" s="32">
        <v>0.7</v>
      </c>
      <c r="M586" s="34">
        <v>2.7891332435181075</v>
      </c>
      <c r="N586" s="32">
        <v>182</v>
      </c>
      <c r="O586" s="32">
        <v>131</v>
      </c>
      <c r="P586" s="34">
        <f t="shared" si="9"/>
        <v>0.71978021978021978</v>
      </c>
    </row>
    <row r="587" spans="1:16">
      <c r="A587" s="32" t="s">
        <v>59</v>
      </c>
      <c r="B587" s="32">
        <v>300</v>
      </c>
      <c r="C587" s="32">
        <v>900</v>
      </c>
      <c r="D587" s="32">
        <v>10.28</v>
      </c>
      <c r="E587" s="32">
        <v>375.19541427826994</v>
      </c>
      <c r="F587" s="32">
        <v>6253.2569046378321</v>
      </c>
      <c r="G587" s="77">
        <v>4.7999999999999998E-6</v>
      </c>
      <c r="H587" s="32">
        <v>0.251</v>
      </c>
      <c r="I587" s="32">
        <v>138</v>
      </c>
      <c r="J587" s="32">
        <v>2623</v>
      </c>
      <c r="K587" s="32">
        <v>4639</v>
      </c>
      <c r="L587" s="32">
        <v>0.7</v>
      </c>
      <c r="M587" s="34">
        <v>3.346959892221729</v>
      </c>
      <c r="N587" s="32">
        <v>198</v>
      </c>
      <c r="O587" s="32">
        <v>148</v>
      </c>
      <c r="P587" s="34">
        <f t="shared" si="9"/>
        <v>0.74747474747474751</v>
      </c>
    </row>
    <row r="588" spans="1:16">
      <c r="A588" s="32" t="s">
        <v>60</v>
      </c>
      <c r="B588" s="32">
        <v>200</v>
      </c>
      <c r="C588" s="32">
        <v>200</v>
      </c>
      <c r="D588" s="32">
        <v>16.690000000000001</v>
      </c>
      <c r="E588" s="32">
        <v>202.26818904979712</v>
      </c>
      <c r="F588" s="32">
        <v>4049.7849435981234</v>
      </c>
      <c r="G588" s="77">
        <v>6.2999999999999998E-6</v>
      </c>
      <c r="H588" s="32">
        <v>0.14000000000000001</v>
      </c>
      <c r="I588" s="32">
        <v>57</v>
      </c>
      <c r="J588" s="32">
        <v>3017</v>
      </c>
      <c r="K588" s="32">
        <v>5458</v>
      </c>
      <c r="L588" s="32">
        <v>0.7</v>
      </c>
      <c r="M588" s="34">
        <v>7.1394120507552081</v>
      </c>
      <c r="N588" s="32">
        <v>191</v>
      </c>
      <c r="O588" s="32">
        <v>35</v>
      </c>
      <c r="P588" s="34">
        <f t="shared" si="9"/>
        <v>0.18324607329842932</v>
      </c>
    </row>
    <row r="589" spans="1:16">
      <c r="A589" s="32" t="s">
        <v>60</v>
      </c>
      <c r="B589" s="32">
        <v>200</v>
      </c>
      <c r="C589" s="32">
        <v>400</v>
      </c>
      <c r="D589" s="32">
        <v>16.690000000000001</v>
      </c>
      <c r="E589" s="32">
        <v>202.26818904979712</v>
      </c>
      <c r="F589" s="32">
        <v>4049.7849435981234</v>
      </c>
      <c r="G589" s="77">
        <v>6.2999999999999998E-6</v>
      </c>
      <c r="H589" s="32">
        <v>0.14000000000000001</v>
      </c>
      <c r="I589" s="32">
        <v>57</v>
      </c>
      <c r="J589" s="32">
        <v>3017</v>
      </c>
      <c r="K589" s="32">
        <v>5458</v>
      </c>
      <c r="L589" s="32">
        <v>0.7</v>
      </c>
      <c r="M589" s="34">
        <v>5.0483266747739632</v>
      </c>
      <c r="N589" s="32">
        <v>103</v>
      </c>
      <c r="O589" s="32">
        <v>28</v>
      </c>
      <c r="P589" s="34">
        <f t="shared" si="9"/>
        <v>0.27184466019417475</v>
      </c>
    </row>
    <row r="590" spans="1:16">
      <c r="A590" s="32" t="s">
        <v>60</v>
      </c>
      <c r="B590" s="32">
        <v>200</v>
      </c>
      <c r="C590" s="32">
        <v>600</v>
      </c>
      <c r="D590" s="32">
        <v>16.690000000000001</v>
      </c>
      <c r="E590" s="32">
        <v>202.26818904979712</v>
      </c>
      <c r="F590" s="32">
        <v>4049.7849435981234</v>
      </c>
      <c r="G590" s="77">
        <v>6.2999999999999998E-6</v>
      </c>
      <c r="H590" s="32">
        <v>0.14000000000000001</v>
      </c>
      <c r="I590" s="32">
        <v>57</v>
      </c>
      <c r="J590" s="32">
        <v>3017</v>
      </c>
      <c r="K590" s="32">
        <v>5458</v>
      </c>
      <c r="L590" s="32">
        <v>0.7</v>
      </c>
      <c r="M590" s="34">
        <v>4.1219414693591778</v>
      </c>
      <c r="N590" s="32">
        <v>88</v>
      </c>
      <c r="O590" s="32">
        <v>17</v>
      </c>
      <c r="P590" s="34">
        <f t="shared" si="9"/>
        <v>0.19318181818181818</v>
      </c>
    </row>
    <row r="591" spans="1:16">
      <c r="A591" s="32" t="s">
        <v>60</v>
      </c>
      <c r="B591" s="32">
        <v>200</v>
      </c>
      <c r="C591" s="32">
        <v>800</v>
      </c>
      <c r="D591" s="32">
        <v>16.690000000000001</v>
      </c>
      <c r="E591" s="32">
        <v>202.26818904979712</v>
      </c>
      <c r="F591" s="32">
        <v>4049.7849435981234</v>
      </c>
      <c r="G591" s="77">
        <v>6.2999999999999998E-6</v>
      </c>
      <c r="H591" s="32">
        <v>0.14000000000000001</v>
      </c>
      <c r="I591" s="32">
        <v>57</v>
      </c>
      <c r="J591" s="32">
        <v>3017</v>
      </c>
      <c r="K591" s="32">
        <v>5458</v>
      </c>
      <c r="L591" s="32">
        <v>0.7</v>
      </c>
      <c r="M591" s="34">
        <v>3.5697060253776041</v>
      </c>
      <c r="N591" s="32">
        <v>78</v>
      </c>
      <c r="O591" s="32">
        <v>15</v>
      </c>
      <c r="P591" s="34">
        <f t="shared" si="9"/>
        <v>0.19230769230769232</v>
      </c>
    </row>
    <row r="592" spans="1:16">
      <c r="A592" s="32" t="s">
        <v>60</v>
      </c>
      <c r="B592" s="32">
        <v>200</v>
      </c>
      <c r="C592" s="32">
        <v>1200</v>
      </c>
      <c r="D592" s="32">
        <v>16.690000000000001</v>
      </c>
      <c r="E592" s="32">
        <v>202.26818904979712</v>
      </c>
      <c r="F592" s="32">
        <v>4049.7849435981234</v>
      </c>
      <c r="G592" s="77">
        <v>6.2999999999999998E-6</v>
      </c>
      <c r="H592" s="32">
        <v>0.14000000000000001</v>
      </c>
      <c r="I592" s="32">
        <v>57</v>
      </c>
      <c r="J592" s="32">
        <v>3017</v>
      </c>
      <c r="K592" s="32">
        <v>5458</v>
      </c>
      <c r="L592" s="32">
        <v>0.7</v>
      </c>
      <c r="M592" s="34">
        <v>2.9146527646379163</v>
      </c>
      <c r="N592" s="32">
        <v>75</v>
      </c>
      <c r="O592" s="32">
        <v>8.6</v>
      </c>
      <c r="P592" s="34">
        <f t="shared" si="9"/>
        <v>0.11466666666666667</v>
      </c>
    </row>
    <row r="593" spans="1:16">
      <c r="A593" s="32" t="s">
        <v>60</v>
      </c>
      <c r="B593" s="32">
        <v>200</v>
      </c>
      <c r="C593" s="32">
        <v>1600</v>
      </c>
      <c r="D593" s="32">
        <v>16.690000000000001</v>
      </c>
      <c r="E593" s="32">
        <v>202.26818904979712</v>
      </c>
      <c r="F593" s="32">
        <v>4049.7849435981234</v>
      </c>
      <c r="G593" s="77">
        <v>6.2999999999999998E-6</v>
      </c>
      <c r="H593" s="32">
        <v>0.14000000000000001</v>
      </c>
      <c r="I593" s="32">
        <v>57</v>
      </c>
      <c r="J593" s="32">
        <v>3017</v>
      </c>
      <c r="K593" s="32">
        <v>5458</v>
      </c>
      <c r="L593" s="32">
        <v>0.7</v>
      </c>
      <c r="M593" s="34">
        <v>2.5241633373869816</v>
      </c>
      <c r="N593" s="32">
        <v>65</v>
      </c>
      <c r="O593" s="32">
        <v>4.7</v>
      </c>
      <c r="P593" s="34">
        <f t="shared" si="9"/>
        <v>7.2307692307692309E-2</v>
      </c>
    </row>
    <row r="594" spans="1:16">
      <c r="A594" s="32" t="s">
        <v>60</v>
      </c>
      <c r="B594" s="32">
        <v>200</v>
      </c>
      <c r="C594" s="32">
        <v>2000</v>
      </c>
      <c r="D594" s="32">
        <v>16.690000000000001</v>
      </c>
      <c r="E594" s="32">
        <v>202.26818904979712</v>
      </c>
      <c r="F594" s="32">
        <v>4049.7849435981234</v>
      </c>
      <c r="G594" s="77">
        <v>6.2999999999999998E-6</v>
      </c>
      <c r="H594" s="32">
        <v>0.14000000000000001</v>
      </c>
      <c r="I594" s="32">
        <v>57</v>
      </c>
      <c r="J594" s="32">
        <v>3017</v>
      </c>
      <c r="K594" s="32">
        <v>5458</v>
      </c>
      <c r="L594" s="32">
        <v>0.7</v>
      </c>
      <c r="M594" s="34">
        <v>2.2576803234840108</v>
      </c>
      <c r="N594" s="32">
        <v>55</v>
      </c>
      <c r="O594" s="32">
        <v>4.3</v>
      </c>
      <c r="P594" s="34">
        <f t="shared" si="9"/>
        <v>7.8181818181818172E-2</v>
      </c>
    </row>
    <row r="595" spans="1:16">
      <c r="A595" s="32" t="s">
        <v>60</v>
      </c>
      <c r="B595" s="32">
        <v>200</v>
      </c>
      <c r="C595" s="32">
        <v>2400</v>
      </c>
      <c r="D595" s="32">
        <v>16.690000000000001</v>
      </c>
      <c r="E595" s="32">
        <v>202.26818904979712</v>
      </c>
      <c r="F595" s="32">
        <v>4049.7849435981234</v>
      </c>
      <c r="G595" s="77">
        <v>6.2999999999999998E-6</v>
      </c>
      <c r="H595" s="32">
        <v>0.14000000000000001</v>
      </c>
      <c r="I595" s="32">
        <v>57</v>
      </c>
      <c r="J595" s="32">
        <v>3017</v>
      </c>
      <c r="K595" s="32">
        <v>5458</v>
      </c>
      <c r="L595" s="32">
        <v>0.7</v>
      </c>
      <c r="M595" s="34">
        <v>2.0609707346795889</v>
      </c>
      <c r="N595" s="32">
        <v>46</v>
      </c>
      <c r="O595" s="32">
        <v>3.3</v>
      </c>
      <c r="P595" s="34">
        <f t="shared" si="9"/>
        <v>7.1739130434782611E-2</v>
      </c>
    </row>
    <row r="596" spans="1:16">
      <c r="A596" s="32" t="s">
        <v>60</v>
      </c>
      <c r="B596" s="32">
        <v>350</v>
      </c>
      <c r="C596" s="32">
        <v>400</v>
      </c>
      <c r="D596" s="32">
        <v>16.690000000000001</v>
      </c>
      <c r="E596" s="32">
        <v>202.26818904979712</v>
      </c>
      <c r="F596" s="32">
        <v>4049.7849435981234</v>
      </c>
      <c r="G596" s="77">
        <v>6.2999999999999998E-6</v>
      </c>
      <c r="H596" s="32">
        <v>0.14000000000000001</v>
      </c>
      <c r="I596" s="32">
        <v>57</v>
      </c>
      <c r="J596" s="32">
        <v>3017</v>
      </c>
      <c r="K596" s="32">
        <v>5458</v>
      </c>
      <c r="L596" s="32">
        <v>0.7</v>
      </c>
      <c r="M596" s="34">
        <v>8.8345716808544363</v>
      </c>
      <c r="N596" s="32">
        <v>151.80000000000001</v>
      </c>
      <c r="O596" s="32">
        <v>48</v>
      </c>
      <c r="P596" s="34">
        <f t="shared" si="9"/>
        <v>0.3162055335968379</v>
      </c>
    </row>
    <row r="597" spans="1:16">
      <c r="A597" s="32" t="s">
        <v>60</v>
      </c>
      <c r="B597" s="32">
        <v>350</v>
      </c>
      <c r="C597" s="32">
        <v>600</v>
      </c>
      <c r="D597" s="32">
        <v>16.690000000000001</v>
      </c>
      <c r="E597" s="32">
        <v>202.26818904979712</v>
      </c>
      <c r="F597" s="32">
        <v>4049.7849435981234</v>
      </c>
      <c r="G597" s="77">
        <v>6.2999999999999998E-6</v>
      </c>
      <c r="H597" s="32">
        <v>0.14000000000000001</v>
      </c>
      <c r="I597" s="32">
        <v>57</v>
      </c>
      <c r="J597" s="32">
        <v>3017</v>
      </c>
      <c r="K597" s="32">
        <v>5458</v>
      </c>
      <c r="L597" s="32">
        <v>0.7</v>
      </c>
      <c r="M597" s="34">
        <v>7.213397571378561</v>
      </c>
      <c r="N597" s="32">
        <v>124.5</v>
      </c>
      <c r="O597" s="32">
        <v>23</v>
      </c>
      <c r="P597" s="34">
        <f t="shared" si="9"/>
        <v>0.18473895582329317</v>
      </c>
    </row>
    <row r="598" spans="1:16">
      <c r="A598" s="32" t="s">
        <v>60</v>
      </c>
      <c r="B598" s="32">
        <v>350</v>
      </c>
      <c r="C598" s="32">
        <v>800</v>
      </c>
      <c r="D598" s="32">
        <v>16.690000000000001</v>
      </c>
      <c r="E598" s="32">
        <v>202.26818904979712</v>
      </c>
      <c r="F598" s="32">
        <v>4049.7849435981234</v>
      </c>
      <c r="G598" s="77">
        <v>6.2999999999999998E-6</v>
      </c>
      <c r="H598" s="32">
        <v>0.14000000000000001</v>
      </c>
      <c r="I598" s="32">
        <v>57</v>
      </c>
      <c r="J598" s="32">
        <v>3017</v>
      </c>
      <c r="K598" s="32">
        <v>5458</v>
      </c>
      <c r="L598" s="32">
        <v>0.7</v>
      </c>
      <c r="M598" s="34">
        <v>6.2469855444108067</v>
      </c>
      <c r="N598" s="32">
        <v>108.2</v>
      </c>
      <c r="O598" s="32">
        <v>13.6</v>
      </c>
      <c r="P598" s="34">
        <f t="shared" si="9"/>
        <v>0.12569316081330867</v>
      </c>
    </row>
    <row r="599" spans="1:16">
      <c r="A599" s="32" t="s">
        <v>60</v>
      </c>
      <c r="B599" s="32">
        <v>350</v>
      </c>
      <c r="C599" s="32">
        <v>1000</v>
      </c>
      <c r="D599" s="32">
        <v>16.690000000000001</v>
      </c>
      <c r="E599" s="32">
        <v>202.26818904979712</v>
      </c>
      <c r="F599" s="32">
        <v>4049.7849435981234</v>
      </c>
      <c r="G599" s="77">
        <v>6.2999999999999998E-6</v>
      </c>
      <c r="H599" s="32">
        <v>0.14000000000000001</v>
      </c>
      <c r="I599" s="32">
        <v>57</v>
      </c>
      <c r="J599" s="32">
        <v>3017</v>
      </c>
      <c r="K599" s="32">
        <v>5458</v>
      </c>
      <c r="L599" s="32">
        <v>0.7</v>
      </c>
      <c r="M599" s="34">
        <v>5.5874737327044386</v>
      </c>
      <c r="N599" s="32">
        <v>104</v>
      </c>
      <c r="O599" s="32">
        <v>15.4</v>
      </c>
      <c r="P599" s="34">
        <f t="shared" si="9"/>
        <v>0.14807692307692308</v>
      </c>
    </row>
    <row r="600" spans="1:16">
      <c r="A600" s="32" t="s">
        <v>60</v>
      </c>
      <c r="B600" s="32">
        <v>350</v>
      </c>
      <c r="C600" s="32">
        <v>1200</v>
      </c>
      <c r="D600" s="32">
        <v>16.690000000000001</v>
      </c>
      <c r="E600" s="32">
        <v>202.26818904979712</v>
      </c>
      <c r="F600" s="32">
        <v>4049.7849435981234</v>
      </c>
      <c r="G600" s="77">
        <v>6.2999999999999998E-6</v>
      </c>
      <c r="H600" s="32">
        <v>0.14000000000000001</v>
      </c>
      <c r="I600" s="32">
        <v>57</v>
      </c>
      <c r="J600" s="32">
        <v>3017</v>
      </c>
      <c r="K600" s="32">
        <v>5458</v>
      </c>
      <c r="L600" s="32">
        <v>0.7</v>
      </c>
      <c r="M600" s="34">
        <v>5.1006423381163541</v>
      </c>
      <c r="N600" s="32">
        <v>97</v>
      </c>
      <c r="O600" s="32">
        <v>13</v>
      </c>
      <c r="P600" s="34">
        <f t="shared" si="9"/>
        <v>0.13402061855670103</v>
      </c>
    </row>
    <row r="601" spans="1:16">
      <c r="A601" s="32" t="s">
        <v>60</v>
      </c>
      <c r="B601" s="32">
        <v>350</v>
      </c>
      <c r="C601" s="32">
        <v>1600</v>
      </c>
      <c r="D601" s="32">
        <v>16.690000000000001</v>
      </c>
      <c r="E601" s="32">
        <v>202.26818904979712</v>
      </c>
      <c r="F601" s="32">
        <v>4049.7849435981234</v>
      </c>
      <c r="G601" s="77">
        <v>6.2999999999999998E-6</v>
      </c>
      <c r="H601" s="32">
        <v>0.14000000000000001</v>
      </c>
      <c r="I601" s="32">
        <v>57</v>
      </c>
      <c r="J601" s="32">
        <v>3017</v>
      </c>
      <c r="K601" s="32">
        <v>5458</v>
      </c>
      <c r="L601" s="32">
        <v>0.7</v>
      </c>
      <c r="M601" s="34">
        <v>4.4172858404272182</v>
      </c>
      <c r="N601" s="32">
        <v>99.3</v>
      </c>
      <c r="O601" s="32">
        <v>11.2</v>
      </c>
      <c r="P601" s="34">
        <f t="shared" si="9"/>
        <v>0.11278952668680765</v>
      </c>
    </row>
    <row r="602" spans="1:16">
      <c r="A602" s="32" t="s">
        <v>60</v>
      </c>
      <c r="B602" s="32">
        <v>350</v>
      </c>
      <c r="C602" s="32">
        <v>2000</v>
      </c>
      <c r="D602" s="32">
        <v>16.690000000000001</v>
      </c>
      <c r="E602" s="32">
        <v>202.26818904979712</v>
      </c>
      <c r="F602" s="32">
        <v>4049.7849435981234</v>
      </c>
      <c r="G602" s="77">
        <v>6.2999999999999998E-6</v>
      </c>
      <c r="H602" s="32">
        <v>0.14000000000000001</v>
      </c>
      <c r="I602" s="32">
        <v>57</v>
      </c>
      <c r="J602" s="32">
        <v>3017</v>
      </c>
      <c r="K602" s="32">
        <v>5458</v>
      </c>
      <c r="L602" s="32">
        <v>0.7</v>
      </c>
      <c r="M602" s="34">
        <v>3.9509405660970192</v>
      </c>
      <c r="N602" s="32">
        <v>93.3</v>
      </c>
      <c r="O602" s="32">
        <v>9.69</v>
      </c>
      <c r="P602" s="34">
        <f t="shared" si="9"/>
        <v>0.10385852090032154</v>
      </c>
    </row>
    <row r="603" spans="1:16">
      <c r="A603" s="32" t="s">
        <v>60</v>
      </c>
      <c r="B603" s="32">
        <v>350</v>
      </c>
      <c r="C603" s="32">
        <v>2400</v>
      </c>
      <c r="D603" s="32">
        <v>16.690000000000001</v>
      </c>
      <c r="E603" s="32">
        <v>202.26818904979712</v>
      </c>
      <c r="F603" s="32">
        <v>4049.7849435981234</v>
      </c>
      <c r="G603" s="77">
        <v>6.2999999999999998E-6</v>
      </c>
      <c r="H603" s="32">
        <v>0.14000000000000001</v>
      </c>
      <c r="I603" s="32">
        <v>57</v>
      </c>
      <c r="J603" s="32">
        <v>3017</v>
      </c>
      <c r="K603" s="32">
        <v>5458</v>
      </c>
      <c r="L603" s="32">
        <v>0.7</v>
      </c>
      <c r="M603" s="34">
        <v>3.6066987856892805</v>
      </c>
      <c r="N603" s="32">
        <v>86</v>
      </c>
      <c r="O603" s="32">
        <v>7.1</v>
      </c>
      <c r="P603" s="34">
        <f t="shared" si="9"/>
        <v>8.2558139534883723E-2</v>
      </c>
    </row>
    <row r="604" spans="1:16">
      <c r="A604" s="32" t="s">
        <v>60</v>
      </c>
      <c r="B604" s="32">
        <v>100</v>
      </c>
      <c r="C604" s="32">
        <v>300</v>
      </c>
      <c r="D604" s="32">
        <v>16.690000000000001</v>
      </c>
      <c r="E604" s="32">
        <v>202.26818904979712</v>
      </c>
      <c r="F604" s="32">
        <v>4049.7849435981234</v>
      </c>
      <c r="G604" s="77">
        <v>6.2999999999999998E-6</v>
      </c>
      <c r="H604" s="32">
        <v>0.14000000000000001</v>
      </c>
      <c r="I604" s="32">
        <v>57</v>
      </c>
      <c r="J604" s="32">
        <v>3017</v>
      </c>
      <c r="K604" s="32">
        <v>5458</v>
      </c>
      <c r="L604" s="32">
        <v>0.7</v>
      </c>
      <c r="M604" s="34">
        <v>2.9146527646379163</v>
      </c>
      <c r="N604" s="32">
        <v>56.92</v>
      </c>
      <c r="O604" s="32">
        <v>6.99</v>
      </c>
      <c r="P604" s="34">
        <f t="shared" si="9"/>
        <v>0.12280393534785664</v>
      </c>
    </row>
    <row r="605" spans="1:16">
      <c r="A605" s="32" t="s">
        <v>60</v>
      </c>
      <c r="B605" s="32">
        <v>150</v>
      </c>
      <c r="C605" s="32">
        <v>300</v>
      </c>
      <c r="D605" s="32">
        <v>16.690000000000001</v>
      </c>
      <c r="E605" s="32">
        <v>202.26818904979712</v>
      </c>
      <c r="F605" s="32">
        <v>4049.7849435981234</v>
      </c>
      <c r="G605" s="77">
        <v>6.2999999999999998E-6</v>
      </c>
      <c r="H605" s="32">
        <v>0.14000000000000001</v>
      </c>
      <c r="I605" s="32">
        <v>57</v>
      </c>
      <c r="J605" s="32">
        <v>3017</v>
      </c>
      <c r="K605" s="32">
        <v>5458</v>
      </c>
      <c r="L605" s="32">
        <v>0.7</v>
      </c>
      <c r="M605" s="34">
        <v>4.3719791469568747</v>
      </c>
      <c r="N605" s="32">
        <v>67.19</v>
      </c>
      <c r="O605" s="32">
        <v>17.260000000000002</v>
      </c>
      <c r="P605" s="34">
        <f t="shared" si="9"/>
        <v>0.25688346480130975</v>
      </c>
    </row>
    <row r="606" spans="1:16">
      <c r="A606" s="32" t="s">
        <v>60</v>
      </c>
      <c r="B606" s="32">
        <v>200</v>
      </c>
      <c r="C606" s="32">
        <v>300</v>
      </c>
      <c r="D606" s="32">
        <v>16.690000000000001</v>
      </c>
      <c r="E606" s="32">
        <v>202.26818904979712</v>
      </c>
      <c r="F606" s="32">
        <v>4049.7849435981234</v>
      </c>
      <c r="G606" s="77">
        <v>6.2999999999999998E-6</v>
      </c>
      <c r="H606" s="32">
        <v>0.14000000000000001</v>
      </c>
      <c r="I606" s="32">
        <v>57</v>
      </c>
      <c r="J606" s="32">
        <v>3017</v>
      </c>
      <c r="K606" s="32">
        <v>5458</v>
      </c>
      <c r="L606" s="32">
        <v>0.7</v>
      </c>
      <c r="M606" s="34">
        <v>5.8293055292758327</v>
      </c>
      <c r="N606" s="32">
        <v>131.62</v>
      </c>
      <c r="O606" s="32">
        <v>110</v>
      </c>
      <c r="P606" s="34">
        <f t="shared" si="9"/>
        <v>0.83573924935420141</v>
      </c>
    </row>
    <row r="607" spans="1:16">
      <c r="A607" s="32" t="s">
        <v>60</v>
      </c>
      <c r="B607" s="32">
        <v>250</v>
      </c>
      <c r="C607" s="32">
        <v>300</v>
      </c>
      <c r="D607" s="32">
        <v>16.690000000000001</v>
      </c>
      <c r="E607" s="32">
        <v>202.26818904979712</v>
      </c>
      <c r="F607" s="32">
        <v>4049.7849435981234</v>
      </c>
      <c r="G607" s="77">
        <v>6.2999999999999998E-6</v>
      </c>
      <c r="H607" s="32">
        <v>0.14000000000000001</v>
      </c>
      <c r="I607" s="32">
        <v>57</v>
      </c>
      <c r="J607" s="32">
        <v>3017</v>
      </c>
      <c r="K607" s="32">
        <v>5458</v>
      </c>
      <c r="L607" s="32">
        <v>0.7</v>
      </c>
      <c r="M607" s="34">
        <v>7.2866319115947915</v>
      </c>
      <c r="N607" s="32">
        <v>165.77</v>
      </c>
      <c r="O607" s="32">
        <v>141.47999999999999</v>
      </c>
      <c r="P607" s="34">
        <f t="shared" si="9"/>
        <v>0.8534716776256257</v>
      </c>
    </row>
    <row r="608" spans="1:16">
      <c r="A608" s="32" t="s">
        <v>60</v>
      </c>
      <c r="B608" s="32">
        <v>300</v>
      </c>
      <c r="C608" s="32">
        <v>300</v>
      </c>
      <c r="D608" s="32">
        <v>16.690000000000001</v>
      </c>
      <c r="E608" s="32">
        <v>202.26818904979712</v>
      </c>
      <c r="F608" s="32">
        <v>4049.7849435981234</v>
      </c>
      <c r="G608" s="77">
        <v>6.2999999999999998E-6</v>
      </c>
      <c r="H608" s="32">
        <v>0.14000000000000001</v>
      </c>
      <c r="I608" s="32">
        <v>57</v>
      </c>
      <c r="J608" s="32">
        <v>3017</v>
      </c>
      <c r="K608" s="32">
        <v>5458</v>
      </c>
      <c r="L608" s="32">
        <v>0.7</v>
      </c>
      <c r="M608" s="34">
        <v>8.7439582939137495</v>
      </c>
      <c r="N608" s="32">
        <v>169.12</v>
      </c>
      <c r="O608" s="32">
        <v>207.87</v>
      </c>
      <c r="P608" s="34">
        <f t="shared" si="9"/>
        <v>1.2291272469252601</v>
      </c>
    </row>
    <row r="609" spans="1:16">
      <c r="A609" s="32" t="s">
        <v>60</v>
      </c>
      <c r="B609" s="32">
        <v>100</v>
      </c>
      <c r="C609" s="32">
        <v>600</v>
      </c>
      <c r="D609" s="32">
        <v>16.690000000000001</v>
      </c>
      <c r="E609" s="32">
        <v>202.26818904979712</v>
      </c>
      <c r="F609" s="32">
        <v>4049.7849435981234</v>
      </c>
      <c r="G609" s="77">
        <v>6.2999999999999998E-6</v>
      </c>
      <c r="H609" s="32">
        <v>0.14000000000000001</v>
      </c>
      <c r="I609" s="32">
        <v>57</v>
      </c>
      <c r="J609" s="32">
        <v>3017</v>
      </c>
      <c r="K609" s="32">
        <v>5458</v>
      </c>
      <c r="L609" s="32">
        <v>0.7</v>
      </c>
      <c r="M609" s="34">
        <v>2.0609707346795889</v>
      </c>
      <c r="N609" s="32">
        <v>69.77</v>
      </c>
      <c r="O609" s="32">
        <v>18.920000000000002</v>
      </c>
      <c r="P609" s="34">
        <f t="shared" si="9"/>
        <v>0.27117672352013761</v>
      </c>
    </row>
    <row r="610" spans="1:16">
      <c r="A610" s="32" t="s">
        <v>60</v>
      </c>
      <c r="B610" s="32">
        <v>150</v>
      </c>
      <c r="C610" s="32">
        <v>600</v>
      </c>
      <c r="D610" s="32">
        <v>16.690000000000001</v>
      </c>
      <c r="E610" s="32">
        <v>202.26818904979712</v>
      </c>
      <c r="F610" s="32">
        <v>4049.7849435981234</v>
      </c>
      <c r="G610" s="77">
        <v>6.2999999999999998E-6</v>
      </c>
      <c r="H610" s="32">
        <v>0.14000000000000001</v>
      </c>
      <c r="I610" s="32">
        <v>57</v>
      </c>
      <c r="J610" s="32">
        <v>3017</v>
      </c>
      <c r="K610" s="32">
        <v>5458</v>
      </c>
      <c r="L610" s="32">
        <v>0.7</v>
      </c>
      <c r="M610" s="34">
        <v>3.0914561020193831</v>
      </c>
      <c r="N610" s="32">
        <v>96.58</v>
      </c>
      <c r="O610" s="32">
        <v>36.270000000000003</v>
      </c>
      <c r="P610" s="34">
        <f t="shared" si="9"/>
        <v>0.37554359080554983</v>
      </c>
    </row>
    <row r="611" spans="1:16">
      <c r="A611" s="32" t="s">
        <v>60</v>
      </c>
      <c r="B611" s="32">
        <v>200</v>
      </c>
      <c r="C611" s="32">
        <v>600</v>
      </c>
      <c r="D611" s="32">
        <v>16.690000000000001</v>
      </c>
      <c r="E611" s="32">
        <v>202.26818904979712</v>
      </c>
      <c r="F611" s="32">
        <v>4049.7849435981234</v>
      </c>
      <c r="G611" s="77">
        <v>6.2999999999999998E-6</v>
      </c>
      <c r="H611" s="32">
        <v>0.14000000000000001</v>
      </c>
      <c r="I611" s="32">
        <v>57</v>
      </c>
      <c r="J611" s="32">
        <v>3017</v>
      </c>
      <c r="K611" s="32">
        <v>5458</v>
      </c>
      <c r="L611" s="32">
        <v>0.7</v>
      </c>
      <c r="M611" s="34">
        <v>4.1219414693591778</v>
      </c>
      <c r="N611" s="32">
        <v>100.91</v>
      </c>
      <c r="O611" s="32">
        <v>46.34</v>
      </c>
      <c r="P611" s="34">
        <f t="shared" si="9"/>
        <v>0.45922108809830547</v>
      </c>
    </row>
    <row r="612" spans="1:16">
      <c r="A612" s="32" t="s">
        <v>60</v>
      </c>
      <c r="B612" s="32">
        <v>250</v>
      </c>
      <c r="C612" s="32">
        <v>600</v>
      </c>
      <c r="D612" s="32">
        <v>16.690000000000001</v>
      </c>
      <c r="E612" s="32">
        <v>202.26818904979712</v>
      </c>
      <c r="F612" s="32">
        <v>4049.7849435981234</v>
      </c>
      <c r="G612" s="77">
        <v>6.2999999999999998E-6</v>
      </c>
      <c r="H612" s="32">
        <v>0.14000000000000001</v>
      </c>
      <c r="I612" s="32">
        <v>57</v>
      </c>
      <c r="J612" s="32">
        <v>3017</v>
      </c>
      <c r="K612" s="32">
        <v>5458</v>
      </c>
      <c r="L612" s="32">
        <v>0.7</v>
      </c>
      <c r="M612" s="34">
        <v>5.1524268366989725</v>
      </c>
      <c r="N612" s="32">
        <v>123.6</v>
      </c>
      <c r="O612" s="32">
        <v>97</v>
      </c>
      <c r="P612" s="34">
        <f t="shared" si="9"/>
        <v>0.78478964401294504</v>
      </c>
    </row>
    <row r="613" spans="1:16">
      <c r="A613" s="32" t="s">
        <v>60</v>
      </c>
      <c r="B613" s="32">
        <v>300</v>
      </c>
      <c r="C613" s="32">
        <v>600</v>
      </c>
      <c r="D613" s="32">
        <v>16.690000000000001</v>
      </c>
      <c r="E613" s="32">
        <v>202.26818904979712</v>
      </c>
      <c r="F613" s="32">
        <v>4049.7849435981234</v>
      </c>
      <c r="G613" s="77">
        <v>6.2999999999999998E-6</v>
      </c>
      <c r="H613" s="32">
        <v>0.14000000000000001</v>
      </c>
      <c r="I613" s="32">
        <v>57</v>
      </c>
      <c r="J613" s="32">
        <v>3017</v>
      </c>
      <c r="K613" s="32">
        <v>5458</v>
      </c>
      <c r="L613" s="32">
        <v>0.7</v>
      </c>
      <c r="M613" s="34">
        <v>6.1829122040387663</v>
      </c>
      <c r="N613" s="32">
        <v>170.76</v>
      </c>
      <c r="O613" s="32">
        <v>126.32</v>
      </c>
      <c r="P613" s="34">
        <f t="shared" si="9"/>
        <v>0.73975169828999765</v>
      </c>
    </row>
    <row r="614" spans="1:16">
      <c r="A614" s="32" t="s">
        <v>60</v>
      </c>
      <c r="B614" s="32">
        <v>100</v>
      </c>
      <c r="C614" s="32">
        <v>900</v>
      </c>
      <c r="D614" s="32">
        <v>16.690000000000001</v>
      </c>
      <c r="E614" s="32">
        <v>202.26818904979712</v>
      </c>
      <c r="F614" s="32">
        <v>4049.7849435981234</v>
      </c>
      <c r="G614" s="77">
        <v>6.2999999999999998E-6</v>
      </c>
      <c r="H614" s="32">
        <v>0.14000000000000001</v>
      </c>
      <c r="I614" s="32">
        <v>57</v>
      </c>
      <c r="J614" s="32">
        <v>3017</v>
      </c>
      <c r="K614" s="32">
        <v>5458</v>
      </c>
      <c r="L614" s="32">
        <v>0.7</v>
      </c>
      <c r="M614" s="34">
        <v>1.6827755582579877</v>
      </c>
      <c r="N614" s="32">
        <v>92.49</v>
      </c>
      <c r="O614" s="32">
        <v>10.49</v>
      </c>
      <c r="P614" s="34">
        <f t="shared" si="9"/>
        <v>0.11341766677478647</v>
      </c>
    </row>
    <row r="615" spans="1:16">
      <c r="A615" s="32" t="s">
        <v>60</v>
      </c>
      <c r="B615" s="32">
        <v>150</v>
      </c>
      <c r="C615" s="32">
        <v>900</v>
      </c>
      <c r="D615" s="32">
        <v>16.690000000000001</v>
      </c>
      <c r="E615" s="32">
        <v>202.26818904979712</v>
      </c>
      <c r="F615" s="32">
        <v>4049.7849435981234</v>
      </c>
      <c r="G615" s="77">
        <v>6.2999999999999998E-6</v>
      </c>
      <c r="H615" s="32">
        <v>0.14000000000000001</v>
      </c>
      <c r="I615" s="32">
        <v>57</v>
      </c>
      <c r="J615" s="32">
        <v>3017</v>
      </c>
      <c r="K615" s="32">
        <v>5458</v>
      </c>
      <c r="L615" s="32">
        <v>0.7</v>
      </c>
      <c r="M615" s="34">
        <v>2.5241633373869816</v>
      </c>
      <c r="N615" s="32">
        <v>77.98</v>
      </c>
      <c r="O615" s="32">
        <v>7</v>
      </c>
      <c r="P615" s="34">
        <f t="shared" si="9"/>
        <v>8.9766606822262118E-2</v>
      </c>
    </row>
    <row r="616" spans="1:16">
      <c r="A616" s="32" t="s">
        <v>60</v>
      </c>
      <c r="B616" s="32">
        <v>200</v>
      </c>
      <c r="C616" s="32">
        <v>900</v>
      </c>
      <c r="D616" s="32">
        <v>16.690000000000001</v>
      </c>
      <c r="E616" s="32">
        <v>202.26818904979712</v>
      </c>
      <c r="F616" s="32">
        <v>4049.7849435981234</v>
      </c>
      <c r="G616" s="77">
        <v>6.2999999999999998E-6</v>
      </c>
      <c r="H616" s="32">
        <v>0.14000000000000001</v>
      </c>
      <c r="I616" s="32">
        <v>57</v>
      </c>
      <c r="J616" s="32">
        <v>3017</v>
      </c>
      <c r="K616" s="32">
        <v>5458</v>
      </c>
      <c r="L616" s="32">
        <v>0.7</v>
      </c>
      <c r="M616" s="34">
        <v>3.3655511165159755</v>
      </c>
      <c r="N616" s="32">
        <v>60.22</v>
      </c>
      <c r="O616" s="32">
        <v>9.36</v>
      </c>
      <c r="P616" s="34">
        <f t="shared" si="9"/>
        <v>0.15543008967120558</v>
      </c>
    </row>
    <row r="617" spans="1:16">
      <c r="A617" s="32" t="s">
        <v>60</v>
      </c>
      <c r="B617" s="32">
        <v>250</v>
      </c>
      <c r="C617" s="32">
        <v>900</v>
      </c>
      <c r="D617" s="32">
        <v>16.690000000000001</v>
      </c>
      <c r="E617" s="32">
        <v>202.26818904979712</v>
      </c>
      <c r="F617" s="32">
        <v>4049.7849435981234</v>
      </c>
      <c r="G617" s="77">
        <v>6.2999999999999998E-6</v>
      </c>
      <c r="H617" s="32">
        <v>0.14000000000000001</v>
      </c>
      <c r="I617" s="32">
        <v>57</v>
      </c>
      <c r="J617" s="32">
        <v>3017</v>
      </c>
      <c r="K617" s="32">
        <v>5458</v>
      </c>
      <c r="L617" s="32">
        <v>0.7</v>
      </c>
      <c r="M617" s="34">
        <v>4.2069388956449698</v>
      </c>
      <c r="N617" s="32">
        <v>86.1</v>
      </c>
      <c r="O617" s="32">
        <v>36</v>
      </c>
      <c r="P617" s="34">
        <f t="shared" si="9"/>
        <v>0.41811846689895471</v>
      </c>
    </row>
    <row r="618" spans="1:16">
      <c r="A618" s="32" t="s">
        <v>60</v>
      </c>
      <c r="B618" s="32">
        <v>300</v>
      </c>
      <c r="C618" s="32">
        <v>900</v>
      </c>
      <c r="D618" s="32">
        <v>16.690000000000001</v>
      </c>
      <c r="E618" s="32">
        <v>202.26818904979712</v>
      </c>
      <c r="F618" s="32">
        <v>4049.7849435981234</v>
      </c>
      <c r="G618" s="77">
        <v>6.2999999999999998E-6</v>
      </c>
      <c r="H618" s="32">
        <v>0.14000000000000001</v>
      </c>
      <c r="I618" s="32">
        <v>57</v>
      </c>
      <c r="J618" s="32">
        <v>3017</v>
      </c>
      <c r="K618" s="32">
        <v>5458</v>
      </c>
      <c r="L618" s="32">
        <v>0.7</v>
      </c>
      <c r="M618" s="34">
        <v>5.0483266747739632</v>
      </c>
      <c r="N618" s="32">
        <v>105</v>
      </c>
      <c r="O618" s="32">
        <v>58</v>
      </c>
      <c r="P618" s="34">
        <f t="shared" si="9"/>
        <v>0.55238095238095242</v>
      </c>
    </row>
    <row r="619" spans="1:16">
      <c r="A619" s="32" t="s">
        <v>29</v>
      </c>
      <c r="B619" s="32">
        <v>200</v>
      </c>
      <c r="C619" s="32">
        <v>200</v>
      </c>
      <c r="D619" s="32">
        <v>19.25</v>
      </c>
      <c r="E619" s="32">
        <v>191.47084421235857</v>
      </c>
      <c r="F619" s="32">
        <v>4667.1018276762397</v>
      </c>
      <c r="G619" s="77">
        <v>4.5000000000000001E-6</v>
      </c>
      <c r="H619" s="32">
        <v>0.13400000000000001</v>
      </c>
      <c r="I619" s="32">
        <v>174</v>
      </c>
      <c r="J619" s="32">
        <v>3422</v>
      </c>
      <c r="K619" s="32">
        <v>5555</v>
      </c>
      <c r="L619" s="32">
        <v>0.75</v>
      </c>
      <c r="M619" s="34">
        <v>2.9796034888710983</v>
      </c>
      <c r="N619" s="32">
        <v>298</v>
      </c>
      <c r="O619" s="32">
        <v>73</v>
      </c>
      <c r="P619" s="34">
        <f t="shared" si="9"/>
        <v>0.24496644295302014</v>
      </c>
    </row>
    <row r="620" spans="1:16">
      <c r="A620" s="32" t="s">
        <v>29</v>
      </c>
      <c r="B620" s="32">
        <v>200</v>
      </c>
      <c r="C620" s="32">
        <v>400</v>
      </c>
      <c r="D620" s="32">
        <v>19.25</v>
      </c>
      <c r="E620" s="32">
        <v>191.47084421235857</v>
      </c>
      <c r="F620" s="32">
        <v>4667.1018276762397</v>
      </c>
      <c r="G620" s="77">
        <v>4.5000000000000001E-6</v>
      </c>
      <c r="H620" s="32">
        <v>0.13400000000000001</v>
      </c>
      <c r="I620" s="32">
        <v>174</v>
      </c>
      <c r="J620" s="32">
        <v>3422</v>
      </c>
      <c r="K620" s="32">
        <v>5555</v>
      </c>
      <c r="L620" s="32">
        <v>0.75</v>
      </c>
      <c r="M620" s="34">
        <v>2.1068978322278489</v>
      </c>
      <c r="N620" s="32">
        <v>288</v>
      </c>
      <c r="O620" s="32">
        <v>63</v>
      </c>
      <c r="P620" s="34">
        <f t="shared" si="9"/>
        <v>0.21875</v>
      </c>
    </row>
    <row r="621" spans="1:16">
      <c r="A621" s="32" t="s">
        <v>29</v>
      </c>
      <c r="B621" s="32">
        <v>200</v>
      </c>
      <c r="C621" s="32">
        <v>600</v>
      </c>
      <c r="D621" s="32">
        <v>19.25</v>
      </c>
      <c r="E621" s="32">
        <v>191.47084421235857</v>
      </c>
      <c r="F621" s="32">
        <v>4667.1018276762397</v>
      </c>
      <c r="G621" s="77">
        <v>4.5000000000000001E-6</v>
      </c>
      <c r="H621" s="32">
        <v>0.13400000000000001</v>
      </c>
      <c r="I621" s="32">
        <v>174</v>
      </c>
      <c r="J621" s="32">
        <v>3422</v>
      </c>
      <c r="K621" s="32">
        <v>5555</v>
      </c>
      <c r="L621" s="32">
        <v>0.75</v>
      </c>
      <c r="M621" s="34">
        <v>1.7202748763780764</v>
      </c>
      <c r="N621" s="32">
        <v>192</v>
      </c>
      <c r="O621" s="32">
        <v>33</v>
      </c>
      <c r="P621" s="34">
        <f t="shared" si="9"/>
        <v>0.171875</v>
      </c>
    </row>
    <row r="622" spans="1:16">
      <c r="A622" s="32" t="s">
        <v>29</v>
      </c>
      <c r="B622" s="32">
        <v>200</v>
      </c>
      <c r="C622" s="32">
        <v>800</v>
      </c>
      <c r="D622" s="32">
        <v>19.25</v>
      </c>
      <c r="E622" s="32">
        <v>191.47084421235857</v>
      </c>
      <c r="F622" s="32">
        <v>4667.1018276762397</v>
      </c>
      <c r="G622" s="77">
        <v>4.5000000000000001E-6</v>
      </c>
      <c r="H622" s="32">
        <v>0.13400000000000001</v>
      </c>
      <c r="I622" s="32">
        <v>174</v>
      </c>
      <c r="J622" s="32">
        <v>3422</v>
      </c>
      <c r="K622" s="32">
        <v>5555</v>
      </c>
      <c r="L622" s="32">
        <v>0.75</v>
      </c>
      <c r="M622" s="34">
        <v>1.4898017444355491</v>
      </c>
      <c r="N622" s="32">
        <v>120</v>
      </c>
      <c r="O622" s="32">
        <v>31</v>
      </c>
      <c r="P622" s="34">
        <f t="shared" si="9"/>
        <v>0.25833333333333336</v>
      </c>
    </row>
    <row r="623" spans="1:16">
      <c r="A623" s="32" t="s">
        <v>29</v>
      </c>
      <c r="B623" s="32">
        <v>200</v>
      </c>
      <c r="C623" s="32">
        <v>1200</v>
      </c>
      <c r="D623" s="32">
        <v>19.25</v>
      </c>
      <c r="E623" s="32">
        <v>191.47084421235857</v>
      </c>
      <c r="F623" s="32">
        <v>4667.1018276762397</v>
      </c>
      <c r="G623" s="77">
        <v>4.5000000000000001E-6</v>
      </c>
      <c r="H623" s="32">
        <v>0.13400000000000001</v>
      </c>
      <c r="I623" s="32">
        <v>174</v>
      </c>
      <c r="J623" s="32">
        <v>3422</v>
      </c>
      <c r="K623" s="32">
        <v>5555</v>
      </c>
      <c r="L623" s="32">
        <v>0.75</v>
      </c>
      <c r="M623" s="34">
        <v>1.2164180305917875</v>
      </c>
      <c r="N623" s="32">
        <v>115</v>
      </c>
      <c r="O623" s="32">
        <v>29</v>
      </c>
      <c r="P623" s="34">
        <f t="shared" si="9"/>
        <v>0.25217391304347825</v>
      </c>
    </row>
    <row r="624" spans="1:16">
      <c r="A624" s="32" t="s">
        <v>29</v>
      </c>
      <c r="B624" s="32">
        <v>200</v>
      </c>
      <c r="C624" s="32">
        <v>1600</v>
      </c>
      <c r="D624" s="32">
        <v>19.25</v>
      </c>
      <c r="E624" s="32">
        <v>191.47084421235857</v>
      </c>
      <c r="F624" s="32">
        <v>4667.1018276762397</v>
      </c>
      <c r="G624" s="77">
        <v>4.5000000000000001E-6</v>
      </c>
      <c r="H624" s="32">
        <v>0.13400000000000001</v>
      </c>
      <c r="I624" s="32">
        <v>174</v>
      </c>
      <c r="J624" s="32">
        <v>3422</v>
      </c>
      <c r="K624" s="32">
        <v>5555</v>
      </c>
      <c r="L624" s="32">
        <v>0.75</v>
      </c>
      <c r="M624" s="34">
        <v>1.0534489161139244</v>
      </c>
      <c r="N624" s="32">
        <v>94</v>
      </c>
      <c r="O624" s="32">
        <v>13.7</v>
      </c>
      <c r="P624" s="34">
        <f t="shared" si="9"/>
        <v>0.14574468085106382</v>
      </c>
    </row>
    <row r="625" spans="1:16">
      <c r="A625" s="32" t="s">
        <v>29</v>
      </c>
      <c r="B625" s="32">
        <v>200</v>
      </c>
      <c r="C625" s="32">
        <v>2000</v>
      </c>
      <c r="D625" s="32">
        <v>19.25</v>
      </c>
      <c r="E625" s="32">
        <v>191.47084421235857</v>
      </c>
      <c r="F625" s="32">
        <v>4667.1018276762397</v>
      </c>
      <c r="G625" s="77">
        <v>4.5000000000000001E-6</v>
      </c>
      <c r="H625" s="32">
        <v>0.13400000000000001</v>
      </c>
      <c r="I625" s="32">
        <v>174</v>
      </c>
      <c r="J625" s="32">
        <v>3422</v>
      </c>
      <c r="K625" s="32">
        <v>5555</v>
      </c>
      <c r="L625" s="32">
        <v>0.75</v>
      </c>
      <c r="M625" s="34">
        <v>0.94223335490168358</v>
      </c>
      <c r="N625" s="32">
        <v>73</v>
      </c>
      <c r="O625" s="32">
        <v>14</v>
      </c>
      <c r="P625" s="34">
        <f t="shared" si="9"/>
        <v>0.19178082191780821</v>
      </c>
    </row>
    <row r="626" spans="1:16">
      <c r="A626" s="32" t="s">
        <v>29</v>
      </c>
      <c r="B626" s="32">
        <v>200</v>
      </c>
      <c r="C626" s="32">
        <v>2400</v>
      </c>
      <c r="D626" s="32">
        <v>19.25</v>
      </c>
      <c r="E626" s="32">
        <v>191.47084421235857</v>
      </c>
      <c r="F626" s="32">
        <v>4667.1018276762397</v>
      </c>
      <c r="G626" s="77">
        <v>4.5000000000000001E-6</v>
      </c>
      <c r="H626" s="32">
        <v>0.13400000000000001</v>
      </c>
      <c r="I626" s="32">
        <v>174</v>
      </c>
      <c r="J626" s="32">
        <v>3422</v>
      </c>
      <c r="K626" s="32">
        <v>5555</v>
      </c>
      <c r="L626" s="32">
        <v>0.75</v>
      </c>
      <c r="M626" s="34">
        <v>0.86013743818903821</v>
      </c>
      <c r="N626" s="32">
        <v>62</v>
      </c>
      <c r="O626" s="32">
        <v>9.5</v>
      </c>
      <c r="P626" s="34">
        <f t="shared" si="9"/>
        <v>0.15322580645161291</v>
      </c>
    </row>
    <row r="627" spans="1:16">
      <c r="A627" s="32" t="s">
        <v>29</v>
      </c>
      <c r="B627" s="32">
        <v>350</v>
      </c>
      <c r="C627" s="32">
        <v>400</v>
      </c>
      <c r="D627" s="32">
        <v>19.25</v>
      </c>
      <c r="E627" s="32">
        <v>191.47084421235857</v>
      </c>
      <c r="F627" s="32">
        <v>4667.1018276762397</v>
      </c>
      <c r="G627" s="77">
        <v>4.5000000000000001E-6</v>
      </c>
      <c r="H627" s="32">
        <v>0.13400000000000001</v>
      </c>
      <c r="I627" s="32">
        <v>174</v>
      </c>
      <c r="J627" s="32">
        <v>3422</v>
      </c>
      <c r="K627" s="32">
        <v>5555</v>
      </c>
      <c r="L627" s="32">
        <v>0.75</v>
      </c>
      <c r="M627" s="34">
        <v>3.6870712063987354</v>
      </c>
      <c r="N627" s="32">
        <v>160</v>
      </c>
      <c r="O627" s="32">
        <v>28.8</v>
      </c>
      <c r="P627" s="34">
        <f t="shared" si="9"/>
        <v>0.18</v>
      </c>
    </row>
    <row r="628" spans="1:16">
      <c r="A628" s="32" t="s">
        <v>29</v>
      </c>
      <c r="B628" s="32">
        <v>350</v>
      </c>
      <c r="C628" s="32">
        <v>600</v>
      </c>
      <c r="D628" s="32">
        <v>19.25</v>
      </c>
      <c r="E628" s="32">
        <v>191.47084421235857</v>
      </c>
      <c r="F628" s="32">
        <v>4667.1018276762397</v>
      </c>
      <c r="G628" s="77">
        <v>4.5000000000000001E-6</v>
      </c>
      <c r="H628" s="32">
        <v>0.13400000000000001</v>
      </c>
      <c r="I628" s="32">
        <v>174</v>
      </c>
      <c r="J628" s="32">
        <v>3422</v>
      </c>
      <c r="K628" s="32">
        <v>5555</v>
      </c>
      <c r="L628" s="32">
        <v>0.75</v>
      </c>
      <c r="M628" s="34">
        <v>3.0104810336616339</v>
      </c>
      <c r="N628" s="32">
        <v>150</v>
      </c>
      <c r="O628" s="32">
        <v>24</v>
      </c>
      <c r="P628" s="34">
        <f t="shared" si="9"/>
        <v>0.16</v>
      </c>
    </row>
    <row r="629" spans="1:16">
      <c r="A629" s="32" t="s">
        <v>29</v>
      </c>
      <c r="B629" s="32">
        <v>350</v>
      </c>
      <c r="C629" s="32">
        <v>800</v>
      </c>
      <c r="D629" s="32">
        <v>19.25</v>
      </c>
      <c r="E629" s="32">
        <v>191.47084421235857</v>
      </c>
      <c r="F629" s="32">
        <v>4667.1018276762397</v>
      </c>
      <c r="G629" s="77">
        <v>4.5000000000000001E-6</v>
      </c>
      <c r="H629" s="32">
        <v>0.13400000000000001</v>
      </c>
      <c r="I629" s="32">
        <v>174</v>
      </c>
      <c r="J629" s="32">
        <v>3422</v>
      </c>
      <c r="K629" s="32">
        <v>5555</v>
      </c>
      <c r="L629" s="32">
        <v>0.75</v>
      </c>
      <c r="M629" s="34">
        <v>2.6071530527622109</v>
      </c>
      <c r="N629" s="32">
        <v>138</v>
      </c>
      <c r="O629" s="32">
        <v>20</v>
      </c>
      <c r="P629" s="34">
        <f t="shared" si="9"/>
        <v>0.14492753623188406</v>
      </c>
    </row>
    <row r="630" spans="1:16">
      <c r="A630" s="32" t="s">
        <v>29</v>
      </c>
      <c r="B630" s="32">
        <v>350</v>
      </c>
      <c r="C630" s="32">
        <v>1000</v>
      </c>
      <c r="D630" s="32">
        <v>19.25</v>
      </c>
      <c r="E630" s="32">
        <v>191.47084421235857</v>
      </c>
      <c r="F630" s="32">
        <v>4667.1018276762397</v>
      </c>
      <c r="G630" s="77">
        <v>4.5000000000000001E-6</v>
      </c>
      <c r="H630" s="32">
        <v>0.13400000000000001</v>
      </c>
      <c r="I630" s="32">
        <v>174</v>
      </c>
      <c r="J630" s="32">
        <v>3422</v>
      </c>
      <c r="K630" s="32">
        <v>5555</v>
      </c>
      <c r="L630" s="32">
        <v>0.75</v>
      </c>
      <c r="M630" s="34">
        <v>2.3319085814889595</v>
      </c>
      <c r="N630" s="32">
        <v>126</v>
      </c>
      <c r="O630" s="32">
        <v>22</v>
      </c>
      <c r="P630" s="34">
        <f t="shared" si="9"/>
        <v>0.17460317460317459</v>
      </c>
    </row>
    <row r="631" spans="1:16">
      <c r="A631" s="32" t="s">
        <v>29</v>
      </c>
      <c r="B631" s="32">
        <v>350</v>
      </c>
      <c r="C631" s="32">
        <v>1200</v>
      </c>
      <c r="D631" s="32">
        <v>19.25</v>
      </c>
      <c r="E631" s="32">
        <v>191.47084421235857</v>
      </c>
      <c r="F631" s="32">
        <v>4667.1018276762397</v>
      </c>
      <c r="G631" s="77">
        <v>4.5000000000000001E-6</v>
      </c>
      <c r="H631" s="32">
        <v>0.13400000000000001</v>
      </c>
      <c r="I631" s="32">
        <v>174</v>
      </c>
      <c r="J631" s="32">
        <v>3422</v>
      </c>
      <c r="K631" s="32">
        <v>5555</v>
      </c>
      <c r="L631" s="32">
        <v>0.75</v>
      </c>
      <c r="M631" s="34">
        <v>2.1287315535356282</v>
      </c>
      <c r="N631" s="32">
        <v>109.8</v>
      </c>
      <c r="O631" s="32">
        <v>21</v>
      </c>
      <c r="P631" s="34">
        <f t="shared" si="9"/>
        <v>0.19125683060109291</v>
      </c>
    </row>
    <row r="632" spans="1:16">
      <c r="A632" s="32" t="s">
        <v>29</v>
      </c>
      <c r="B632" s="32">
        <v>350</v>
      </c>
      <c r="C632" s="32">
        <v>1600</v>
      </c>
      <c r="D632" s="32">
        <v>19.25</v>
      </c>
      <c r="E632" s="32">
        <v>191.47084421235857</v>
      </c>
      <c r="F632" s="32">
        <v>4667.1018276762397</v>
      </c>
      <c r="G632" s="77">
        <v>4.5000000000000001E-6</v>
      </c>
      <c r="H632" s="32">
        <v>0.13400000000000001</v>
      </c>
      <c r="I632" s="32">
        <v>174</v>
      </c>
      <c r="J632" s="32">
        <v>3422</v>
      </c>
      <c r="K632" s="32">
        <v>5555</v>
      </c>
      <c r="L632" s="32">
        <v>0.75</v>
      </c>
      <c r="M632" s="34">
        <v>1.8435356031993677</v>
      </c>
      <c r="N632" s="32">
        <v>87</v>
      </c>
      <c r="O632" s="32">
        <v>26</v>
      </c>
      <c r="P632" s="34">
        <f t="shared" si="9"/>
        <v>0.2988505747126437</v>
      </c>
    </row>
    <row r="633" spans="1:16">
      <c r="A633" s="32" t="s">
        <v>29</v>
      </c>
      <c r="B633" s="32">
        <v>350</v>
      </c>
      <c r="C633" s="32">
        <v>2000</v>
      </c>
      <c r="D633" s="32">
        <v>19.25</v>
      </c>
      <c r="E633" s="32">
        <v>191.47084421235857</v>
      </c>
      <c r="F633" s="32">
        <v>4667.1018276762397</v>
      </c>
      <c r="G633" s="77">
        <v>4.5000000000000001E-6</v>
      </c>
      <c r="H633" s="32">
        <v>0.13400000000000001</v>
      </c>
      <c r="I633" s="32">
        <v>174</v>
      </c>
      <c r="J633" s="32">
        <v>3422</v>
      </c>
      <c r="K633" s="32">
        <v>5555</v>
      </c>
      <c r="L633" s="32">
        <v>0.75</v>
      </c>
      <c r="M633" s="34">
        <v>1.6489083710779462</v>
      </c>
      <c r="N633" s="32">
        <v>98</v>
      </c>
      <c r="O633" s="32">
        <v>21</v>
      </c>
      <c r="P633" s="34">
        <f t="shared" si="9"/>
        <v>0.21428571428571427</v>
      </c>
    </row>
    <row r="634" spans="1:16">
      <c r="A634" s="32" t="s">
        <v>29</v>
      </c>
      <c r="B634" s="32">
        <v>350</v>
      </c>
      <c r="C634" s="32">
        <v>2400</v>
      </c>
      <c r="D634" s="32">
        <v>19.25</v>
      </c>
      <c r="E634" s="32">
        <v>191.47084421235857</v>
      </c>
      <c r="F634" s="32">
        <v>4667.1018276762397</v>
      </c>
      <c r="G634" s="77">
        <v>4.5000000000000001E-6</v>
      </c>
      <c r="H634" s="32">
        <v>0.13400000000000001</v>
      </c>
      <c r="I634" s="32">
        <v>174</v>
      </c>
      <c r="J634" s="32">
        <v>3422</v>
      </c>
      <c r="K634" s="32">
        <v>5555</v>
      </c>
      <c r="L634" s="32">
        <v>0.75</v>
      </c>
      <c r="M634" s="34">
        <v>1.5052405168308169</v>
      </c>
      <c r="N634" s="32">
        <v>102</v>
      </c>
      <c r="O634" s="32">
        <v>13.9</v>
      </c>
      <c r="P634" s="34">
        <f t="shared" si="9"/>
        <v>0.13627450980392158</v>
      </c>
    </row>
    <row r="635" spans="1:16">
      <c r="A635" s="32" t="s">
        <v>29</v>
      </c>
      <c r="B635" s="32">
        <v>100</v>
      </c>
      <c r="C635" s="32">
        <v>300</v>
      </c>
      <c r="D635" s="32">
        <v>19.25</v>
      </c>
      <c r="E635" s="32">
        <v>191.47084421235857</v>
      </c>
      <c r="F635" s="32">
        <v>4667.1018276762397</v>
      </c>
      <c r="G635" s="77">
        <v>4.5000000000000001E-6</v>
      </c>
      <c r="H635" s="32">
        <v>0.13400000000000001</v>
      </c>
      <c r="I635" s="32">
        <v>174</v>
      </c>
      <c r="J635" s="32">
        <v>3422</v>
      </c>
      <c r="K635" s="32">
        <v>5555</v>
      </c>
      <c r="L635" s="32">
        <v>0.75</v>
      </c>
      <c r="M635" s="34">
        <v>1.2164180305917875</v>
      </c>
      <c r="N635" s="32">
        <v>112.48</v>
      </c>
      <c r="O635" s="32">
        <v>39.35</v>
      </c>
      <c r="P635" s="34">
        <f t="shared" si="9"/>
        <v>0.34983997155049784</v>
      </c>
    </row>
    <row r="636" spans="1:16">
      <c r="A636" s="32" t="s">
        <v>29</v>
      </c>
      <c r="B636" s="32">
        <v>150</v>
      </c>
      <c r="C636" s="32">
        <v>300</v>
      </c>
      <c r="D636" s="32">
        <v>19.25</v>
      </c>
      <c r="E636" s="32">
        <v>191.47084421235857</v>
      </c>
      <c r="F636" s="32">
        <v>4667.1018276762397</v>
      </c>
      <c r="G636" s="77">
        <v>4.5000000000000001E-6</v>
      </c>
      <c r="H636" s="32">
        <v>0.13400000000000001</v>
      </c>
      <c r="I636" s="32">
        <v>174</v>
      </c>
      <c r="J636" s="32">
        <v>3422</v>
      </c>
      <c r="K636" s="32">
        <v>5555</v>
      </c>
      <c r="L636" s="32">
        <v>0.75</v>
      </c>
      <c r="M636" s="34">
        <v>1.8246270458876814</v>
      </c>
      <c r="N636" s="32">
        <v>202.24</v>
      </c>
      <c r="O636" s="32">
        <v>103.27</v>
      </c>
      <c r="P636" s="34">
        <f t="shared" si="9"/>
        <v>0.51063093354430378</v>
      </c>
    </row>
    <row r="637" spans="1:16">
      <c r="A637" s="32" t="s">
        <v>29</v>
      </c>
      <c r="B637" s="32">
        <v>200</v>
      </c>
      <c r="C637" s="32">
        <v>300</v>
      </c>
      <c r="D637" s="32">
        <v>19.25</v>
      </c>
      <c r="E637" s="32">
        <v>191.47084421235857</v>
      </c>
      <c r="F637" s="32">
        <v>4667.1018276762397</v>
      </c>
      <c r="G637" s="77">
        <v>4.5000000000000001E-6</v>
      </c>
      <c r="H637" s="32">
        <v>0.13400000000000001</v>
      </c>
      <c r="I637" s="32">
        <v>174</v>
      </c>
      <c r="J637" s="32">
        <v>3422</v>
      </c>
      <c r="K637" s="32">
        <v>5555</v>
      </c>
      <c r="L637" s="32">
        <v>0.75</v>
      </c>
      <c r="M637" s="34">
        <v>2.4328360611835751</v>
      </c>
      <c r="N637" s="32">
        <v>210.25</v>
      </c>
      <c r="O637" s="32">
        <v>83.36</v>
      </c>
      <c r="P637" s="34">
        <f t="shared" si="9"/>
        <v>0.39648038049940548</v>
      </c>
    </row>
    <row r="638" spans="1:16">
      <c r="A638" s="32" t="s">
        <v>29</v>
      </c>
      <c r="B638" s="32">
        <v>250</v>
      </c>
      <c r="C638" s="32">
        <v>300</v>
      </c>
      <c r="D638" s="32">
        <v>19.25</v>
      </c>
      <c r="E638" s="32">
        <v>191.47084421235857</v>
      </c>
      <c r="F638" s="32">
        <v>4667.1018276762397</v>
      </c>
      <c r="G638" s="77">
        <v>4.5000000000000001E-6</v>
      </c>
      <c r="H638" s="32">
        <v>0.13400000000000001</v>
      </c>
      <c r="I638" s="32">
        <v>174</v>
      </c>
      <c r="J638" s="32">
        <v>3422</v>
      </c>
      <c r="K638" s="32">
        <v>5555</v>
      </c>
      <c r="L638" s="32">
        <v>0.75</v>
      </c>
      <c r="M638" s="34">
        <v>3.041045076479469</v>
      </c>
      <c r="N638" s="32">
        <v>275.89999999999998</v>
      </c>
      <c r="O638" s="32">
        <v>190.5</v>
      </c>
      <c r="P638" s="34">
        <f t="shared" si="9"/>
        <v>0.69046756071040238</v>
      </c>
    </row>
    <row r="639" spans="1:16">
      <c r="A639" s="32" t="s">
        <v>29</v>
      </c>
      <c r="B639" s="32">
        <v>300</v>
      </c>
      <c r="C639" s="32">
        <v>300</v>
      </c>
      <c r="D639" s="32">
        <v>19.25</v>
      </c>
      <c r="E639" s="32">
        <v>191.47084421235857</v>
      </c>
      <c r="F639" s="32">
        <v>4667.1018276762397</v>
      </c>
      <c r="G639" s="77">
        <v>4.5000000000000001E-6</v>
      </c>
      <c r="H639" s="32">
        <v>0.13400000000000001</v>
      </c>
      <c r="I639" s="32">
        <v>174</v>
      </c>
      <c r="J639" s="32">
        <v>3422</v>
      </c>
      <c r="K639" s="32">
        <v>5555</v>
      </c>
      <c r="L639" s="32">
        <v>0.75</v>
      </c>
      <c r="M639" s="34">
        <v>3.6492540917753629</v>
      </c>
      <c r="N639" s="32">
        <v>274.7</v>
      </c>
      <c r="O639" s="32">
        <v>185.22</v>
      </c>
      <c r="P639" s="34">
        <f t="shared" si="9"/>
        <v>0.6742628321805606</v>
      </c>
    </row>
    <row r="640" spans="1:16">
      <c r="A640" s="32" t="s">
        <v>29</v>
      </c>
      <c r="B640" s="32">
        <v>100</v>
      </c>
      <c r="C640" s="32">
        <v>600</v>
      </c>
      <c r="D640" s="32">
        <v>19.25</v>
      </c>
      <c r="E640" s="32">
        <v>191.47084421235857</v>
      </c>
      <c r="F640" s="32">
        <v>4667.1018276762397</v>
      </c>
      <c r="G640" s="77">
        <v>4.5000000000000001E-6</v>
      </c>
      <c r="H640" s="32">
        <v>0.13400000000000001</v>
      </c>
      <c r="I640" s="32">
        <v>174</v>
      </c>
      <c r="J640" s="32">
        <v>3422</v>
      </c>
      <c r="K640" s="32">
        <v>5555</v>
      </c>
      <c r="L640" s="32">
        <v>0.75</v>
      </c>
      <c r="M640" s="34">
        <v>0.86013743818903821</v>
      </c>
      <c r="N640" s="32">
        <v>60.63</v>
      </c>
      <c r="O640" s="32">
        <v>21.48</v>
      </c>
      <c r="P640" s="34">
        <f t="shared" si="9"/>
        <v>0.35428005937654627</v>
      </c>
    </row>
    <row r="641" spans="1:16">
      <c r="A641" s="32" t="s">
        <v>29</v>
      </c>
      <c r="B641" s="32">
        <v>150</v>
      </c>
      <c r="C641" s="32">
        <v>600</v>
      </c>
      <c r="D641" s="32">
        <v>19.25</v>
      </c>
      <c r="E641" s="32">
        <v>191.47084421235857</v>
      </c>
      <c r="F641" s="32">
        <v>4667.1018276762397</v>
      </c>
      <c r="G641" s="77">
        <v>4.5000000000000001E-6</v>
      </c>
      <c r="H641" s="32">
        <v>0.13400000000000001</v>
      </c>
      <c r="I641" s="32">
        <v>174</v>
      </c>
      <c r="J641" s="32">
        <v>3422</v>
      </c>
      <c r="K641" s="32">
        <v>5555</v>
      </c>
      <c r="L641" s="32">
        <v>0.75</v>
      </c>
      <c r="M641" s="34">
        <v>1.2902061572835573</v>
      </c>
      <c r="N641" s="32">
        <v>77.89</v>
      </c>
      <c r="O641" s="32">
        <v>23.57</v>
      </c>
      <c r="P641" s="34">
        <f t="shared" si="9"/>
        <v>0.30260623956862243</v>
      </c>
    </row>
    <row r="642" spans="1:16">
      <c r="A642" s="32" t="s">
        <v>29</v>
      </c>
      <c r="B642" s="32">
        <v>200</v>
      </c>
      <c r="C642" s="32">
        <v>600</v>
      </c>
      <c r="D642" s="32">
        <v>19.25</v>
      </c>
      <c r="E642" s="32">
        <v>191.47084421235857</v>
      </c>
      <c r="F642" s="32">
        <v>4667.1018276762397</v>
      </c>
      <c r="G642" s="77">
        <v>4.5000000000000001E-6</v>
      </c>
      <c r="H642" s="32">
        <v>0.13400000000000001</v>
      </c>
      <c r="I642" s="32">
        <v>174</v>
      </c>
      <c r="J642" s="32">
        <v>3422</v>
      </c>
      <c r="K642" s="32">
        <v>5555</v>
      </c>
      <c r="L642" s="32">
        <v>0.75</v>
      </c>
      <c r="M642" s="34">
        <v>1.7202748763780764</v>
      </c>
      <c r="N642" s="32">
        <v>113.31</v>
      </c>
      <c r="O642" s="32">
        <v>36.26</v>
      </c>
      <c r="P642" s="34">
        <f t="shared" si="9"/>
        <v>0.32000706027711584</v>
      </c>
    </row>
    <row r="643" spans="1:16">
      <c r="A643" s="32" t="s">
        <v>29</v>
      </c>
      <c r="B643" s="32">
        <v>250</v>
      </c>
      <c r="C643" s="32">
        <v>600</v>
      </c>
      <c r="D643" s="32">
        <v>19.25</v>
      </c>
      <c r="E643" s="32">
        <v>191.47084421235857</v>
      </c>
      <c r="F643" s="32">
        <v>4667.1018276762397</v>
      </c>
      <c r="G643" s="77">
        <v>4.5000000000000001E-6</v>
      </c>
      <c r="H643" s="32">
        <v>0.13400000000000001</v>
      </c>
      <c r="I643" s="32">
        <v>174</v>
      </c>
      <c r="J643" s="32">
        <v>3422</v>
      </c>
      <c r="K643" s="32">
        <v>5555</v>
      </c>
      <c r="L643" s="32">
        <v>0.75</v>
      </c>
      <c r="M643" s="34">
        <v>2.1503435954725956</v>
      </c>
      <c r="N643" s="32">
        <v>138</v>
      </c>
      <c r="O643" s="32">
        <v>86.61</v>
      </c>
      <c r="P643" s="34">
        <f t="shared" si="9"/>
        <v>0.62760869565217392</v>
      </c>
    </row>
    <row r="644" spans="1:16">
      <c r="A644" s="32" t="s">
        <v>29</v>
      </c>
      <c r="B644" s="32">
        <v>300</v>
      </c>
      <c r="C644" s="32">
        <v>600</v>
      </c>
      <c r="D644" s="32">
        <v>19.25</v>
      </c>
      <c r="E644" s="32">
        <v>191.47084421235857</v>
      </c>
      <c r="F644" s="32">
        <v>4667.1018276762397</v>
      </c>
      <c r="G644" s="77">
        <v>4.5000000000000001E-6</v>
      </c>
      <c r="H644" s="32">
        <v>0.13400000000000001</v>
      </c>
      <c r="I644" s="32">
        <v>174</v>
      </c>
      <c r="J644" s="32">
        <v>3422</v>
      </c>
      <c r="K644" s="32">
        <v>5555</v>
      </c>
      <c r="L644" s="32">
        <v>0.75</v>
      </c>
      <c r="M644" s="34">
        <v>2.5804123145671145</v>
      </c>
      <c r="N644" s="32">
        <v>253.25</v>
      </c>
      <c r="O644" s="32">
        <v>174.15</v>
      </c>
      <c r="P644" s="34">
        <f t="shared" si="9"/>
        <v>0.6876604146100691</v>
      </c>
    </row>
    <row r="645" spans="1:16">
      <c r="A645" s="32" t="s">
        <v>29</v>
      </c>
      <c r="B645" s="32">
        <v>100</v>
      </c>
      <c r="C645" s="32">
        <v>900</v>
      </c>
      <c r="D645" s="32">
        <v>19.25</v>
      </c>
      <c r="E645" s="32">
        <v>191.47084421235857</v>
      </c>
      <c r="F645" s="32">
        <v>4667.1018276762397</v>
      </c>
      <c r="G645" s="77">
        <v>4.5000000000000001E-6</v>
      </c>
      <c r="H645" s="32">
        <v>0.13400000000000001</v>
      </c>
      <c r="I645" s="32">
        <v>174</v>
      </c>
      <c r="J645" s="32">
        <v>3422</v>
      </c>
      <c r="K645" s="32">
        <v>5555</v>
      </c>
      <c r="L645" s="32">
        <v>0.75</v>
      </c>
      <c r="M645" s="34">
        <v>0.70229927740928288</v>
      </c>
      <c r="N645" s="32">
        <v>46.57</v>
      </c>
      <c r="O645" s="32">
        <v>17.32</v>
      </c>
      <c r="P645" s="34">
        <f t="shared" ref="P645:P696" si="10">O645/N645</f>
        <v>0.3719132488726648</v>
      </c>
    </row>
    <row r="646" spans="1:16">
      <c r="A646" s="32" t="s">
        <v>29</v>
      </c>
      <c r="B646" s="32">
        <v>150</v>
      </c>
      <c r="C646" s="32">
        <v>900</v>
      </c>
      <c r="D646" s="32">
        <v>19.25</v>
      </c>
      <c r="E646" s="32">
        <v>191.47084421235857</v>
      </c>
      <c r="F646" s="32">
        <v>4667.1018276762397</v>
      </c>
      <c r="G646" s="77">
        <v>4.5000000000000001E-6</v>
      </c>
      <c r="H646" s="32">
        <v>0.13400000000000001</v>
      </c>
      <c r="I646" s="32">
        <v>174</v>
      </c>
      <c r="J646" s="32">
        <v>3422</v>
      </c>
      <c r="K646" s="32">
        <v>5555</v>
      </c>
      <c r="L646" s="32">
        <v>0.75</v>
      </c>
      <c r="M646" s="34">
        <v>1.0534489161139244</v>
      </c>
      <c r="N646" s="32">
        <v>60.49</v>
      </c>
      <c r="O646" s="32">
        <v>22.48</v>
      </c>
      <c r="P646" s="34">
        <f t="shared" si="10"/>
        <v>0.37163167465696811</v>
      </c>
    </row>
    <row r="647" spans="1:16">
      <c r="A647" s="32" t="s">
        <v>29</v>
      </c>
      <c r="B647" s="32">
        <v>200</v>
      </c>
      <c r="C647" s="32">
        <v>900</v>
      </c>
      <c r="D647" s="32">
        <v>19.25</v>
      </c>
      <c r="E647" s="32">
        <v>191.47084421235857</v>
      </c>
      <c r="F647" s="32">
        <v>4667.1018276762397</v>
      </c>
      <c r="G647" s="77">
        <v>4.5000000000000001E-6</v>
      </c>
      <c r="H647" s="32">
        <v>0.13400000000000001</v>
      </c>
      <c r="I647" s="32">
        <v>174</v>
      </c>
      <c r="J647" s="32">
        <v>3422</v>
      </c>
      <c r="K647" s="32">
        <v>5555</v>
      </c>
      <c r="L647" s="32">
        <v>0.75</v>
      </c>
      <c r="M647" s="34">
        <v>1.4045985548185658</v>
      </c>
      <c r="N647" s="32">
        <v>66.67</v>
      </c>
      <c r="O647" s="32">
        <v>34.9</v>
      </c>
      <c r="P647" s="34">
        <f t="shared" si="10"/>
        <v>0.52347382630868455</v>
      </c>
    </row>
    <row r="648" spans="1:16">
      <c r="A648" s="32" t="s">
        <v>29</v>
      </c>
      <c r="B648" s="32">
        <v>250</v>
      </c>
      <c r="C648" s="32">
        <v>900</v>
      </c>
      <c r="D648" s="32">
        <v>19.25</v>
      </c>
      <c r="E648" s="32">
        <v>191.47084421235857</v>
      </c>
      <c r="F648" s="32">
        <v>4667.1018276762397</v>
      </c>
      <c r="G648" s="77">
        <v>4.5000000000000001E-6</v>
      </c>
      <c r="H648" s="32">
        <v>0.13400000000000001</v>
      </c>
      <c r="I648" s="32">
        <v>174</v>
      </c>
      <c r="J648" s="32">
        <v>3422</v>
      </c>
      <c r="K648" s="32">
        <v>5555</v>
      </c>
      <c r="L648" s="32">
        <v>0.75</v>
      </c>
      <c r="M648" s="34">
        <v>1.7557481935232073</v>
      </c>
      <c r="N648" s="32">
        <v>89.59</v>
      </c>
      <c r="O648" s="32">
        <v>39.32</v>
      </c>
      <c r="P648" s="34">
        <f t="shared" si="10"/>
        <v>0.43888826877999776</v>
      </c>
    </row>
    <row r="649" spans="1:16">
      <c r="A649" s="32" t="s">
        <v>29</v>
      </c>
      <c r="B649" s="32">
        <v>300</v>
      </c>
      <c r="C649" s="32">
        <v>900</v>
      </c>
      <c r="D649" s="32">
        <v>19.25</v>
      </c>
      <c r="E649" s="32">
        <v>191.47084421235857</v>
      </c>
      <c r="F649" s="32">
        <v>4667.1018276762397</v>
      </c>
      <c r="G649" s="77">
        <v>4.5000000000000001E-6</v>
      </c>
      <c r="H649" s="32">
        <v>0.13400000000000001</v>
      </c>
      <c r="I649" s="32">
        <v>174</v>
      </c>
      <c r="J649" s="32">
        <v>3422</v>
      </c>
      <c r="K649" s="32">
        <v>5555</v>
      </c>
      <c r="L649" s="32">
        <v>0.75</v>
      </c>
      <c r="M649" s="34">
        <v>2.1068978322278489</v>
      </c>
      <c r="N649" s="32">
        <v>85.74</v>
      </c>
      <c r="O649" s="32">
        <v>50.81</v>
      </c>
      <c r="P649" s="34">
        <f t="shared" si="10"/>
        <v>0.59260555166783302</v>
      </c>
    </row>
    <row r="650" spans="1:16">
      <c r="A650" s="32" t="s">
        <v>61</v>
      </c>
      <c r="B650" s="32">
        <v>200</v>
      </c>
      <c r="C650" s="32">
        <v>200</v>
      </c>
      <c r="D650" s="25">
        <v>21.02</v>
      </c>
      <c r="E650" s="29">
        <v>177.2221237654868</v>
      </c>
      <c r="F650" s="29">
        <v>3796.8497424908837</v>
      </c>
      <c r="G650" s="36">
        <v>6.1999999999999999E-6</v>
      </c>
      <c r="H650" s="25">
        <v>0.13700000000000001</v>
      </c>
      <c r="I650" s="25">
        <v>48</v>
      </c>
      <c r="J650" s="25">
        <v>3186</v>
      </c>
      <c r="K650" s="25">
        <v>5596</v>
      </c>
      <c r="L650" s="25">
        <v>0.7</v>
      </c>
      <c r="M650" s="34">
        <v>6.9799778543236739</v>
      </c>
      <c r="N650" s="32">
        <v>112</v>
      </c>
      <c r="O650" s="32">
        <v>38.43</v>
      </c>
      <c r="P650" s="34">
        <f t="shared" si="10"/>
        <v>0.34312500000000001</v>
      </c>
    </row>
    <row r="651" spans="1:16">
      <c r="A651" s="32" t="s">
        <v>61</v>
      </c>
      <c r="B651" s="32">
        <v>200</v>
      </c>
      <c r="C651" s="32">
        <v>400</v>
      </c>
      <c r="D651" s="25">
        <v>21.02</v>
      </c>
      <c r="E651" s="29">
        <v>177.2221237654868</v>
      </c>
      <c r="F651" s="29">
        <v>3796.8497424908837</v>
      </c>
      <c r="G651" s="36">
        <v>6.1999999999999999E-6</v>
      </c>
      <c r="H651" s="25">
        <v>0.13700000000000001</v>
      </c>
      <c r="I651" s="25">
        <v>48</v>
      </c>
      <c r="J651" s="25">
        <v>3186</v>
      </c>
      <c r="K651" s="25">
        <v>5596</v>
      </c>
      <c r="L651" s="25">
        <v>0.7</v>
      </c>
      <c r="M651" s="34">
        <v>4.9355896733241984</v>
      </c>
      <c r="N651" s="32">
        <v>104</v>
      </c>
      <c r="O651" s="32">
        <v>35.880000000000003</v>
      </c>
      <c r="P651" s="34">
        <f t="shared" si="10"/>
        <v>0.34500000000000003</v>
      </c>
    </row>
    <row r="652" spans="1:16">
      <c r="A652" s="32" t="s">
        <v>61</v>
      </c>
      <c r="B652" s="32">
        <v>200</v>
      </c>
      <c r="C652" s="32">
        <v>600</v>
      </c>
      <c r="D652" s="25">
        <v>21.02</v>
      </c>
      <c r="E652" s="29">
        <v>177.2221237654868</v>
      </c>
      <c r="F652" s="29">
        <v>3796.8497424908837</v>
      </c>
      <c r="G652" s="36">
        <v>6.1999999999999999E-6</v>
      </c>
      <c r="H652" s="25">
        <v>0.13700000000000001</v>
      </c>
      <c r="I652" s="25">
        <v>48</v>
      </c>
      <c r="J652" s="25">
        <v>3186</v>
      </c>
      <c r="K652" s="25">
        <v>5596</v>
      </c>
      <c r="L652" s="25">
        <v>0.7</v>
      </c>
      <c r="M652" s="34">
        <v>4.0298920931314006</v>
      </c>
      <c r="N652" s="32">
        <v>91</v>
      </c>
      <c r="O652" s="32">
        <v>31.96</v>
      </c>
      <c r="P652" s="34">
        <f t="shared" si="10"/>
        <v>0.35120879120879123</v>
      </c>
    </row>
    <row r="653" spans="1:16">
      <c r="A653" s="32" t="s">
        <v>61</v>
      </c>
      <c r="B653" s="32">
        <v>200</v>
      </c>
      <c r="C653" s="32">
        <v>800</v>
      </c>
      <c r="D653" s="25">
        <v>21.02</v>
      </c>
      <c r="E653" s="29">
        <v>177.2221237654868</v>
      </c>
      <c r="F653" s="29">
        <v>3796.8497424908837</v>
      </c>
      <c r="G653" s="36">
        <v>6.1999999999999999E-6</v>
      </c>
      <c r="H653" s="25">
        <v>0.13700000000000001</v>
      </c>
      <c r="I653" s="25">
        <v>48</v>
      </c>
      <c r="J653" s="25">
        <v>3186</v>
      </c>
      <c r="K653" s="25">
        <v>5596</v>
      </c>
      <c r="L653" s="25">
        <v>0.7</v>
      </c>
      <c r="M653" s="34">
        <v>3.489988927161837</v>
      </c>
      <c r="N653" s="32">
        <v>87</v>
      </c>
      <c r="O653" s="32">
        <v>20.65</v>
      </c>
      <c r="P653" s="34">
        <f t="shared" si="10"/>
        <v>0.23735632183908045</v>
      </c>
    </row>
    <row r="654" spans="1:16">
      <c r="A654" s="32" t="s">
        <v>61</v>
      </c>
      <c r="B654" s="32">
        <v>200</v>
      </c>
      <c r="C654" s="32">
        <v>1200</v>
      </c>
      <c r="D654" s="25">
        <v>21.02</v>
      </c>
      <c r="E654" s="29">
        <v>177.2221237654868</v>
      </c>
      <c r="F654" s="29">
        <v>3796.8497424908837</v>
      </c>
      <c r="G654" s="36">
        <v>6.1999999999999999E-6</v>
      </c>
      <c r="H654" s="25">
        <v>0.13700000000000001</v>
      </c>
      <c r="I654" s="25">
        <v>48</v>
      </c>
      <c r="J654" s="25">
        <v>3186</v>
      </c>
      <c r="K654" s="25">
        <v>5596</v>
      </c>
      <c r="L654" s="25">
        <v>0.7</v>
      </c>
      <c r="M654" s="34">
        <v>2.8495640265032631</v>
      </c>
      <c r="N654" s="32">
        <v>79</v>
      </c>
      <c r="O654" s="32">
        <v>15.93</v>
      </c>
      <c r="P654" s="34">
        <f t="shared" si="10"/>
        <v>0.20164556962025315</v>
      </c>
    </row>
    <row r="655" spans="1:16">
      <c r="A655" s="32" t="s">
        <v>61</v>
      </c>
      <c r="B655" s="32">
        <v>200</v>
      </c>
      <c r="C655" s="32">
        <v>1600</v>
      </c>
      <c r="D655" s="25">
        <v>21.02</v>
      </c>
      <c r="E655" s="29">
        <v>177.2221237654868</v>
      </c>
      <c r="F655" s="29">
        <v>3796.8497424908837</v>
      </c>
      <c r="G655" s="36">
        <v>6.1999999999999999E-6</v>
      </c>
      <c r="H655" s="25">
        <v>0.13700000000000001</v>
      </c>
      <c r="I655" s="25">
        <v>48</v>
      </c>
      <c r="J655" s="25">
        <v>3186</v>
      </c>
      <c r="K655" s="25">
        <v>5596</v>
      </c>
      <c r="L655" s="25">
        <v>0.7</v>
      </c>
      <c r="M655" s="34">
        <v>2.4677948366620992</v>
      </c>
      <c r="N655" s="32">
        <v>68</v>
      </c>
      <c r="O655" s="32">
        <v>14.18</v>
      </c>
      <c r="P655" s="34">
        <f t="shared" si="10"/>
        <v>0.20852941176470588</v>
      </c>
    </row>
    <row r="656" spans="1:16">
      <c r="A656" s="32" t="s">
        <v>61</v>
      </c>
      <c r="B656" s="32">
        <v>200</v>
      </c>
      <c r="C656" s="32">
        <v>2000</v>
      </c>
      <c r="D656" s="25">
        <v>21.02</v>
      </c>
      <c r="E656" s="29">
        <v>177.2221237654868</v>
      </c>
      <c r="F656" s="29">
        <v>3796.8497424908837</v>
      </c>
      <c r="G656" s="36">
        <v>6.1999999999999999E-6</v>
      </c>
      <c r="H656" s="25">
        <v>0.13700000000000001</v>
      </c>
      <c r="I656" s="25">
        <v>48</v>
      </c>
      <c r="J656" s="25">
        <v>3186</v>
      </c>
      <c r="K656" s="25">
        <v>5596</v>
      </c>
      <c r="L656" s="25">
        <v>0.7</v>
      </c>
      <c r="M656" s="34">
        <v>2.2072628037197775</v>
      </c>
      <c r="N656" s="32">
        <v>61</v>
      </c>
      <c r="O656" s="32">
        <v>12.43</v>
      </c>
      <c r="P656" s="34">
        <f t="shared" si="10"/>
        <v>0.20377049180327869</v>
      </c>
    </row>
    <row r="657" spans="1:16">
      <c r="A657" s="32" t="s">
        <v>61</v>
      </c>
      <c r="B657" s="32">
        <v>200</v>
      </c>
      <c r="C657" s="32">
        <v>2400</v>
      </c>
      <c r="D657" s="25">
        <v>21.02</v>
      </c>
      <c r="E657" s="29">
        <v>177.2221237654868</v>
      </c>
      <c r="F657" s="29">
        <v>3796.8497424908837</v>
      </c>
      <c r="G657" s="36">
        <v>6.1999999999999999E-6</v>
      </c>
      <c r="H657" s="25">
        <v>0.13700000000000001</v>
      </c>
      <c r="I657" s="25">
        <v>48</v>
      </c>
      <c r="J657" s="25">
        <v>3186</v>
      </c>
      <c r="K657" s="25">
        <v>5596</v>
      </c>
      <c r="L657" s="25">
        <v>0.7</v>
      </c>
      <c r="M657" s="34">
        <v>2.0149460465657003</v>
      </c>
      <c r="N657" s="32">
        <v>57</v>
      </c>
      <c r="O657" s="32">
        <v>10.79</v>
      </c>
      <c r="P657" s="34">
        <f t="shared" si="10"/>
        <v>0.18929824561403508</v>
      </c>
    </row>
    <row r="658" spans="1:16">
      <c r="A658" s="32" t="s">
        <v>61</v>
      </c>
      <c r="B658" s="32">
        <v>350</v>
      </c>
      <c r="C658" s="32">
        <v>400</v>
      </c>
      <c r="D658" s="25">
        <v>21.02</v>
      </c>
      <c r="E658" s="29">
        <v>177.2221237654868</v>
      </c>
      <c r="F658" s="29">
        <v>3796.8497424908837</v>
      </c>
      <c r="G658" s="36">
        <v>6.1999999999999999E-6</v>
      </c>
      <c r="H658" s="25">
        <v>0.13700000000000001</v>
      </c>
      <c r="I658" s="25">
        <v>48</v>
      </c>
      <c r="J658" s="25">
        <v>3186</v>
      </c>
      <c r="K658" s="25">
        <v>5596</v>
      </c>
      <c r="L658" s="25">
        <v>0.7</v>
      </c>
      <c r="M658" s="34">
        <v>8.6372819283173463</v>
      </c>
      <c r="N658" s="32">
        <v>132</v>
      </c>
      <c r="O658" s="32">
        <v>38.020000000000003</v>
      </c>
      <c r="P658" s="34">
        <f t="shared" si="10"/>
        <v>0.28803030303030308</v>
      </c>
    </row>
    <row r="659" spans="1:16">
      <c r="A659" s="32" t="s">
        <v>61</v>
      </c>
      <c r="B659" s="32">
        <v>350</v>
      </c>
      <c r="C659" s="32">
        <v>600</v>
      </c>
      <c r="D659" s="25">
        <v>21.02</v>
      </c>
      <c r="E659" s="29">
        <v>177.2221237654868</v>
      </c>
      <c r="F659" s="29">
        <v>3796.8497424908837</v>
      </c>
      <c r="G659" s="36">
        <v>6.1999999999999999E-6</v>
      </c>
      <c r="H659" s="25">
        <v>0.13700000000000001</v>
      </c>
      <c r="I659" s="25">
        <v>48</v>
      </c>
      <c r="J659" s="25">
        <v>3186</v>
      </c>
      <c r="K659" s="25">
        <v>5596</v>
      </c>
      <c r="L659" s="25">
        <v>0.7</v>
      </c>
      <c r="M659" s="34">
        <v>7.0523111629799509</v>
      </c>
      <c r="N659" s="32">
        <v>126</v>
      </c>
      <c r="O659" s="32">
        <v>34.475000000000001</v>
      </c>
      <c r="P659" s="34">
        <f t="shared" si="10"/>
        <v>0.27361111111111114</v>
      </c>
    </row>
    <row r="660" spans="1:16">
      <c r="A660" s="32" t="s">
        <v>61</v>
      </c>
      <c r="B660" s="32">
        <v>350</v>
      </c>
      <c r="C660" s="32">
        <v>800</v>
      </c>
      <c r="D660" s="25">
        <v>21.02</v>
      </c>
      <c r="E660" s="29">
        <v>177.2221237654868</v>
      </c>
      <c r="F660" s="29">
        <v>3796.8497424908837</v>
      </c>
      <c r="G660" s="36">
        <v>6.1999999999999999E-6</v>
      </c>
      <c r="H660" s="25">
        <v>0.13700000000000001</v>
      </c>
      <c r="I660" s="25">
        <v>48</v>
      </c>
      <c r="J660" s="25">
        <v>3186</v>
      </c>
      <c r="K660" s="25">
        <v>5596</v>
      </c>
      <c r="L660" s="25">
        <v>0.7</v>
      </c>
      <c r="M660" s="34">
        <v>6.107480622533215</v>
      </c>
      <c r="N660" s="32">
        <v>102</v>
      </c>
      <c r="O660" s="32">
        <v>30.93</v>
      </c>
      <c r="P660" s="34">
        <f t="shared" si="10"/>
        <v>0.30323529411764705</v>
      </c>
    </row>
    <row r="661" spans="1:16">
      <c r="A661" s="32" t="s">
        <v>61</v>
      </c>
      <c r="B661" s="32">
        <v>350</v>
      </c>
      <c r="C661" s="32">
        <v>1000</v>
      </c>
      <c r="D661" s="25">
        <v>21.02</v>
      </c>
      <c r="E661" s="29">
        <v>177.2221237654868</v>
      </c>
      <c r="F661" s="29">
        <v>3796.8497424908837</v>
      </c>
      <c r="G661" s="36">
        <v>6.1999999999999999E-6</v>
      </c>
      <c r="H661" s="25">
        <v>0.13700000000000001</v>
      </c>
      <c r="I661" s="25">
        <v>48</v>
      </c>
      <c r="J661" s="25">
        <v>3186</v>
      </c>
      <c r="K661" s="25">
        <v>5596</v>
      </c>
      <c r="L661" s="25">
        <v>0.7</v>
      </c>
      <c r="M661" s="34">
        <v>5.4626967372988018</v>
      </c>
      <c r="N661" s="32">
        <v>98</v>
      </c>
      <c r="O661" s="32">
        <v>22.6</v>
      </c>
      <c r="P661" s="34">
        <f t="shared" si="10"/>
        <v>0.2306122448979592</v>
      </c>
    </row>
    <row r="662" spans="1:16">
      <c r="A662" s="32" t="s">
        <v>61</v>
      </c>
      <c r="B662" s="32">
        <v>350</v>
      </c>
      <c r="C662" s="32">
        <v>1200</v>
      </c>
      <c r="D662" s="25">
        <v>21.02</v>
      </c>
      <c r="E662" s="29">
        <v>177.2221237654868</v>
      </c>
      <c r="F662" s="29">
        <v>3796.8497424908837</v>
      </c>
      <c r="G662" s="36">
        <v>6.1999999999999999E-6</v>
      </c>
      <c r="H662" s="25">
        <v>0.13700000000000001</v>
      </c>
      <c r="I662" s="25">
        <v>48</v>
      </c>
      <c r="J662" s="25">
        <v>3186</v>
      </c>
      <c r="K662" s="25">
        <v>5596</v>
      </c>
      <c r="L662" s="25">
        <v>0.7</v>
      </c>
      <c r="M662" s="34">
        <v>4.9867370463807106</v>
      </c>
      <c r="N662" s="32">
        <v>91</v>
      </c>
      <c r="O662" s="32">
        <v>15.21</v>
      </c>
      <c r="P662" s="34">
        <f t="shared" si="10"/>
        <v>0.16714285714285715</v>
      </c>
    </row>
    <row r="663" spans="1:16">
      <c r="A663" s="32" t="s">
        <v>61</v>
      </c>
      <c r="B663" s="32">
        <v>350</v>
      </c>
      <c r="C663" s="32">
        <v>1600</v>
      </c>
      <c r="D663" s="25">
        <v>21.02</v>
      </c>
      <c r="E663" s="29">
        <v>177.2221237654868</v>
      </c>
      <c r="F663" s="29">
        <v>3796.8497424908837</v>
      </c>
      <c r="G663" s="36">
        <v>6.1999999999999999E-6</v>
      </c>
      <c r="H663" s="25">
        <v>0.13700000000000001</v>
      </c>
      <c r="I663" s="25">
        <v>48</v>
      </c>
      <c r="J663" s="25">
        <v>3186</v>
      </c>
      <c r="K663" s="25">
        <v>5596</v>
      </c>
      <c r="L663" s="25">
        <v>0.7</v>
      </c>
      <c r="M663" s="34">
        <v>4.3186409641586732</v>
      </c>
      <c r="N663" s="32">
        <v>84</v>
      </c>
      <c r="O663" s="32">
        <v>11.24</v>
      </c>
      <c r="P663" s="34">
        <f t="shared" si="10"/>
        <v>0.13380952380952382</v>
      </c>
    </row>
    <row r="664" spans="1:16">
      <c r="A664" s="32" t="s">
        <v>61</v>
      </c>
      <c r="B664" s="32">
        <v>350</v>
      </c>
      <c r="C664" s="32">
        <v>2000</v>
      </c>
      <c r="D664" s="25">
        <v>21.02</v>
      </c>
      <c r="E664" s="29">
        <v>177.2221237654868</v>
      </c>
      <c r="F664" s="29">
        <v>3796.8497424908837</v>
      </c>
      <c r="G664" s="36">
        <v>6.1999999999999999E-6</v>
      </c>
      <c r="H664" s="25">
        <v>0.13700000000000001</v>
      </c>
      <c r="I664" s="25">
        <v>48</v>
      </c>
      <c r="J664" s="25">
        <v>3186</v>
      </c>
      <c r="K664" s="25">
        <v>5596</v>
      </c>
      <c r="L664" s="25">
        <v>0.7</v>
      </c>
      <c r="M664" s="34">
        <v>3.8627099065096107</v>
      </c>
      <c r="N664" s="32">
        <v>80</v>
      </c>
      <c r="O664" s="32">
        <v>10.48</v>
      </c>
      <c r="P664" s="34">
        <f t="shared" si="10"/>
        <v>0.13100000000000001</v>
      </c>
    </row>
    <row r="665" spans="1:16">
      <c r="A665" s="32" t="s">
        <v>61</v>
      </c>
      <c r="B665" s="32">
        <v>350</v>
      </c>
      <c r="C665" s="32">
        <v>2400</v>
      </c>
      <c r="D665" s="25">
        <v>21.02</v>
      </c>
      <c r="E665" s="29">
        <v>177.2221237654868</v>
      </c>
      <c r="F665" s="29">
        <v>3796.8497424908837</v>
      </c>
      <c r="G665" s="36">
        <v>6.1999999999999999E-6</v>
      </c>
      <c r="H665" s="25">
        <v>0.13700000000000001</v>
      </c>
      <c r="I665" s="25">
        <v>48</v>
      </c>
      <c r="J665" s="25">
        <v>3186</v>
      </c>
      <c r="K665" s="25">
        <v>5596</v>
      </c>
      <c r="L665" s="25">
        <v>0.7</v>
      </c>
      <c r="M665" s="34">
        <v>3.5261555814899754</v>
      </c>
      <c r="N665" s="32">
        <v>78</v>
      </c>
      <c r="O665" s="32">
        <v>8.5299999999999994</v>
      </c>
      <c r="P665" s="34">
        <f t="shared" si="10"/>
        <v>0.10935897435897435</v>
      </c>
    </row>
    <row r="666" spans="1:16">
      <c r="A666" s="32" t="s">
        <v>62</v>
      </c>
      <c r="B666" s="32">
        <v>200</v>
      </c>
      <c r="C666" s="32">
        <v>200</v>
      </c>
      <c r="D666" s="32">
        <v>2.3290000000000002</v>
      </c>
      <c r="E666" s="32">
        <v>1787.4310129962612</v>
      </c>
      <c r="F666" s="32">
        <v>13174.292326864874</v>
      </c>
      <c r="G666" s="77">
        <v>2.6000000000000001E-6</v>
      </c>
      <c r="H666" s="32">
        <v>0.70499999999999996</v>
      </c>
      <c r="I666" s="32">
        <v>148</v>
      </c>
      <c r="J666" s="32">
        <v>1414</v>
      </c>
      <c r="K666" s="32">
        <v>2900</v>
      </c>
      <c r="L666" s="32">
        <v>0.3</v>
      </c>
      <c r="M666" s="34">
        <v>13.943014747498502</v>
      </c>
      <c r="N666" s="32">
        <v>545</v>
      </c>
      <c r="O666" s="32">
        <v>478</v>
      </c>
      <c r="P666" s="34">
        <f t="shared" si="10"/>
        <v>0.87706422018348629</v>
      </c>
    </row>
    <row r="667" spans="1:16">
      <c r="A667" s="32" t="s">
        <v>62</v>
      </c>
      <c r="B667" s="32">
        <v>200</v>
      </c>
      <c r="C667" s="32">
        <v>400</v>
      </c>
      <c r="D667" s="32">
        <v>2.3290000000000002</v>
      </c>
      <c r="E667" s="32">
        <v>1787.4310129962612</v>
      </c>
      <c r="F667" s="32">
        <v>13174.292326864874</v>
      </c>
      <c r="G667" s="77">
        <v>2.6000000000000001E-6</v>
      </c>
      <c r="H667" s="32">
        <v>0.70499999999999996</v>
      </c>
      <c r="I667" s="32">
        <v>148</v>
      </c>
      <c r="J667" s="32">
        <v>1414</v>
      </c>
      <c r="K667" s="32">
        <v>2900</v>
      </c>
      <c r="L667" s="32">
        <v>0.3</v>
      </c>
      <c r="M667" s="34">
        <v>9.8592002781402286</v>
      </c>
      <c r="N667" s="32">
        <v>379</v>
      </c>
      <c r="O667" s="32">
        <v>354</v>
      </c>
      <c r="P667" s="34">
        <f t="shared" si="10"/>
        <v>0.93403693931398413</v>
      </c>
    </row>
    <row r="668" spans="1:16">
      <c r="A668" s="32" t="s">
        <v>62</v>
      </c>
      <c r="B668" s="32">
        <v>200</v>
      </c>
      <c r="C668" s="32">
        <v>600</v>
      </c>
      <c r="D668" s="32">
        <v>2.3290000000000002</v>
      </c>
      <c r="E668" s="32">
        <v>1787.4310129962612</v>
      </c>
      <c r="F668" s="32">
        <v>13174.292326864874</v>
      </c>
      <c r="G668" s="77">
        <v>2.6000000000000001E-6</v>
      </c>
      <c r="H668" s="32">
        <v>0.70499999999999996</v>
      </c>
      <c r="I668" s="32">
        <v>148</v>
      </c>
      <c r="J668" s="32">
        <v>1414</v>
      </c>
      <c r="K668" s="32">
        <v>2900</v>
      </c>
      <c r="L668" s="32">
        <v>0.3</v>
      </c>
      <c r="M668" s="34">
        <v>8.0500033177831813</v>
      </c>
      <c r="N668" s="32">
        <v>264.69</v>
      </c>
      <c r="O668" s="32">
        <v>288.89999999999998</v>
      </c>
      <c r="P668" s="34">
        <f t="shared" si="10"/>
        <v>1.0914654879292758</v>
      </c>
    </row>
    <row r="669" spans="1:16">
      <c r="A669" s="32" t="s">
        <v>62</v>
      </c>
      <c r="B669" s="32">
        <v>200</v>
      </c>
      <c r="C669" s="32">
        <v>800</v>
      </c>
      <c r="D669" s="32">
        <v>2.3290000000000002</v>
      </c>
      <c r="E669" s="32">
        <v>1787.4310129962612</v>
      </c>
      <c r="F669" s="32">
        <v>13174.292326864874</v>
      </c>
      <c r="G669" s="77">
        <v>2.6000000000000001E-6</v>
      </c>
      <c r="H669" s="32">
        <v>0.70499999999999996</v>
      </c>
      <c r="I669" s="32">
        <v>148</v>
      </c>
      <c r="J669" s="32">
        <v>1414</v>
      </c>
      <c r="K669" s="32">
        <v>2900</v>
      </c>
      <c r="L669" s="32">
        <v>0.3</v>
      </c>
      <c r="M669" s="34">
        <v>6.971507373749251</v>
      </c>
      <c r="N669" s="32">
        <v>203.6</v>
      </c>
      <c r="O669" s="32">
        <v>183.56</v>
      </c>
      <c r="P669" s="34">
        <f t="shared" si="10"/>
        <v>0.90157170923379182</v>
      </c>
    </row>
    <row r="670" spans="1:16">
      <c r="A670" s="32" t="s">
        <v>62</v>
      </c>
      <c r="B670" s="32">
        <v>200</v>
      </c>
      <c r="C670" s="32">
        <v>1200</v>
      </c>
      <c r="D670" s="32">
        <v>2.3290000000000002</v>
      </c>
      <c r="E670" s="32">
        <v>1787.4310129962612</v>
      </c>
      <c r="F670" s="32">
        <v>13174.292326864874</v>
      </c>
      <c r="G670" s="77">
        <v>2.6000000000000001E-6</v>
      </c>
      <c r="H670" s="32">
        <v>0.70499999999999996</v>
      </c>
      <c r="I670" s="32">
        <v>148</v>
      </c>
      <c r="J670" s="32">
        <v>1414</v>
      </c>
      <c r="K670" s="32">
        <v>2900</v>
      </c>
      <c r="L670" s="32">
        <v>0.3</v>
      </c>
      <c r="M670" s="34">
        <v>5.6922119345786948</v>
      </c>
      <c r="N670" s="32">
        <v>195</v>
      </c>
      <c r="O670" s="32">
        <v>138.9</v>
      </c>
      <c r="P670" s="34">
        <f t="shared" si="10"/>
        <v>0.71230769230769231</v>
      </c>
    </row>
    <row r="671" spans="1:16">
      <c r="A671" s="32" t="s">
        <v>62</v>
      </c>
      <c r="B671" s="32">
        <v>200</v>
      </c>
      <c r="C671" s="32">
        <v>1600</v>
      </c>
      <c r="D671" s="32">
        <v>2.3290000000000002</v>
      </c>
      <c r="E671" s="32">
        <v>1787.4310129962612</v>
      </c>
      <c r="F671" s="32">
        <v>13174.292326864874</v>
      </c>
      <c r="G671" s="77">
        <v>2.6000000000000001E-6</v>
      </c>
      <c r="H671" s="32">
        <v>0.70499999999999996</v>
      </c>
      <c r="I671" s="32">
        <v>148</v>
      </c>
      <c r="J671" s="32">
        <v>1414</v>
      </c>
      <c r="K671" s="32">
        <v>2900</v>
      </c>
      <c r="L671" s="32">
        <v>0.3</v>
      </c>
      <c r="M671" s="34">
        <v>4.9296001390701143</v>
      </c>
      <c r="N671" s="32">
        <v>188.97</v>
      </c>
      <c r="O671" s="32">
        <v>79.2</v>
      </c>
      <c r="P671" s="34">
        <f t="shared" si="10"/>
        <v>0.41911414510239725</v>
      </c>
    </row>
    <row r="672" spans="1:16">
      <c r="A672" s="32" t="s">
        <v>62</v>
      </c>
      <c r="B672" s="32">
        <v>200</v>
      </c>
      <c r="C672" s="32">
        <v>2000</v>
      </c>
      <c r="D672" s="32">
        <v>2.3290000000000002</v>
      </c>
      <c r="E672" s="32">
        <v>1787.4310129962612</v>
      </c>
      <c r="F672" s="32">
        <v>13174.292326864874</v>
      </c>
      <c r="G672" s="77">
        <v>2.6000000000000001E-6</v>
      </c>
      <c r="H672" s="32">
        <v>0.70499999999999996</v>
      </c>
      <c r="I672" s="32">
        <v>148</v>
      </c>
      <c r="J672" s="32">
        <v>1414</v>
      </c>
      <c r="K672" s="32">
        <v>2900</v>
      </c>
      <c r="L672" s="32">
        <v>0.3</v>
      </c>
      <c r="M672" s="34">
        <v>4.4091684051412772</v>
      </c>
      <c r="N672" s="32">
        <v>145</v>
      </c>
      <c r="O672" s="32">
        <v>50.6</v>
      </c>
      <c r="P672" s="34">
        <f t="shared" si="10"/>
        <v>0.34896551724137931</v>
      </c>
    </row>
    <row r="673" spans="1:16">
      <c r="A673" s="32" t="s">
        <v>62</v>
      </c>
      <c r="B673" s="32">
        <v>200</v>
      </c>
      <c r="C673" s="32">
        <v>2400</v>
      </c>
      <c r="D673" s="32">
        <v>2.3290000000000002</v>
      </c>
      <c r="E673" s="32">
        <v>1787.4310129962612</v>
      </c>
      <c r="F673" s="32">
        <v>13174.292326864874</v>
      </c>
      <c r="G673" s="77">
        <v>2.6000000000000001E-6</v>
      </c>
      <c r="H673" s="32">
        <v>0.70499999999999996</v>
      </c>
      <c r="I673" s="32">
        <v>148</v>
      </c>
      <c r="J673" s="32">
        <v>1414</v>
      </c>
      <c r="K673" s="32">
        <v>2900</v>
      </c>
      <c r="L673" s="32">
        <v>0.3</v>
      </c>
      <c r="M673" s="34">
        <v>4.0250016588915907</v>
      </c>
      <c r="N673" s="32">
        <v>91.26</v>
      </c>
      <c r="O673" s="32">
        <v>34.520000000000003</v>
      </c>
      <c r="P673" s="34">
        <f t="shared" si="10"/>
        <v>0.3782599167214552</v>
      </c>
    </row>
    <row r="674" spans="1:16">
      <c r="A674" s="32" t="s">
        <v>62</v>
      </c>
      <c r="B674" s="32">
        <v>350</v>
      </c>
      <c r="C674" s="32">
        <v>400</v>
      </c>
      <c r="D674" s="32">
        <v>2.3290000000000002</v>
      </c>
      <c r="E674" s="32">
        <v>1787.4310129962612</v>
      </c>
      <c r="F674" s="32">
        <v>13174.292326864874</v>
      </c>
      <c r="G674" s="77">
        <v>2.6000000000000001E-6</v>
      </c>
      <c r="H674" s="32">
        <v>0.70499999999999996</v>
      </c>
      <c r="I674" s="32">
        <v>148</v>
      </c>
      <c r="J674" s="32">
        <v>1414</v>
      </c>
      <c r="K674" s="32">
        <v>2900</v>
      </c>
      <c r="L674" s="32">
        <v>0.3</v>
      </c>
      <c r="M674" s="34">
        <v>17.253600486745398</v>
      </c>
      <c r="N674" s="32">
        <v>338.48</v>
      </c>
      <c r="O674" s="32">
        <v>407</v>
      </c>
      <c r="P674" s="34">
        <f t="shared" si="10"/>
        <v>1.2024344126683999</v>
      </c>
    </row>
    <row r="675" spans="1:16">
      <c r="A675" s="32" t="s">
        <v>62</v>
      </c>
      <c r="B675" s="32">
        <v>350</v>
      </c>
      <c r="C675" s="32">
        <v>600</v>
      </c>
      <c r="D675" s="32">
        <v>2.3290000000000002</v>
      </c>
      <c r="E675" s="32">
        <v>1787.4310129962612</v>
      </c>
      <c r="F675" s="32">
        <v>13174.292326864874</v>
      </c>
      <c r="G675" s="77">
        <v>2.6000000000000001E-6</v>
      </c>
      <c r="H675" s="32">
        <v>0.70499999999999996</v>
      </c>
      <c r="I675" s="32">
        <v>148</v>
      </c>
      <c r="J675" s="32">
        <v>1414</v>
      </c>
      <c r="K675" s="32">
        <v>2900</v>
      </c>
      <c r="L675" s="32">
        <v>0.3</v>
      </c>
      <c r="M675" s="34">
        <v>14.087505806120566</v>
      </c>
      <c r="N675" s="32">
        <v>282.26</v>
      </c>
      <c r="O675" s="32">
        <v>263.95999999999998</v>
      </c>
      <c r="P675" s="34">
        <f t="shared" si="10"/>
        <v>0.93516615886062493</v>
      </c>
    </row>
    <row r="676" spans="1:16">
      <c r="A676" s="32" t="s">
        <v>62</v>
      </c>
      <c r="B676" s="32">
        <v>350</v>
      </c>
      <c r="C676" s="32">
        <v>800</v>
      </c>
      <c r="D676" s="32">
        <v>2.3290000000000002</v>
      </c>
      <c r="E676" s="32">
        <v>1787.4310129962612</v>
      </c>
      <c r="F676" s="32">
        <v>13174.292326864874</v>
      </c>
      <c r="G676" s="77">
        <v>2.6000000000000001E-6</v>
      </c>
      <c r="H676" s="32">
        <v>0.70499999999999996</v>
      </c>
      <c r="I676" s="32">
        <v>148</v>
      </c>
      <c r="J676" s="32">
        <v>1414</v>
      </c>
      <c r="K676" s="32">
        <v>2900</v>
      </c>
      <c r="L676" s="32">
        <v>0.3</v>
      </c>
      <c r="M676" s="34">
        <v>12.200137904061188</v>
      </c>
      <c r="N676" s="32">
        <v>203.3</v>
      </c>
      <c r="O676" s="32">
        <v>225.89</v>
      </c>
      <c r="P676" s="34">
        <f t="shared" si="10"/>
        <v>1.1111165764879487</v>
      </c>
    </row>
    <row r="677" spans="1:16">
      <c r="A677" s="32" t="s">
        <v>62</v>
      </c>
      <c r="B677" s="32">
        <v>350</v>
      </c>
      <c r="C677" s="32">
        <v>1000</v>
      </c>
      <c r="D677" s="32">
        <v>2.3290000000000002</v>
      </c>
      <c r="E677" s="32">
        <v>1787.4310129962612</v>
      </c>
      <c r="F677" s="32">
        <v>13174.292326864874</v>
      </c>
      <c r="G677" s="77">
        <v>2.6000000000000001E-6</v>
      </c>
      <c r="H677" s="32">
        <v>0.70499999999999996</v>
      </c>
      <c r="I677" s="32">
        <v>148</v>
      </c>
      <c r="J677" s="32">
        <v>1414</v>
      </c>
      <c r="K677" s="32">
        <v>2900</v>
      </c>
      <c r="L677" s="32">
        <v>0.3</v>
      </c>
      <c r="M677" s="34">
        <v>10.91213507534105</v>
      </c>
      <c r="N677" s="32">
        <v>214.85</v>
      </c>
      <c r="O677" s="32">
        <v>112.22</v>
      </c>
      <c r="P677" s="34">
        <f t="shared" si="10"/>
        <v>0.52231789620665581</v>
      </c>
    </row>
    <row r="678" spans="1:16">
      <c r="A678" s="32" t="s">
        <v>62</v>
      </c>
      <c r="B678" s="32">
        <v>350</v>
      </c>
      <c r="C678" s="32">
        <v>1200</v>
      </c>
      <c r="D678" s="32">
        <v>2.3290000000000002</v>
      </c>
      <c r="E678" s="32">
        <v>1787.4310129962612</v>
      </c>
      <c r="F678" s="32">
        <v>13174.292326864874</v>
      </c>
      <c r="G678" s="77">
        <v>2.6000000000000001E-6</v>
      </c>
      <c r="H678" s="32">
        <v>0.70499999999999996</v>
      </c>
      <c r="I678" s="32">
        <v>148</v>
      </c>
      <c r="J678" s="32">
        <v>1414</v>
      </c>
      <c r="K678" s="32">
        <v>2900</v>
      </c>
      <c r="L678" s="32">
        <v>0.3</v>
      </c>
      <c r="M678" s="34">
        <v>9.9613708855127143</v>
      </c>
      <c r="N678" s="32">
        <v>230.6</v>
      </c>
      <c r="O678" s="32">
        <v>129.9</v>
      </c>
      <c r="P678" s="34">
        <f t="shared" si="10"/>
        <v>0.56331309627059845</v>
      </c>
    </row>
    <row r="679" spans="1:16">
      <c r="A679" s="32" t="s">
        <v>62</v>
      </c>
      <c r="B679" s="32">
        <v>350</v>
      </c>
      <c r="C679" s="32">
        <v>1600</v>
      </c>
      <c r="D679" s="32">
        <v>2.3290000000000002</v>
      </c>
      <c r="E679" s="32">
        <v>1787.4310129962612</v>
      </c>
      <c r="F679" s="32">
        <v>13174.292326864874</v>
      </c>
      <c r="G679" s="77">
        <v>2.6000000000000001E-6</v>
      </c>
      <c r="H679" s="32">
        <v>0.70499999999999996</v>
      </c>
      <c r="I679" s="32">
        <v>148</v>
      </c>
      <c r="J679" s="32">
        <v>1414</v>
      </c>
      <c r="K679" s="32">
        <v>2900</v>
      </c>
      <c r="L679" s="32">
        <v>0.3</v>
      </c>
      <c r="M679" s="34">
        <v>8.6268002433726991</v>
      </c>
      <c r="N679" s="32">
        <v>161.19999999999999</v>
      </c>
      <c r="O679" s="32">
        <v>95.2</v>
      </c>
      <c r="P679" s="34">
        <f t="shared" si="10"/>
        <v>0.59057071960297769</v>
      </c>
    </row>
    <row r="680" spans="1:16">
      <c r="A680" s="32" t="s">
        <v>62</v>
      </c>
      <c r="B680" s="32">
        <v>350</v>
      </c>
      <c r="C680" s="32">
        <v>2000</v>
      </c>
      <c r="D680" s="32">
        <v>2.3290000000000002</v>
      </c>
      <c r="E680" s="32">
        <v>1787.4310129962612</v>
      </c>
      <c r="F680" s="32">
        <v>13174.292326864874</v>
      </c>
      <c r="G680" s="77">
        <v>2.6000000000000001E-6</v>
      </c>
      <c r="H680" s="32">
        <v>0.70499999999999996</v>
      </c>
      <c r="I680" s="32">
        <v>148</v>
      </c>
      <c r="J680" s="32">
        <v>1414</v>
      </c>
      <c r="K680" s="32">
        <v>2900</v>
      </c>
      <c r="L680" s="32">
        <v>0.3</v>
      </c>
      <c r="M680" s="34">
        <v>7.7160447089972335</v>
      </c>
      <c r="N680" s="32">
        <v>134</v>
      </c>
      <c r="O680" s="32">
        <v>55.79</v>
      </c>
      <c r="P680" s="34">
        <f t="shared" si="10"/>
        <v>0.41634328358208955</v>
      </c>
    </row>
    <row r="681" spans="1:16">
      <c r="A681" s="32" t="s">
        <v>62</v>
      </c>
      <c r="B681" s="32">
        <v>350</v>
      </c>
      <c r="C681" s="32">
        <v>2400</v>
      </c>
      <c r="D681" s="32">
        <v>2.3290000000000002</v>
      </c>
      <c r="E681" s="32">
        <v>1787.4310129962612</v>
      </c>
      <c r="F681" s="32">
        <v>13174.292326864874</v>
      </c>
      <c r="G681" s="77">
        <v>2.6000000000000001E-6</v>
      </c>
      <c r="H681" s="32">
        <v>0.70499999999999996</v>
      </c>
      <c r="I681" s="32">
        <v>148</v>
      </c>
      <c r="J681" s="32">
        <v>1414</v>
      </c>
      <c r="K681" s="32">
        <v>2900</v>
      </c>
      <c r="L681" s="32">
        <v>0.3</v>
      </c>
      <c r="M681" s="34">
        <v>7.043752903060283</v>
      </c>
      <c r="N681" s="32">
        <v>119.64</v>
      </c>
      <c r="O681" s="32">
        <v>51.17</v>
      </c>
      <c r="P681" s="34">
        <f t="shared" si="10"/>
        <v>0.42769976596456039</v>
      </c>
    </row>
    <row r="682" spans="1:16">
      <c r="A682" s="32" t="s">
        <v>62</v>
      </c>
      <c r="B682" s="32">
        <v>100</v>
      </c>
      <c r="C682" s="32">
        <v>300</v>
      </c>
      <c r="D682" s="32">
        <v>2.3290000000000002</v>
      </c>
      <c r="E682" s="32">
        <v>1787.4310129962612</v>
      </c>
      <c r="F682" s="32">
        <v>13174.292326864874</v>
      </c>
      <c r="G682" s="77">
        <v>2.6000000000000001E-6</v>
      </c>
      <c r="H682" s="32">
        <v>0.70499999999999996</v>
      </c>
      <c r="I682" s="32">
        <v>148</v>
      </c>
      <c r="J682" s="32">
        <v>1414</v>
      </c>
      <c r="K682" s="32">
        <v>2900</v>
      </c>
      <c r="L682" s="32">
        <v>0.3</v>
      </c>
      <c r="M682" s="34">
        <v>5.6922119345786948</v>
      </c>
      <c r="N682" s="32">
        <v>172.5</v>
      </c>
      <c r="O682" s="32">
        <v>63.9</v>
      </c>
      <c r="P682" s="34">
        <f t="shared" si="10"/>
        <v>0.37043478260869567</v>
      </c>
    </row>
    <row r="683" spans="1:16">
      <c r="A683" s="32" t="s">
        <v>62</v>
      </c>
      <c r="B683" s="32">
        <v>150</v>
      </c>
      <c r="C683" s="32">
        <v>300</v>
      </c>
      <c r="D683" s="32">
        <v>2.3290000000000002</v>
      </c>
      <c r="E683" s="32">
        <v>1787.4310129962612</v>
      </c>
      <c r="F683" s="32">
        <v>13174.292326864874</v>
      </c>
      <c r="G683" s="77">
        <v>2.6000000000000001E-6</v>
      </c>
      <c r="H683" s="32">
        <v>0.70499999999999996</v>
      </c>
      <c r="I683" s="32">
        <v>148</v>
      </c>
      <c r="J683" s="32">
        <v>1414</v>
      </c>
      <c r="K683" s="32">
        <v>2900</v>
      </c>
      <c r="L683" s="32">
        <v>0.3</v>
      </c>
      <c r="M683" s="34">
        <v>8.5383179018680426</v>
      </c>
      <c r="N683" s="32">
        <v>268.27999999999997</v>
      </c>
      <c r="O683" s="32">
        <v>197.33</v>
      </c>
      <c r="P683" s="34">
        <f t="shared" si="10"/>
        <v>0.73553749813627567</v>
      </c>
    </row>
    <row r="684" spans="1:16">
      <c r="A684" s="32" t="s">
        <v>62</v>
      </c>
      <c r="B684" s="32">
        <v>200</v>
      </c>
      <c r="C684" s="32">
        <v>300</v>
      </c>
      <c r="D684" s="32">
        <v>2.3290000000000002</v>
      </c>
      <c r="E684" s="32">
        <v>1787.4310129962612</v>
      </c>
      <c r="F684" s="32">
        <v>13174.292326864874</v>
      </c>
      <c r="G684" s="77">
        <v>2.6000000000000001E-6</v>
      </c>
      <c r="H684" s="32">
        <v>0.70499999999999996</v>
      </c>
      <c r="I684" s="32">
        <v>148</v>
      </c>
      <c r="J684" s="32">
        <v>1414</v>
      </c>
      <c r="K684" s="32">
        <v>2900</v>
      </c>
      <c r="L684" s="32">
        <v>0.3</v>
      </c>
      <c r="M684" s="34">
        <v>11.38442386915739</v>
      </c>
      <c r="N684" s="32">
        <v>286.89999999999998</v>
      </c>
      <c r="O684" s="32">
        <v>295.66000000000003</v>
      </c>
      <c r="P684" s="34">
        <f t="shared" si="10"/>
        <v>1.0305332868595332</v>
      </c>
    </row>
    <row r="685" spans="1:16">
      <c r="A685" s="32" t="s">
        <v>62</v>
      </c>
      <c r="B685" s="32">
        <v>250</v>
      </c>
      <c r="C685" s="32">
        <v>300</v>
      </c>
      <c r="D685" s="32">
        <v>2.3290000000000002</v>
      </c>
      <c r="E685" s="32">
        <v>1787.4310129962612</v>
      </c>
      <c r="F685" s="32">
        <v>13174.292326864874</v>
      </c>
      <c r="G685" s="77">
        <v>2.6000000000000001E-6</v>
      </c>
      <c r="H685" s="32">
        <v>0.70499999999999996</v>
      </c>
      <c r="I685" s="32">
        <v>148</v>
      </c>
      <c r="J685" s="32">
        <v>1414</v>
      </c>
      <c r="K685" s="32">
        <v>2900</v>
      </c>
      <c r="L685" s="32">
        <v>0.3</v>
      </c>
      <c r="M685" s="34">
        <v>14.230529836446737</v>
      </c>
      <c r="N685" s="32">
        <v>291.77999999999997</v>
      </c>
      <c r="O685" s="32">
        <v>376.95</v>
      </c>
      <c r="P685" s="34">
        <f t="shared" si="10"/>
        <v>1.2918980053464939</v>
      </c>
    </row>
    <row r="686" spans="1:16">
      <c r="A686" s="32" t="s">
        <v>62</v>
      </c>
      <c r="B686" s="32">
        <v>300</v>
      </c>
      <c r="C686" s="32">
        <v>300</v>
      </c>
      <c r="D686" s="32">
        <v>2.3290000000000002</v>
      </c>
      <c r="E686" s="32">
        <v>1787.4310129962612</v>
      </c>
      <c r="F686" s="32">
        <v>13174.292326864874</v>
      </c>
      <c r="G686" s="77">
        <v>2.6000000000000001E-6</v>
      </c>
      <c r="H686" s="32">
        <v>0.70499999999999996</v>
      </c>
      <c r="I686" s="32">
        <v>148</v>
      </c>
      <c r="J686" s="32">
        <v>1414</v>
      </c>
      <c r="K686" s="32">
        <v>2900</v>
      </c>
      <c r="L686" s="32">
        <v>0.3</v>
      </c>
      <c r="M686" s="34">
        <v>17.076635803736085</v>
      </c>
      <c r="N686" s="32">
        <v>319.11</v>
      </c>
      <c r="O686" s="32">
        <v>483</v>
      </c>
      <c r="P686" s="34">
        <f t="shared" si="10"/>
        <v>1.5135846573281939</v>
      </c>
    </row>
    <row r="687" spans="1:16">
      <c r="A687" s="32" t="s">
        <v>62</v>
      </c>
      <c r="B687" s="32">
        <v>100</v>
      </c>
      <c r="C687" s="32">
        <v>600</v>
      </c>
      <c r="D687" s="32">
        <v>2.3290000000000002</v>
      </c>
      <c r="E687" s="32">
        <v>1787.4310129962612</v>
      </c>
      <c r="F687" s="32">
        <v>13174.292326864874</v>
      </c>
      <c r="G687" s="77">
        <v>2.6000000000000001E-6</v>
      </c>
      <c r="H687" s="32">
        <v>0.70499999999999996</v>
      </c>
      <c r="I687" s="32">
        <v>148</v>
      </c>
      <c r="J687" s="32">
        <v>1414</v>
      </c>
      <c r="K687" s="32">
        <v>2900</v>
      </c>
      <c r="L687" s="32">
        <v>0.3</v>
      </c>
      <c r="M687" s="34">
        <v>4.0250016588915907</v>
      </c>
      <c r="N687" s="32">
        <v>83.24</v>
      </c>
      <c r="O687" s="32">
        <v>36.54</v>
      </c>
      <c r="P687" s="34">
        <f t="shared" si="10"/>
        <v>0.43897164824603557</v>
      </c>
    </row>
    <row r="688" spans="1:16">
      <c r="A688" s="32" t="s">
        <v>62</v>
      </c>
      <c r="B688" s="32">
        <v>150</v>
      </c>
      <c r="C688" s="32">
        <v>600</v>
      </c>
      <c r="D688" s="32">
        <v>2.3290000000000002</v>
      </c>
      <c r="E688" s="32">
        <v>1787.4310129962612</v>
      </c>
      <c r="F688" s="32">
        <v>13174.292326864874</v>
      </c>
      <c r="G688" s="77">
        <v>2.6000000000000001E-6</v>
      </c>
      <c r="H688" s="32">
        <v>0.70499999999999996</v>
      </c>
      <c r="I688" s="32">
        <v>148</v>
      </c>
      <c r="J688" s="32">
        <v>1414</v>
      </c>
      <c r="K688" s="32">
        <v>2900</v>
      </c>
      <c r="L688" s="32">
        <v>0.3</v>
      </c>
      <c r="M688" s="34">
        <v>6.0375024883373865</v>
      </c>
      <c r="N688" s="32">
        <v>142</v>
      </c>
      <c r="O688" s="32">
        <v>119.45</v>
      </c>
      <c r="P688" s="34">
        <f t="shared" si="10"/>
        <v>0.84119718309859159</v>
      </c>
    </row>
    <row r="689" spans="1:16">
      <c r="A689" s="32" t="s">
        <v>62</v>
      </c>
      <c r="B689" s="32">
        <v>200</v>
      </c>
      <c r="C689" s="32">
        <v>600</v>
      </c>
      <c r="D689" s="32">
        <v>2.3290000000000002</v>
      </c>
      <c r="E689" s="32">
        <v>1787.4310129962612</v>
      </c>
      <c r="F689" s="32">
        <v>13174.292326864874</v>
      </c>
      <c r="G689" s="77">
        <v>2.6000000000000001E-6</v>
      </c>
      <c r="H689" s="32">
        <v>0.70499999999999996</v>
      </c>
      <c r="I689" s="32">
        <v>148</v>
      </c>
      <c r="J689" s="32">
        <v>1414</v>
      </c>
      <c r="K689" s="32">
        <v>2900</v>
      </c>
      <c r="L689" s="32">
        <v>0.3</v>
      </c>
      <c r="M689" s="34">
        <v>8.0500033177831813</v>
      </c>
      <c r="N689" s="32">
        <v>167.35</v>
      </c>
      <c r="O689" s="32">
        <v>180.22</v>
      </c>
      <c r="P689" s="34">
        <f t="shared" si="10"/>
        <v>1.0769046907678519</v>
      </c>
    </row>
    <row r="690" spans="1:16">
      <c r="A690" s="32" t="s">
        <v>62</v>
      </c>
      <c r="B690" s="32">
        <v>250</v>
      </c>
      <c r="C690" s="32">
        <v>600</v>
      </c>
      <c r="D690" s="32">
        <v>2.3290000000000002</v>
      </c>
      <c r="E690" s="32">
        <v>1787.4310129962612</v>
      </c>
      <c r="F690" s="32">
        <v>13174.292326864874</v>
      </c>
      <c r="G690" s="77">
        <v>2.6000000000000001E-6</v>
      </c>
      <c r="H690" s="32">
        <v>0.70499999999999996</v>
      </c>
      <c r="I690" s="32">
        <v>148</v>
      </c>
      <c r="J690" s="32">
        <v>1414</v>
      </c>
      <c r="K690" s="32">
        <v>2900</v>
      </c>
      <c r="L690" s="32">
        <v>0.3</v>
      </c>
      <c r="M690" s="34">
        <v>10.062504147228976</v>
      </c>
      <c r="N690" s="32">
        <v>190.53</v>
      </c>
      <c r="O690" s="32">
        <v>258.24</v>
      </c>
      <c r="P690" s="34">
        <f t="shared" si="10"/>
        <v>1.3553771059675641</v>
      </c>
    </row>
    <row r="691" spans="1:16">
      <c r="A691" s="32" t="s">
        <v>62</v>
      </c>
      <c r="B691" s="32">
        <v>300</v>
      </c>
      <c r="C691" s="32">
        <v>600</v>
      </c>
      <c r="D691" s="32">
        <v>2.3290000000000002</v>
      </c>
      <c r="E691" s="32">
        <v>1787.4310129962612</v>
      </c>
      <c r="F691" s="32">
        <v>13174.292326864874</v>
      </c>
      <c r="G691" s="77">
        <v>2.6000000000000001E-6</v>
      </c>
      <c r="H691" s="32">
        <v>0.70499999999999996</v>
      </c>
      <c r="I691" s="32">
        <v>148</v>
      </c>
      <c r="J691" s="32">
        <v>1414</v>
      </c>
      <c r="K691" s="32">
        <v>2900</v>
      </c>
      <c r="L691" s="32">
        <v>0.3</v>
      </c>
      <c r="M691" s="34">
        <v>12.075004976674773</v>
      </c>
      <c r="N691" s="32">
        <v>243.17</v>
      </c>
      <c r="O691" s="32">
        <v>317.97000000000003</v>
      </c>
      <c r="P691" s="34">
        <f t="shared" si="10"/>
        <v>1.307603734013242</v>
      </c>
    </row>
    <row r="692" spans="1:16">
      <c r="A692" s="32" t="s">
        <v>62</v>
      </c>
      <c r="B692" s="32">
        <v>100</v>
      </c>
      <c r="C692" s="32">
        <v>900</v>
      </c>
      <c r="D692" s="32">
        <v>2.3290000000000002</v>
      </c>
      <c r="E692" s="32">
        <v>1787.4310129962612</v>
      </c>
      <c r="F692" s="32">
        <v>13174.292326864874</v>
      </c>
      <c r="G692" s="77">
        <v>2.6000000000000001E-6</v>
      </c>
      <c r="H692" s="32">
        <v>0.70499999999999996</v>
      </c>
      <c r="I692" s="32">
        <v>148</v>
      </c>
      <c r="J692" s="32">
        <v>1414</v>
      </c>
      <c r="K692" s="32">
        <v>2900</v>
      </c>
      <c r="L692" s="32">
        <v>0.3</v>
      </c>
      <c r="M692" s="34">
        <v>3.2864000927134089</v>
      </c>
      <c r="N692" s="32">
        <v>72.739999999999995</v>
      </c>
      <c r="O692" s="32">
        <v>27.35</v>
      </c>
      <c r="P692" s="34">
        <f t="shared" si="10"/>
        <v>0.37599670057739898</v>
      </c>
    </row>
    <row r="693" spans="1:16">
      <c r="A693" s="32" t="s">
        <v>62</v>
      </c>
      <c r="B693" s="32">
        <v>150</v>
      </c>
      <c r="C693" s="32">
        <v>900</v>
      </c>
      <c r="D693" s="32">
        <v>2.3290000000000002</v>
      </c>
      <c r="E693" s="32">
        <v>1787.4310129962612</v>
      </c>
      <c r="F693" s="32">
        <v>13174.292326864874</v>
      </c>
      <c r="G693" s="77">
        <v>2.6000000000000001E-6</v>
      </c>
      <c r="H693" s="32">
        <v>0.70499999999999996</v>
      </c>
      <c r="I693" s="32">
        <v>148</v>
      </c>
      <c r="J693" s="32">
        <v>1414</v>
      </c>
      <c r="K693" s="32">
        <v>2900</v>
      </c>
      <c r="L693" s="32">
        <v>0.3</v>
      </c>
      <c r="M693" s="34">
        <v>4.9296001390701134</v>
      </c>
      <c r="N693" s="32">
        <v>128.46</v>
      </c>
      <c r="O693" s="32">
        <v>58.39</v>
      </c>
      <c r="P693" s="34">
        <f t="shared" si="10"/>
        <v>0.45453837770512218</v>
      </c>
    </row>
    <row r="694" spans="1:16">
      <c r="A694" s="32" t="s">
        <v>62</v>
      </c>
      <c r="B694" s="32">
        <v>200</v>
      </c>
      <c r="C694" s="32">
        <v>900</v>
      </c>
      <c r="D694" s="32">
        <v>2.3290000000000002</v>
      </c>
      <c r="E694" s="32">
        <v>1787.4310129962612</v>
      </c>
      <c r="F694" s="32">
        <v>13174.292326864874</v>
      </c>
      <c r="G694" s="77">
        <v>2.6000000000000001E-6</v>
      </c>
      <c r="H694" s="32">
        <v>0.70499999999999996</v>
      </c>
      <c r="I694" s="32">
        <v>148</v>
      </c>
      <c r="J694" s="32">
        <v>1414</v>
      </c>
      <c r="K694" s="32">
        <v>2900</v>
      </c>
      <c r="L694" s="32">
        <v>0.3</v>
      </c>
      <c r="M694" s="34">
        <v>6.5728001854268179</v>
      </c>
      <c r="N694" s="32">
        <v>172.29</v>
      </c>
      <c r="O694" s="32">
        <v>136.22999999999999</v>
      </c>
      <c r="P694" s="34">
        <f t="shared" si="10"/>
        <v>0.79070172383771542</v>
      </c>
    </row>
    <row r="695" spans="1:16">
      <c r="A695" s="32" t="s">
        <v>62</v>
      </c>
      <c r="B695" s="32">
        <v>250</v>
      </c>
      <c r="C695" s="32">
        <v>900</v>
      </c>
      <c r="D695" s="32">
        <v>2.3290000000000002</v>
      </c>
      <c r="E695" s="32">
        <v>1787.4310129962612</v>
      </c>
      <c r="F695" s="32">
        <v>13174.292326864874</v>
      </c>
      <c r="G695" s="77">
        <v>2.6000000000000001E-6</v>
      </c>
      <c r="H695" s="32">
        <v>0.70499999999999996</v>
      </c>
      <c r="I695" s="32">
        <v>148</v>
      </c>
      <c r="J695" s="32">
        <v>1414</v>
      </c>
      <c r="K695" s="32">
        <v>2900</v>
      </c>
      <c r="L695" s="32">
        <v>0.3</v>
      </c>
      <c r="M695" s="34">
        <v>8.2160002317835232</v>
      </c>
      <c r="N695" s="32">
        <v>214.49</v>
      </c>
      <c r="O695" s="32">
        <v>184.1</v>
      </c>
      <c r="P695" s="34">
        <f t="shared" si="10"/>
        <v>0.85831507296377452</v>
      </c>
    </row>
    <row r="696" spans="1:16">
      <c r="A696" s="32" t="s">
        <v>62</v>
      </c>
      <c r="B696" s="32">
        <v>300</v>
      </c>
      <c r="C696" s="32">
        <v>900</v>
      </c>
      <c r="D696" s="32">
        <v>2.3290000000000002</v>
      </c>
      <c r="E696" s="32">
        <v>1787.4310129962612</v>
      </c>
      <c r="F696" s="32">
        <v>13174.292326864874</v>
      </c>
      <c r="G696" s="77">
        <v>2.6000000000000001E-6</v>
      </c>
      <c r="H696" s="32">
        <v>0.70499999999999996</v>
      </c>
      <c r="I696" s="32">
        <v>148</v>
      </c>
      <c r="J696" s="32">
        <v>1414</v>
      </c>
      <c r="K696" s="32">
        <v>2900</v>
      </c>
      <c r="L696" s="32">
        <v>0.3</v>
      </c>
      <c r="M696" s="34">
        <v>9.8592002781402268</v>
      </c>
      <c r="N696" s="32">
        <v>204.83</v>
      </c>
      <c r="O696" s="32">
        <v>226.74</v>
      </c>
      <c r="P696" s="34">
        <f t="shared" si="10"/>
        <v>1.106966752917053</v>
      </c>
    </row>
    <row r="719" spans="8:8">
      <c r="H719" s="34"/>
    </row>
    <row r="722" spans="8:8">
      <c r="H722" s="34"/>
    </row>
    <row r="723" spans="8:8">
      <c r="H723" s="7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695EE-63A4-4312-8C4A-0249946BD5C9}">
  <dimension ref="A1:AB647"/>
  <sheetViews>
    <sheetView workbookViewId="0">
      <selection activeCell="E3" sqref="E3"/>
    </sheetView>
  </sheetViews>
  <sheetFormatPr defaultRowHeight="14.1"/>
  <cols>
    <col min="1" max="1" width="8.75" style="1"/>
    <col min="2" max="5" width="16.5" style="1" customWidth="1"/>
    <col min="6" max="9" width="21.875" style="1" customWidth="1"/>
    <col min="10" max="20" width="17.375" style="1" customWidth="1"/>
    <col min="21" max="22" width="16.125" customWidth="1"/>
  </cols>
  <sheetData>
    <row r="1" spans="1:28" s="22" customFormat="1" ht="27.9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1" t="s">
        <v>13</v>
      </c>
      <c r="N1" s="21" t="s">
        <v>14</v>
      </c>
      <c r="O1" s="21" t="s">
        <v>63</v>
      </c>
      <c r="P1" s="21"/>
      <c r="Q1" s="21" t="s">
        <v>64</v>
      </c>
      <c r="R1" s="21" t="s">
        <v>65</v>
      </c>
      <c r="S1" s="83" t="s">
        <v>66</v>
      </c>
      <c r="T1" s="83"/>
      <c r="U1" s="21" t="s">
        <v>67</v>
      </c>
      <c r="V1" s="21" t="s">
        <v>68</v>
      </c>
      <c r="W1" s="21"/>
      <c r="X1" s="21" t="s">
        <v>69</v>
      </c>
    </row>
    <row r="2" spans="1:28" ht="14.45" thickBot="1">
      <c r="B2" s="1" t="s">
        <v>29</v>
      </c>
      <c r="C2" s="1" t="s">
        <v>33</v>
      </c>
      <c r="D2" s="1" t="s">
        <v>34</v>
      </c>
      <c r="E2" s="1" t="s">
        <v>35</v>
      </c>
      <c r="F2" s="1" t="s">
        <v>35</v>
      </c>
      <c r="G2" s="1" t="s">
        <v>36</v>
      </c>
      <c r="H2" s="1" t="s">
        <v>37</v>
      </c>
      <c r="I2" s="1" t="s">
        <v>38</v>
      </c>
      <c r="J2" s="1" t="s">
        <v>39</v>
      </c>
      <c r="K2" s="1" t="s">
        <v>39</v>
      </c>
      <c r="L2" s="1" t="s">
        <v>70</v>
      </c>
      <c r="M2" s="1" t="s">
        <v>41</v>
      </c>
      <c r="N2" s="1" t="s">
        <v>41</v>
      </c>
    </row>
    <row r="3" spans="1:28" ht="14.45" thickBot="1">
      <c r="A3" s="18" t="s">
        <v>42</v>
      </c>
      <c r="B3" s="13">
        <v>200</v>
      </c>
      <c r="C3" s="13">
        <v>200</v>
      </c>
      <c r="D3" s="13">
        <v>1.738</v>
      </c>
      <c r="E3" s="13">
        <v>8.6999999999999993</v>
      </c>
      <c r="F3" s="13">
        <v>127.4</v>
      </c>
      <c r="G3" s="13" t="s">
        <v>71</v>
      </c>
      <c r="H3" s="13">
        <v>1.0229999999999999</v>
      </c>
      <c r="I3" s="13">
        <v>156</v>
      </c>
      <c r="J3" s="13">
        <v>650</v>
      </c>
      <c r="K3" s="13">
        <v>1090</v>
      </c>
      <c r="L3" s="13">
        <v>0.6</v>
      </c>
      <c r="M3" s="13">
        <v>220.19</v>
      </c>
      <c r="N3" s="14">
        <v>427.22</v>
      </c>
      <c r="Q3" s="1">
        <f>B3*10^6/(C3*130*30)</f>
        <v>256.41025641025641</v>
      </c>
      <c r="R3" t="str" cm="1">
        <f t="array" ref="R3">_xlfn.IFS(Q3&lt;42.7, "low",
Q3&lt;85.4,"medium low",
Q3&lt;128,"medium high",
Q3&gt;=128,"high"
)</f>
        <v>high</v>
      </c>
      <c r="S3" t="str" cm="1">
        <f t="array" ref="S3">_xlfn.IFS(J3&lt;700,"low",J3&lt;1600,"medium low",J3&lt;2200,"medium high",J3&gt;=2200,"high")</f>
        <v>low</v>
      </c>
      <c r="T3" t="str" cm="1">
        <f t="array" ref="T3">_xlfn.IFS(
J3&lt;630,"Low",
J3&lt;1287,"Medium",
J3&lt;1495,"Intermediate",
J3&lt;1668,"Moderately",
J3&lt;1843,"Transition",
J3&lt;2477,"High",
J3&lt;2996,"Refractory I",
TRUE,"Refractory II"
)</f>
        <v>Medium</v>
      </c>
      <c r="U3">
        <f>N3/M3</f>
        <v>1.9402334347608885</v>
      </c>
      <c r="V3" t="str" cm="1">
        <f t="array" ref="V3">_xlfn.IFS(U3&lt;0.25,"shallow condution",
U3&lt;0.5,"transition",
U3&lt;1,"conduction",
U3&lt;1.5,"transition",U3&lt;3,"keyholeⅠ",3&lt;=U3,"keyhole Ⅱ"
)</f>
        <v>keyholeⅠ</v>
      </c>
      <c r="W3" t="s">
        <v>72</v>
      </c>
      <c r="X3">
        <f>M3/N3</f>
        <v>0.5154019006600814</v>
      </c>
      <c r="Z3" t="s">
        <v>72</v>
      </c>
    </row>
    <row r="4" spans="1:28" ht="14.45" thickBot="1">
      <c r="A4" s="2" t="s">
        <v>42</v>
      </c>
      <c r="B4" s="4">
        <v>200</v>
      </c>
      <c r="C4" s="4">
        <v>400</v>
      </c>
      <c r="D4" s="4">
        <v>1.738</v>
      </c>
      <c r="E4" s="4">
        <v>8.6999999999999993</v>
      </c>
      <c r="F4" s="4">
        <v>127.4</v>
      </c>
      <c r="G4" s="13" t="s">
        <v>71</v>
      </c>
      <c r="H4" s="4">
        <v>1.0229999999999999</v>
      </c>
      <c r="I4" s="4">
        <v>156</v>
      </c>
      <c r="J4" s="4">
        <v>650</v>
      </c>
      <c r="K4" s="4">
        <v>1090</v>
      </c>
      <c r="L4" s="4">
        <v>0.6</v>
      </c>
      <c r="M4" s="4">
        <v>197.4</v>
      </c>
      <c r="N4" s="5">
        <v>243.73</v>
      </c>
      <c r="Q4" s="1">
        <f t="shared" ref="Q4:Q67" si="0">B4*10^6/(C4*130*30)</f>
        <v>128.2051282051282</v>
      </c>
      <c r="R4" t="str" cm="1">
        <f t="array" ref="R4">_xlfn.IFS(Q4&lt;42.7, "low",
Q4&lt;85.4,"medium low",
Q4&lt;128,"medium high",
Q4&gt;=128,"high"
)</f>
        <v>high</v>
      </c>
      <c r="S4" t="str" cm="1">
        <f t="array" ref="S4">_xlfn.IFS(J4&lt;700,"low",J4&lt;1600,"medium low",J4&lt;2200,"medium high",J4&gt;=2200,"high")</f>
        <v>low</v>
      </c>
      <c r="T4" t="str" cm="1">
        <f t="array" ref="T4">_xlfn.IFS(
J4&lt;630,"Low",
J4&lt;1287,"Medium",
J4&lt;1495,"Intermediate",
J4&lt;1668,"Moderately",
J4&lt;1843,"Transition",
J4&lt;2477,"High",
J4&lt;2996,"Refractory I",
TRUE,"Refractory II"
)</f>
        <v>Medium</v>
      </c>
      <c r="U4">
        <f t="shared" ref="U4:U67" si="1">N4/M4</f>
        <v>1.2347011144883484</v>
      </c>
      <c r="V4" t="str" cm="1">
        <f t="array" ref="V4">_xlfn.IFS(U4&lt;0.25,"shallow condution",
U4&lt;0.5,"transition",
U4&lt;1,"conduction",
U4&lt;1.5,"transition",U4&lt;3,"keyholeⅠ",3&lt;=U4,"keyhole Ⅱ"
)</f>
        <v>transition</v>
      </c>
      <c r="W4" t="s">
        <v>72</v>
      </c>
      <c r="X4">
        <f t="shared" ref="X4:X67" si="2">M4/N4</f>
        <v>0.80991260821400735</v>
      </c>
      <c r="Z4" t="s">
        <v>73</v>
      </c>
    </row>
    <row r="5" spans="1:28" ht="14.45" thickBot="1">
      <c r="A5" s="2" t="s">
        <v>42</v>
      </c>
      <c r="B5" s="4">
        <v>200</v>
      </c>
      <c r="C5" s="4">
        <v>600</v>
      </c>
      <c r="D5" s="4">
        <v>1.738</v>
      </c>
      <c r="E5" s="4">
        <v>8.6999999999999993</v>
      </c>
      <c r="F5" s="4">
        <v>127.4</v>
      </c>
      <c r="G5" s="13" t="s">
        <v>71</v>
      </c>
      <c r="H5" s="4">
        <v>1.0229999999999999</v>
      </c>
      <c r="I5" s="4">
        <v>156</v>
      </c>
      <c r="J5" s="4">
        <v>650</v>
      </c>
      <c r="K5" s="4">
        <v>1090</v>
      </c>
      <c r="L5" s="4">
        <v>0.6</v>
      </c>
      <c r="M5" s="4">
        <v>163.18</v>
      </c>
      <c r="N5" s="5">
        <v>167</v>
      </c>
      <c r="Q5" s="1">
        <f t="shared" si="0"/>
        <v>85.470085470085465</v>
      </c>
      <c r="R5" t="str" cm="1">
        <f t="array" ref="R5">_xlfn.IFS(Q5&lt;42.7, "low",
Q5&lt;85.4,"medium low",
Q5&lt;128,"medium high",
Q5&gt;=128,"high"
)</f>
        <v>medium high</v>
      </c>
      <c r="S5" t="str" cm="1">
        <f t="array" ref="S5">_xlfn.IFS(J5&lt;700,"low",J5&lt;1600,"medium low",J5&lt;2200,"medium high",J5&gt;=2200,"high")</f>
        <v>low</v>
      </c>
      <c r="T5" t="str" cm="1">
        <f t="array" ref="T5">_xlfn.IFS(
J5&lt;630,"Low",
J5&lt;1287,"Medium",
J5&lt;1495,"Intermediate",
J5&lt;1668,"Moderately",
J5&lt;1843,"Transition",
J5&lt;2477,"High",
J5&lt;2996,"Refractory I",
TRUE,"Refractory II"
)</f>
        <v>Medium</v>
      </c>
      <c r="U5">
        <f t="shared" si="1"/>
        <v>1.023409731584753</v>
      </c>
      <c r="V5" t="str" cm="1">
        <f t="array" ref="V5">_xlfn.IFS(U5&lt;0.25,"shallow condution",
U5&lt;0.5,"transition",
U5&lt;1,"conduction",
U5&lt;1.5,"transition",U5&lt;3,"keyholeⅠ",3&lt;=U5,"keyhole Ⅱ"
)</f>
        <v>transition</v>
      </c>
      <c r="W5" t="s">
        <v>74</v>
      </c>
      <c r="X5">
        <f t="shared" si="2"/>
        <v>0.97712574850299405</v>
      </c>
      <c r="Z5" t="s">
        <v>75</v>
      </c>
    </row>
    <row r="6" spans="1:28" ht="14.45" thickBot="1">
      <c r="A6" s="2" t="s">
        <v>42</v>
      </c>
      <c r="B6" s="4">
        <v>200</v>
      </c>
      <c r="C6" s="4">
        <v>800</v>
      </c>
      <c r="D6" s="4">
        <v>1.738</v>
      </c>
      <c r="E6" s="4">
        <v>8.6999999999999993</v>
      </c>
      <c r="F6" s="4">
        <v>127.4</v>
      </c>
      <c r="G6" s="13" t="s">
        <v>71</v>
      </c>
      <c r="H6" s="4">
        <v>1.0229999999999999</v>
      </c>
      <c r="I6" s="4">
        <v>156</v>
      </c>
      <c r="J6" s="4">
        <v>650</v>
      </c>
      <c r="K6" s="4">
        <v>1090</v>
      </c>
      <c r="L6" s="4">
        <v>0.6</v>
      </c>
      <c r="M6" s="4">
        <v>151.47999999999999</v>
      </c>
      <c r="N6" s="5">
        <v>96</v>
      </c>
      <c r="Q6" s="1">
        <f t="shared" si="0"/>
        <v>64.102564102564102</v>
      </c>
      <c r="R6" t="str" cm="1">
        <f t="array" ref="R6">_xlfn.IFS(Q6&lt;42.7, "low",
Q6&lt;85.4,"medium low",
Q6&lt;128,"medium high",
Q6&gt;=128,"high"
)</f>
        <v>medium low</v>
      </c>
      <c r="S6" t="str" cm="1">
        <f t="array" ref="S6">_xlfn.IFS(J6&lt;700,"low",J6&lt;1600,"medium low",J6&lt;2200,"medium high",J6&gt;=2200,"high")</f>
        <v>low</v>
      </c>
      <c r="T6" t="str" cm="1">
        <f t="array" ref="T6">_xlfn.IFS(
J6&lt;630,"Low",
J6&lt;1287,"Medium",
J6&lt;1495,"Intermediate",
J6&lt;1668,"Moderately",
J6&lt;1843,"Transition",
J6&lt;2477,"High",
J6&lt;2996,"Refractory I",
TRUE,"Refractory II"
)</f>
        <v>Medium</v>
      </c>
      <c r="U6">
        <f t="shared" si="1"/>
        <v>0.63374702931080018</v>
      </c>
      <c r="V6" t="str" cm="1">
        <f t="array" ref="V6">_xlfn.IFS(U6&lt;0.25,"shallow condution",
U6&lt;0.5,"transition",
U6&lt;1,"conduction",
U6&lt;1.5,"transition",U6&lt;3,"keyholeⅠ",3&lt;=U6,"keyhole Ⅱ"
)</f>
        <v>conduction</v>
      </c>
      <c r="W6" t="s">
        <v>76</v>
      </c>
      <c r="X6">
        <f t="shared" si="2"/>
        <v>1.5779166666666666</v>
      </c>
      <c r="Z6" t="s">
        <v>77</v>
      </c>
    </row>
    <row r="7" spans="1:28" ht="14.45" thickBot="1">
      <c r="A7" s="2" t="s">
        <v>42</v>
      </c>
      <c r="B7" s="4">
        <v>200</v>
      </c>
      <c r="C7" s="4">
        <v>1200</v>
      </c>
      <c r="D7" s="4">
        <v>1.738</v>
      </c>
      <c r="E7" s="4">
        <v>8.6999999999999993</v>
      </c>
      <c r="F7" s="4">
        <v>127.4</v>
      </c>
      <c r="G7" s="13" t="s">
        <v>71</v>
      </c>
      <c r="H7" s="4">
        <v>1.0229999999999999</v>
      </c>
      <c r="I7" s="4">
        <v>156</v>
      </c>
      <c r="J7" s="4">
        <v>650</v>
      </c>
      <c r="K7" s="4">
        <v>1090</v>
      </c>
      <c r="L7" s="4">
        <v>0.6</v>
      </c>
      <c r="M7" s="4">
        <v>131.46</v>
      </c>
      <c r="N7" s="5">
        <v>62.18</v>
      </c>
      <c r="Q7" s="1">
        <f t="shared" si="0"/>
        <v>42.735042735042732</v>
      </c>
      <c r="R7" t="str" cm="1">
        <f t="array" ref="R7">_xlfn.IFS(Q7&lt;42.7, "low",
Q7&lt;85.4,"medium low",
Q7&lt;128,"medium high",
Q7&gt;=128,"high"
)</f>
        <v>medium low</v>
      </c>
      <c r="S7" t="str" cm="1">
        <f t="array" ref="S7">_xlfn.IFS(J7&lt;700,"low",J7&lt;1600,"medium low",J7&lt;2200,"medium high",J7&gt;=2200,"high")</f>
        <v>low</v>
      </c>
      <c r="T7" t="str" cm="1">
        <f t="array" ref="T7">_xlfn.IFS(
J7&lt;630,"Low",
J7&lt;1287,"Medium",
J7&lt;1495,"Intermediate",
J7&lt;1668,"Moderately",
J7&lt;1843,"Transition",
J7&lt;2477,"High",
J7&lt;2996,"Refractory I",
TRUE,"Refractory II"
)</f>
        <v>Medium</v>
      </c>
      <c r="U7">
        <f t="shared" si="1"/>
        <v>0.47299558801156244</v>
      </c>
      <c r="V7" t="str" cm="1">
        <f t="array" ref="V7">_xlfn.IFS(U7&lt;0.25,"shallow condution",
U7&lt;0.5,"transition",
U7&lt;1,"conduction",
U7&lt;1.5,"transition",U7&lt;3,"keyholeⅠ",3&lt;=U7,"keyhole Ⅱ"
)</f>
        <v>transition</v>
      </c>
      <c r="X7">
        <f t="shared" si="2"/>
        <v>2.1141846252814411</v>
      </c>
      <c r="Z7" t="s">
        <v>76</v>
      </c>
    </row>
    <row r="8" spans="1:28" ht="14.45" thickBot="1">
      <c r="A8" s="2" t="s">
        <v>42</v>
      </c>
      <c r="B8" s="4">
        <v>200</v>
      </c>
      <c r="C8" s="4">
        <v>1600</v>
      </c>
      <c r="D8" s="4">
        <v>1.738</v>
      </c>
      <c r="E8" s="4">
        <v>8.6999999999999993</v>
      </c>
      <c r="F8" s="4">
        <v>127.4</v>
      </c>
      <c r="G8" s="13" t="s">
        <v>71</v>
      </c>
      <c r="H8" s="4">
        <v>1.0229999999999999</v>
      </c>
      <c r="I8" s="4">
        <v>156</v>
      </c>
      <c r="J8" s="4">
        <v>650</v>
      </c>
      <c r="K8" s="4">
        <v>1090</v>
      </c>
      <c r="L8" s="4">
        <v>0.6</v>
      </c>
      <c r="M8" s="4">
        <v>115.55</v>
      </c>
      <c r="N8" s="5">
        <v>49</v>
      </c>
      <c r="Q8" s="1">
        <f t="shared" si="0"/>
        <v>32.051282051282051</v>
      </c>
      <c r="R8" t="str" cm="1">
        <f t="array" ref="R8">_xlfn.IFS(Q8&lt;42.7, "low",
Q8&lt;85.4,"medium low",
Q8&lt;128,"medium high",
Q8&gt;=128,"high"
)</f>
        <v>low</v>
      </c>
      <c r="S8" t="str" cm="1">
        <f t="array" ref="S8">_xlfn.IFS(J8&lt;700,"low",J8&lt;1600,"medium low",J8&lt;2200,"medium high",J8&gt;=2200,"high")</f>
        <v>low</v>
      </c>
      <c r="T8" t="str" cm="1">
        <f t="array" ref="T8">_xlfn.IFS(
J8&lt;630,"Low",
J8&lt;1287,"Medium",
J8&lt;1495,"Intermediate",
J8&lt;1668,"Moderately",
J8&lt;1843,"Transition",
J8&lt;2477,"High",
J8&lt;2996,"Refractory I",
TRUE,"Refractory II"
)</f>
        <v>Medium</v>
      </c>
      <c r="U8">
        <f t="shared" si="1"/>
        <v>0.42405884898312418</v>
      </c>
      <c r="V8" t="str" cm="1">
        <f t="array" ref="V8">_xlfn.IFS(U8&lt;0.25,"shallow condution",
U8&lt;0.5,"transition",
U8&lt;1,"conduction",
U8&lt;1.5,"transition",U8&lt;3,"keyholeⅠ",3&lt;=U8,"keyhole Ⅱ"
)</f>
        <v>transition</v>
      </c>
      <c r="X8">
        <f t="shared" si="2"/>
        <v>2.3581632653061222</v>
      </c>
      <c r="Z8" t="s">
        <v>78</v>
      </c>
    </row>
    <row r="9" spans="1:28" ht="14.45" thickBot="1">
      <c r="A9" s="2" t="s">
        <v>42</v>
      </c>
      <c r="B9" s="4">
        <v>200</v>
      </c>
      <c r="C9" s="4">
        <v>2000</v>
      </c>
      <c r="D9" s="4">
        <v>1.738</v>
      </c>
      <c r="E9" s="4">
        <v>8.6999999999999993</v>
      </c>
      <c r="F9" s="4">
        <v>127.4</v>
      </c>
      <c r="G9" s="13" t="s">
        <v>71</v>
      </c>
      <c r="H9" s="4">
        <v>1.0229999999999999</v>
      </c>
      <c r="I9" s="4">
        <v>156</v>
      </c>
      <c r="J9" s="4">
        <v>650</v>
      </c>
      <c r="K9" s="4">
        <v>1090</v>
      </c>
      <c r="L9" s="4">
        <v>0.6</v>
      </c>
      <c r="M9" s="4">
        <v>81.540000000000006</v>
      </c>
      <c r="N9" s="5">
        <v>32.590000000000003</v>
      </c>
      <c r="Q9" s="1">
        <f t="shared" si="0"/>
        <v>25.641025641025642</v>
      </c>
      <c r="R9" t="str" cm="1">
        <f t="array" ref="R9">_xlfn.IFS(Q9&lt;42.7, "low",
Q9&lt;85.4,"medium low",
Q9&lt;128,"medium high",
Q9&gt;=128,"high"
)</f>
        <v>low</v>
      </c>
      <c r="S9" t="str" cm="1">
        <f t="array" ref="S9">_xlfn.IFS(J9&lt;700,"low",J9&lt;1600,"medium low",J9&lt;2200,"medium high",J9&gt;=2200,"high")</f>
        <v>low</v>
      </c>
      <c r="T9" t="str" cm="1">
        <f t="array" ref="T9">_xlfn.IFS(
J9&lt;630,"Low",
J9&lt;1287,"Medium",
J9&lt;1495,"Intermediate",
J9&lt;1668,"Moderately",
J9&lt;1843,"Transition",
J9&lt;2477,"High",
J9&lt;2996,"Refractory I",
TRUE,"Refractory II"
)</f>
        <v>Medium</v>
      </c>
      <c r="U9">
        <f t="shared" si="1"/>
        <v>0.39968113809173411</v>
      </c>
      <c r="V9" t="str" cm="1">
        <f t="array" ref="V9">_xlfn.IFS(U9&lt;0.25,"shallow condution",
U9&lt;0.5,"transition",
U9&lt;1,"conduction",
U9&lt;1.5,"transition",U9&lt;3,"keyholeⅠ",3&lt;=U9,"keyhole Ⅱ"
)</f>
        <v>transition</v>
      </c>
      <c r="X9">
        <f t="shared" si="2"/>
        <v>2.5019944768333846</v>
      </c>
      <c r="Z9" t="s">
        <v>74</v>
      </c>
    </row>
    <row r="10" spans="1:28" ht="14.45" thickBot="1">
      <c r="A10" s="2" t="s">
        <v>42</v>
      </c>
      <c r="B10" s="4">
        <v>200</v>
      </c>
      <c r="C10" s="4">
        <v>2400</v>
      </c>
      <c r="D10" s="4">
        <v>1.738</v>
      </c>
      <c r="E10" s="4">
        <v>8.6999999999999993</v>
      </c>
      <c r="F10" s="4">
        <v>127.4</v>
      </c>
      <c r="G10" s="13" t="s">
        <v>71</v>
      </c>
      <c r="H10" s="4">
        <v>1.0229999999999999</v>
      </c>
      <c r="I10" s="4">
        <v>156</v>
      </c>
      <c r="J10" s="4">
        <v>650</v>
      </c>
      <c r="K10" s="4">
        <v>1090</v>
      </c>
      <c r="L10" s="4">
        <v>0.6</v>
      </c>
      <c r="M10" s="4">
        <v>55.54</v>
      </c>
      <c r="N10" s="5">
        <v>26.23</v>
      </c>
      <c r="Q10" s="1">
        <f t="shared" si="0"/>
        <v>21.367521367521366</v>
      </c>
      <c r="R10" t="str" cm="1">
        <f t="array" ref="R10">_xlfn.IFS(Q10&lt;42.7, "low",
Q10&lt;85.4,"medium low",
Q10&lt;128,"medium high",
Q10&gt;=128,"high"
)</f>
        <v>low</v>
      </c>
      <c r="S10" t="str" cm="1">
        <f t="array" ref="S10">_xlfn.IFS(J10&lt;700,"low",J10&lt;1600,"medium low",J10&lt;2200,"medium high",J10&gt;=2200,"high")</f>
        <v>low</v>
      </c>
      <c r="T10" t="str" cm="1">
        <f t="array" ref="T10">_xlfn.IFS(
J10&lt;630,"Low",
J10&lt;1287,"Medium",
J10&lt;1495,"Intermediate",
J10&lt;1668,"Moderately",
J10&lt;1843,"Transition",
J10&lt;2477,"High",
J10&lt;2996,"Refractory I",
TRUE,"Refractory II"
)</f>
        <v>Medium</v>
      </c>
      <c r="U10">
        <f t="shared" si="1"/>
        <v>0.47227223622614334</v>
      </c>
      <c r="V10" t="str" cm="1">
        <f t="array" ref="V10">_xlfn.IFS(U10&lt;0.25,"shallow condution",
U10&lt;0.5,"transition",
U10&lt;1,"conduction",
U10&lt;1.5,"transition",U10&lt;3,"keyholeⅠ",3&lt;=U10,"keyhole Ⅱ"
)</f>
        <v>transition</v>
      </c>
      <c r="X10">
        <f t="shared" si="2"/>
        <v>2.1174227983225316</v>
      </c>
    </row>
    <row r="11" spans="1:28" ht="14.45" thickBot="1">
      <c r="A11" s="2" t="s">
        <v>42</v>
      </c>
      <c r="B11" s="4">
        <v>350</v>
      </c>
      <c r="C11" s="4">
        <v>400</v>
      </c>
      <c r="D11" s="4">
        <v>1.738</v>
      </c>
      <c r="E11" s="4">
        <v>8.6999999999999993</v>
      </c>
      <c r="F11" s="4">
        <v>127.4</v>
      </c>
      <c r="G11" s="13" t="s">
        <v>71</v>
      </c>
      <c r="H11" s="4">
        <v>1.0229999999999999</v>
      </c>
      <c r="I11" s="4">
        <v>156</v>
      </c>
      <c r="J11" s="4">
        <v>650</v>
      </c>
      <c r="K11" s="4">
        <v>1090</v>
      </c>
      <c r="L11" s="4">
        <v>0.6</v>
      </c>
      <c r="M11" s="4">
        <v>240</v>
      </c>
      <c r="N11" s="5">
        <v>355.4</v>
      </c>
      <c r="Q11" s="1">
        <f t="shared" si="0"/>
        <v>224.35897435897436</v>
      </c>
      <c r="R11" t="str" cm="1">
        <f t="array" ref="R11">_xlfn.IFS(Q11&lt;42.7, "low",
Q11&lt;85.4,"medium low",
Q11&lt;128,"medium high",
Q11&gt;=128,"high"
)</f>
        <v>high</v>
      </c>
      <c r="S11" t="str" cm="1">
        <f t="array" ref="S11">_xlfn.IFS(J11&lt;700,"low",J11&lt;1600,"medium low",J11&lt;2200,"medium high",J11&gt;=2200,"high")</f>
        <v>low</v>
      </c>
      <c r="T11" t="str" cm="1">
        <f t="array" ref="T11">_xlfn.IFS(
J11&lt;630,"Low",
J11&lt;1287,"Medium",
J11&lt;1495,"Intermediate",
J11&lt;1668,"Moderately",
J11&lt;1843,"Transition",
J11&lt;2477,"High",
J11&lt;2996,"Refractory I",
TRUE,"Refractory II"
)</f>
        <v>Medium</v>
      </c>
      <c r="U11">
        <f t="shared" si="1"/>
        <v>1.4808333333333332</v>
      </c>
      <c r="V11" t="str" cm="1">
        <f t="array" ref="V11">_xlfn.IFS(U11&lt;0.25,"shallow condution",
U11&lt;0.5,"transition",
U11&lt;1,"conduction",
U11&lt;1.5,"transition",U11&lt;3,"keyholeⅠ",3&lt;=U11,"keyhole Ⅱ"
)</f>
        <v>transition</v>
      </c>
      <c r="W11" t="s">
        <v>72</v>
      </c>
      <c r="X11">
        <f t="shared" si="2"/>
        <v>0.67529544175576817</v>
      </c>
      <c r="Z11" t="s">
        <v>79</v>
      </c>
      <c r="AA11" t="s">
        <v>80</v>
      </c>
      <c r="AB11">
        <f>MAX(J3:J1994)</f>
        <v>3422</v>
      </c>
    </row>
    <row r="12" spans="1:28" ht="14.45" thickBot="1">
      <c r="A12" s="2" t="s">
        <v>42</v>
      </c>
      <c r="B12" s="4">
        <v>350</v>
      </c>
      <c r="C12" s="4">
        <v>600</v>
      </c>
      <c r="D12" s="4">
        <v>1.738</v>
      </c>
      <c r="E12" s="4">
        <v>8.6999999999999993</v>
      </c>
      <c r="F12" s="4">
        <v>127.4</v>
      </c>
      <c r="G12" s="13" t="s">
        <v>71</v>
      </c>
      <c r="H12" s="4">
        <v>1.0229999999999999</v>
      </c>
      <c r="I12" s="4">
        <v>156</v>
      </c>
      <c r="J12" s="4">
        <v>650</v>
      </c>
      <c r="K12" s="4">
        <v>1090</v>
      </c>
      <c r="L12" s="4">
        <v>0.6</v>
      </c>
      <c r="M12" s="4">
        <v>218.16</v>
      </c>
      <c r="N12" s="5">
        <v>272.18</v>
      </c>
      <c r="Q12" s="1">
        <f t="shared" si="0"/>
        <v>149.57264957264957</v>
      </c>
      <c r="R12" t="str" cm="1">
        <f t="array" ref="R12">_xlfn.IFS(Q12&lt;42.7, "low",
Q12&lt;85.4,"medium low",
Q12&lt;128,"medium high",
Q12&gt;=128,"high"
)</f>
        <v>high</v>
      </c>
      <c r="S12" t="str" cm="1">
        <f t="array" ref="S12">_xlfn.IFS(J12&lt;700,"low",J12&lt;1600,"medium low",J12&lt;2200,"medium high",J12&gt;=2200,"high")</f>
        <v>low</v>
      </c>
      <c r="T12" t="str" cm="1">
        <f t="array" ref="T12">_xlfn.IFS(
J12&lt;630,"Low",
J12&lt;1287,"Medium",
J12&lt;1495,"Intermediate",
J12&lt;1668,"Moderately",
J12&lt;1843,"Transition",
J12&lt;2477,"High",
J12&lt;2996,"Refractory I",
TRUE,"Refractory II"
)</f>
        <v>Medium</v>
      </c>
      <c r="U12">
        <f t="shared" si="1"/>
        <v>1.2476164283094977</v>
      </c>
      <c r="V12" t="str" cm="1">
        <f t="array" ref="V12">_xlfn.IFS(U12&lt;0.25,"shallow condution",
U12&lt;0.5,"transition",
U12&lt;1,"conduction",
U12&lt;1.5,"transition",U12&lt;3,"keyholeⅠ",3&lt;=U12,"keyhole Ⅱ"
)</f>
        <v>transition</v>
      </c>
      <c r="W12" t="s">
        <v>72</v>
      </c>
      <c r="X12">
        <f t="shared" si="2"/>
        <v>0.8015284003233154</v>
      </c>
      <c r="AA12" t="s">
        <v>81</v>
      </c>
      <c r="AB12">
        <f>MIN(J3:J1994)</f>
        <v>232</v>
      </c>
    </row>
    <row r="13" spans="1:28" ht="14.45" thickBot="1">
      <c r="A13" s="2" t="s">
        <v>42</v>
      </c>
      <c r="B13" s="4">
        <v>350</v>
      </c>
      <c r="C13" s="4">
        <v>800</v>
      </c>
      <c r="D13" s="4">
        <v>1.738</v>
      </c>
      <c r="E13" s="4">
        <v>8.6999999999999993</v>
      </c>
      <c r="F13" s="4">
        <v>127.4</v>
      </c>
      <c r="G13" s="13" t="s">
        <v>71</v>
      </c>
      <c r="H13" s="4">
        <v>1.0229999999999999</v>
      </c>
      <c r="I13" s="4">
        <v>156</v>
      </c>
      <c r="J13" s="4">
        <v>650</v>
      </c>
      <c r="K13" s="4">
        <v>1090</v>
      </c>
      <c r="L13" s="4">
        <v>0.6</v>
      </c>
      <c r="M13" s="4">
        <v>195</v>
      </c>
      <c r="N13" s="5">
        <v>198.44</v>
      </c>
      <c r="Q13" s="1">
        <f t="shared" si="0"/>
        <v>112.17948717948718</v>
      </c>
      <c r="R13" t="str" cm="1">
        <f t="array" ref="R13">_xlfn.IFS(Q13&lt;42.7, "low",
Q13&lt;85.4,"medium low",
Q13&lt;128,"medium high",
Q13&gt;=128,"high"
)</f>
        <v>medium high</v>
      </c>
      <c r="S13" t="str" cm="1">
        <f t="array" ref="S13">_xlfn.IFS(J13&lt;700,"low",J13&lt;1600,"medium low",J13&lt;2200,"medium high",J13&gt;=2200,"high")</f>
        <v>low</v>
      </c>
      <c r="T13" t="str" cm="1">
        <f t="array" ref="T13">_xlfn.IFS(
J13&lt;630,"Low",
J13&lt;1287,"Medium",
J13&lt;1495,"Intermediate",
J13&lt;1668,"Moderately",
J13&lt;1843,"Transition",
J13&lt;2477,"High",
J13&lt;2996,"Refractory I",
TRUE,"Refractory II"
)</f>
        <v>Medium</v>
      </c>
      <c r="U13">
        <f t="shared" si="1"/>
        <v>1.0176410256410255</v>
      </c>
      <c r="V13" t="str" cm="1">
        <f t="array" ref="V13">_xlfn.IFS(U13&lt;0.25,"shallow condution",
U13&lt;0.5,"transition",
U13&lt;1,"conduction",
U13&lt;1.5,"transition",U13&lt;3,"keyholeⅠ",3&lt;=U13,"keyhole Ⅱ"
)</f>
        <v>transition</v>
      </c>
      <c r="W13" t="s">
        <v>74</v>
      </c>
      <c r="X13">
        <f t="shared" si="2"/>
        <v>0.98266478532553925</v>
      </c>
      <c r="Z13" t="s">
        <v>82</v>
      </c>
      <c r="AA13" t="s">
        <v>80</v>
      </c>
      <c r="AB13">
        <f>MAX(U3:U1994)</f>
        <v>7.3611603369775613</v>
      </c>
    </row>
    <row r="14" spans="1:28" ht="14.45" thickBot="1">
      <c r="A14" s="2" t="s">
        <v>42</v>
      </c>
      <c r="B14" s="4">
        <v>350</v>
      </c>
      <c r="C14" s="4">
        <v>1000</v>
      </c>
      <c r="D14" s="4">
        <v>1.738</v>
      </c>
      <c r="E14" s="4">
        <v>8.6999999999999993</v>
      </c>
      <c r="F14" s="4">
        <v>127.4</v>
      </c>
      <c r="G14" s="13" t="s">
        <v>71</v>
      </c>
      <c r="H14" s="4">
        <v>1.0229999999999999</v>
      </c>
      <c r="I14" s="4">
        <v>156</v>
      </c>
      <c r="J14" s="4">
        <v>650</v>
      </c>
      <c r="K14" s="4">
        <v>1090</v>
      </c>
      <c r="L14" s="4">
        <v>0.6</v>
      </c>
      <c r="M14" s="4">
        <v>175.62</v>
      </c>
      <c r="N14" s="5">
        <v>116.51</v>
      </c>
      <c r="Q14" s="1">
        <f t="shared" si="0"/>
        <v>89.743589743589737</v>
      </c>
      <c r="R14" t="str" cm="1">
        <f t="array" ref="R14">_xlfn.IFS(Q14&lt;42.7, "low",
Q14&lt;85.4,"medium low",
Q14&lt;128,"medium high",
Q14&gt;=128,"high"
)</f>
        <v>medium high</v>
      </c>
      <c r="S14" t="str" cm="1">
        <f t="array" ref="S14">_xlfn.IFS(J14&lt;700,"low",J14&lt;1600,"medium low",J14&lt;2200,"medium high",J14&gt;=2200,"high")</f>
        <v>low</v>
      </c>
      <c r="T14" t="str" cm="1">
        <f t="array" ref="T14">_xlfn.IFS(
J14&lt;630,"Low",
J14&lt;1287,"Medium",
J14&lt;1495,"Intermediate",
J14&lt;1668,"Moderately",
J14&lt;1843,"Transition",
J14&lt;2477,"High",
J14&lt;2996,"Refractory I",
TRUE,"Refractory II"
)</f>
        <v>Medium</v>
      </c>
      <c r="U14">
        <f t="shared" si="1"/>
        <v>0.66342102266256697</v>
      </c>
      <c r="V14" t="str" cm="1">
        <f t="array" ref="V14">_xlfn.IFS(U14&lt;0.25,"shallow condution",
U14&lt;0.5,"transition",
U14&lt;1,"conduction",
U14&lt;1.5,"transition",U14&lt;3,"keyholeⅠ",3&lt;=U14,"keyhole Ⅱ"
)</f>
        <v>conduction</v>
      </c>
      <c r="W14" t="s">
        <v>76</v>
      </c>
      <c r="X14">
        <f t="shared" si="2"/>
        <v>1.5073384258861899</v>
      </c>
      <c r="AA14" t="s">
        <v>81</v>
      </c>
      <c r="AB14">
        <f>MIN(U3:U1996)</f>
        <v>7.1739130434782611E-2</v>
      </c>
    </row>
    <row r="15" spans="1:28" ht="14.45" thickBot="1">
      <c r="A15" s="2" t="s">
        <v>42</v>
      </c>
      <c r="B15" s="4">
        <v>350</v>
      </c>
      <c r="C15" s="4">
        <v>1200</v>
      </c>
      <c r="D15" s="4">
        <v>1.738</v>
      </c>
      <c r="E15" s="4">
        <v>8.6999999999999993</v>
      </c>
      <c r="F15" s="4">
        <v>127.4</v>
      </c>
      <c r="G15" s="13" t="s">
        <v>71</v>
      </c>
      <c r="H15" s="4">
        <v>1.0229999999999999</v>
      </c>
      <c r="I15" s="4">
        <v>156</v>
      </c>
      <c r="J15" s="4">
        <v>650</v>
      </c>
      <c r="K15" s="4">
        <v>1090</v>
      </c>
      <c r="L15" s="4">
        <v>0.6</v>
      </c>
      <c r="M15" s="4">
        <v>146.58000000000001</v>
      </c>
      <c r="N15" s="5">
        <v>92.31</v>
      </c>
      <c r="Q15" s="1">
        <f t="shared" si="0"/>
        <v>74.786324786324784</v>
      </c>
      <c r="R15" t="str" cm="1">
        <f t="array" ref="R15">_xlfn.IFS(Q15&lt;42.7, "low",
Q15&lt;85.4,"medium low",
Q15&lt;128,"medium high",
Q15&gt;=128,"high"
)</f>
        <v>medium low</v>
      </c>
      <c r="S15" t="str" cm="1">
        <f t="array" ref="S15">_xlfn.IFS(J15&lt;700,"low",J15&lt;1600,"medium low",J15&lt;2200,"medium high",J15&gt;=2200,"high")</f>
        <v>low</v>
      </c>
      <c r="T15" t="str" cm="1">
        <f t="array" ref="T15">_xlfn.IFS(
J15&lt;630,"Low",
J15&lt;1287,"Medium",
J15&lt;1495,"Intermediate",
J15&lt;1668,"Moderately",
J15&lt;1843,"Transition",
J15&lt;2477,"High",
J15&lt;2996,"Refractory I",
TRUE,"Refractory II"
)</f>
        <v>Medium</v>
      </c>
      <c r="U15">
        <f t="shared" si="1"/>
        <v>0.62975849365534176</v>
      </c>
      <c r="V15" t="str" cm="1">
        <f t="array" ref="V15">_xlfn.IFS(U15&lt;0.25,"shallow condution",
U15&lt;0.5,"transition",
U15&lt;1,"conduction",
U15&lt;1.5,"transition",U15&lt;3,"keyholeⅠ",3&lt;=U15,"keyhole Ⅱ"
)</f>
        <v>conduction</v>
      </c>
      <c r="X15">
        <f t="shared" si="2"/>
        <v>1.5879103022424441</v>
      </c>
    </row>
    <row r="16" spans="1:28" ht="14.45" thickBot="1">
      <c r="A16" s="2" t="s">
        <v>42</v>
      </c>
      <c r="B16" s="4">
        <v>350</v>
      </c>
      <c r="C16" s="4">
        <v>1600</v>
      </c>
      <c r="D16" s="4">
        <v>1.738</v>
      </c>
      <c r="E16" s="4">
        <v>8.6999999999999993</v>
      </c>
      <c r="F16" s="4">
        <v>127.4</v>
      </c>
      <c r="G16" s="13" t="s">
        <v>71</v>
      </c>
      <c r="H16" s="4">
        <v>1.0229999999999999</v>
      </c>
      <c r="I16" s="4">
        <v>156</v>
      </c>
      <c r="J16" s="4">
        <v>650</v>
      </c>
      <c r="K16" s="4">
        <v>1090</v>
      </c>
      <c r="L16" s="4">
        <v>0.6</v>
      </c>
      <c r="M16" s="4">
        <v>120.87</v>
      </c>
      <c r="N16" s="5">
        <v>79.5</v>
      </c>
      <c r="Q16" s="1">
        <f t="shared" si="0"/>
        <v>56.089743589743591</v>
      </c>
      <c r="R16" t="str" cm="1">
        <f t="array" ref="R16">_xlfn.IFS(Q16&lt;42.7, "low",
Q16&lt;85.4,"medium low",
Q16&lt;128,"medium high",
Q16&gt;=128,"high"
)</f>
        <v>medium low</v>
      </c>
      <c r="S16" t="str" cm="1">
        <f t="array" ref="S16">_xlfn.IFS(J16&lt;700,"low",J16&lt;1600,"medium low",J16&lt;2200,"medium high",J16&gt;=2200,"high")</f>
        <v>low</v>
      </c>
      <c r="T16" t="str" cm="1">
        <f t="array" ref="T16">_xlfn.IFS(
J16&lt;630,"Low",
J16&lt;1287,"Medium",
J16&lt;1495,"Intermediate",
J16&lt;1668,"Moderately",
J16&lt;1843,"Transition",
J16&lt;2477,"High",
J16&lt;2996,"Refractory I",
TRUE,"Refractory II"
)</f>
        <v>Medium</v>
      </c>
      <c r="U16">
        <f t="shared" si="1"/>
        <v>0.6577314470091834</v>
      </c>
      <c r="V16" t="str" cm="1">
        <f t="array" ref="V16">_xlfn.IFS(U16&lt;0.25,"shallow condution",
U16&lt;0.5,"transition",
U16&lt;1,"conduction",
U16&lt;1.5,"transition",U16&lt;3,"keyholeⅠ",3&lt;=U16,"keyhole Ⅱ"
)</f>
        <v>conduction</v>
      </c>
      <c r="X16">
        <f t="shared" si="2"/>
        <v>1.520377358490566</v>
      </c>
      <c r="Z16" t="s">
        <v>79</v>
      </c>
      <c r="AA16" t="s">
        <v>80</v>
      </c>
      <c r="AB16">
        <f>MAX(J8:J1999)</f>
        <v>3422</v>
      </c>
    </row>
    <row r="17" spans="1:28" ht="14.45" thickBot="1">
      <c r="A17" s="2" t="s">
        <v>42</v>
      </c>
      <c r="B17" s="4">
        <v>350</v>
      </c>
      <c r="C17" s="4">
        <v>2000</v>
      </c>
      <c r="D17" s="4">
        <v>1.738</v>
      </c>
      <c r="E17" s="4">
        <v>8.6999999999999993</v>
      </c>
      <c r="F17" s="4">
        <v>127.4</v>
      </c>
      <c r="G17" s="13" t="s">
        <v>71</v>
      </c>
      <c r="H17" s="4">
        <v>1.0229999999999999</v>
      </c>
      <c r="I17" s="4">
        <v>156</v>
      </c>
      <c r="J17" s="4">
        <v>650</v>
      </c>
      <c r="K17" s="4">
        <v>1090</v>
      </c>
      <c r="L17" s="4">
        <v>0.6</v>
      </c>
      <c r="M17" s="4">
        <v>107.96</v>
      </c>
      <c r="N17" s="5">
        <v>51.42</v>
      </c>
      <c r="Q17" s="1">
        <f t="shared" si="0"/>
        <v>44.871794871794869</v>
      </c>
      <c r="R17" t="str" cm="1">
        <f t="array" ref="R17">_xlfn.IFS(Q17&lt;42.7, "low",
Q17&lt;85.4,"medium low",
Q17&lt;128,"medium high",
Q17&gt;=128,"high"
)</f>
        <v>medium low</v>
      </c>
      <c r="S17" t="str" cm="1">
        <f t="array" ref="S17">_xlfn.IFS(J17&lt;700,"low",J17&lt;1600,"medium low",J17&lt;2200,"medium high",J17&gt;=2200,"high")</f>
        <v>low</v>
      </c>
      <c r="T17" t="str" cm="1">
        <f t="array" ref="T17">_xlfn.IFS(
J17&lt;630,"Low",
J17&lt;1287,"Medium",
J17&lt;1495,"Intermediate",
J17&lt;1668,"Moderately",
J17&lt;1843,"Transition",
J17&lt;2477,"High",
J17&lt;2996,"Refractory I",
TRUE,"Refractory II"
)</f>
        <v>Medium</v>
      </c>
      <c r="U17">
        <f t="shared" si="1"/>
        <v>0.4762875138940349</v>
      </c>
      <c r="V17" t="str" cm="1">
        <f t="array" ref="V17">_xlfn.IFS(U17&lt;0.25,"shallow condution",
U17&lt;0.5,"transition",
U17&lt;1,"conduction",
U17&lt;1.5,"transition",U17&lt;3,"keyholeⅠ",3&lt;=U17,"keyhole Ⅱ"
)</f>
        <v>transition</v>
      </c>
      <c r="W17" t="s">
        <v>78</v>
      </c>
      <c r="X17">
        <f t="shared" si="2"/>
        <v>2.099572150914041</v>
      </c>
      <c r="AA17" t="s">
        <v>81</v>
      </c>
      <c r="AB17">
        <f>MIN(J8:J1999)</f>
        <v>232</v>
      </c>
    </row>
    <row r="18" spans="1:28" ht="14.45" thickBot="1">
      <c r="A18" s="2" t="s">
        <v>42</v>
      </c>
      <c r="B18" s="4">
        <v>350</v>
      </c>
      <c r="C18" s="4">
        <v>2400</v>
      </c>
      <c r="D18" s="4">
        <v>1.738</v>
      </c>
      <c r="E18" s="4">
        <v>8.6999999999999993</v>
      </c>
      <c r="F18" s="4">
        <v>127.4</v>
      </c>
      <c r="G18" s="13" t="s">
        <v>71</v>
      </c>
      <c r="H18" s="4">
        <v>1.0229999999999999</v>
      </c>
      <c r="I18" s="4">
        <v>156</v>
      </c>
      <c r="J18" s="4">
        <v>650</v>
      </c>
      <c r="K18" s="4">
        <v>1090</v>
      </c>
      <c r="L18" s="4">
        <v>0.6</v>
      </c>
      <c r="M18" s="4">
        <v>99.21</v>
      </c>
      <c r="N18" s="5">
        <v>42.88</v>
      </c>
      <c r="Q18" s="1">
        <f t="shared" si="0"/>
        <v>37.393162393162392</v>
      </c>
      <c r="R18" t="str" cm="1">
        <f t="array" ref="R18">_xlfn.IFS(Q18&lt;42.7, "low",
Q18&lt;85.4,"medium low",
Q18&lt;128,"medium high",
Q18&gt;=128,"high"
)</f>
        <v>low</v>
      </c>
      <c r="S18" t="str" cm="1">
        <f t="array" ref="S18">_xlfn.IFS(J18&lt;700,"low",J18&lt;1600,"medium low",J18&lt;2200,"medium high",J18&gt;=2200,"high")</f>
        <v>low</v>
      </c>
      <c r="T18" t="str" cm="1">
        <f t="array" ref="T18">_xlfn.IFS(
J18&lt;630,"Low",
J18&lt;1287,"Medium",
J18&lt;1495,"Intermediate",
J18&lt;1668,"Moderately",
J18&lt;1843,"Transition",
J18&lt;2477,"High",
J18&lt;2996,"Refractory I",
TRUE,"Refractory II"
)</f>
        <v>Medium</v>
      </c>
      <c r="U18">
        <f t="shared" si="1"/>
        <v>0.43221449450660221</v>
      </c>
      <c r="V18" t="str" cm="1">
        <f t="array" ref="V18">_xlfn.IFS(U18&lt;0.25,"shallow condution",
U18&lt;0.5,"transition",
U18&lt;1,"conduction",
U18&lt;1.5,"transition",U18&lt;3,"keyholeⅠ",3&lt;=U18,"keyhole Ⅱ"
)</f>
        <v>transition</v>
      </c>
      <c r="W18" t="s">
        <v>78</v>
      </c>
      <c r="X18">
        <f t="shared" si="2"/>
        <v>2.3136660447761193</v>
      </c>
    </row>
    <row r="19" spans="1:28" ht="14.45" thickBot="1">
      <c r="A19" s="2" t="s">
        <v>42</v>
      </c>
      <c r="B19" s="4">
        <v>100</v>
      </c>
      <c r="C19" s="4">
        <v>300</v>
      </c>
      <c r="D19" s="4">
        <v>1.738</v>
      </c>
      <c r="E19" s="4">
        <v>8.6999999999999993</v>
      </c>
      <c r="F19" s="4">
        <v>127.4</v>
      </c>
      <c r="G19" s="13" t="s">
        <v>71</v>
      </c>
      <c r="H19" s="4">
        <v>1.0229999999999999</v>
      </c>
      <c r="I19" s="4">
        <v>156</v>
      </c>
      <c r="J19" s="4">
        <v>650</v>
      </c>
      <c r="K19" s="4">
        <v>1090</v>
      </c>
      <c r="L19" s="4">
        <v>0.6</v>
      </c>
      <c r="M19" s="4">
        <v>132</v>
      </c>
      <c r="N19" s="5">
        <v>175.85</v>
      </c>
      <c r="Q19" s="1">
        <f t="shared" si="0"/>
        <v>85.470085470085465</v>
      </c>
      <c r="R19" t="str" cm="1">
        <f t="array" ref="R19">_xlfn.IFS(Q19&lt;42.7, "low",
Q19&lt;85.4,"medium low",
Q19&lt;128,"medium high",
Q19&gt;=128,"high"
)</f>
        <v>medium high</v>
      </c>
      <c r="S19" t="str" cm="1">
        <f t="array" ref="S19">_xlfn.IFS(J19&lt;700,"low",J19&lt;1600,"medium low",J19&lt;2200,"medium high",J19&gt;=2200,"high")</f>
        <v>low</v>
      </c>
      <c r="T19" t="str" cm="1">
        <f t="array" ref="T19">_xlfn.IFS(
J19&lt;630,"Low",
J19&lt;1287,"Medium",
J19&lt;1495,"Intermediate",
J19&lt;1668,"Moderately",
J19&lt;1843,"Transition",
J19&lt;2477,"High",
J19&lt;2996,"Refractory I",
TRUE,"Refractory II"
)</f>
        <v>Medium</v>
      </c>
      <c r="U19">
        <f t="shared" si="1"/>
        <v>1.3321969696969695</v>
      </c>
      <c r="V19" t="str" cm="1">
        <f t="array" ref="V19">_xlfn.IFS(U19&lt;0.25,"shallow condution",
U19&lt;0.5,"transition",
U19&lt;1,"conduction",
U19&lt;1.5,"transition",U19&lt;3,"keyholeⅠ",3&lt;=U19,"keyhole Ⅱ"
)</f>
        <v>transition</v>
      </c>
      <c r="X19">
        <f t="shared" si="2"/>
        <v>0.75063974978675008</v>
      </c>
      <c r="Z19" t="s">
        <v>13</v>
      </c>
      <c r="AA19" t="s">
        <v>80</v>
      </c>
      <c r="AB19">
        <f>MAX(M3:M1000)</f>
        <v>836.48</v>
      </c>
    </row>
    <row r="20" spans="1:28" ht="14.45" thickBot="1">
      <c r="A20" s="2" t="s">
        <v>42</v>
      </c>
      <c r="B20" s="4">
        <v>150</v>
      </c>
      <c r="C20" s="4">
        <v>300</v>
      </c>
      <c r="D20" s="4">
        <v>1.738</v>
      </c>
      <c r="E20" s="4">
        <v>8.6999999999999993</v>
      </c>
      <c r="F20" s="4">
        <v>127.4</v>
      </c>
      <c r="G20" s="13" t="s">
        <v>71</v>
      </c>
      <c r="H20" s="4">
        <v>1.0229999999999999</v>
      </c>
      <c r="I20" s="4">
        <v>156</v>
      </c>
      <c r="J20" s="4">
        <v>650</v>
      </c>
      <c r="K20" s="4">
        <v>1090</v>
      </c>
      <c r="L20" s="4">
        <v>0.6</v>
      </c>
      <c r="M20" s="4">
        <v>142.4</v>
      </c>
      <c r="N20" s="5">
        <v>265.5</v>
      </c>
      <c r="Q20" s="1">
        <f t="shared" si="0"/>
        <v>128.2051282051282</v>
      </c>
      <c r="R20" t="str" cm="1">
        <f t="array" ref="R20">_xlfn.IFS(Q20&lt;42.7, "low",
Q20&lt;85.4,"medium low",
Q20&lt;128,"medium high",
Q20&gt;=128,"high"
)</f>
        <v>high</v>
      </c>
      <c r="S20" t="str" cm="1">
        <f t="array" ref="S20">_xlfn.IFS(J20&lt;700,"low",J20&lt;1600,"medium low",J20&lt;2200,"medium high",J20&gt;=2200,"high")</f>
        <v>low</v>
      </c>
      <c r="T20" t="str" cm="1">
        <f t="array" ref="T20">_xlfn.IFS(
J20&lt;630,"Low",
J20&lt;1287,"Medium",
J20&lt;1495,"Intermediate",
J20&lt;1668,"Moderately",
J20&lt;1843,"Transition",
J20&lt;2477,"High",
J20&lt;2996,"Refractory I",
TRUE,"Refractory II"
)</f>
        <v>Medium</v>
      </c>
      <c r="U20">
        <f t="shared" si="1"/>
        <v>1.8644662921348314</v>
      </c>
      <c r="V20" t="str" cm="1">
        <f t="array" ref="V20">_xlfn.IFS(U20&lt;0.25,"shallow condution",
U20&lt;0.5,"transition",
U20&lt;1,"conduction",
U20&lt;1.5,"transition",U20&lt;3,"keyholeⅠ",3&lt;=U20,"keyhole Ⅱ"
)</f>
        <v>keyholeⅠ</v>
      </c>
      <c r="X20">
        <f t="shared" si="2"/>
        <v>0.53634651600753303</v>
      </c>
      <c r="AA20" t="s">
        <v>81</v>
      </c>
      <c r="AB20">
        <f>MIN(M3:M1000)</f>
        <v>22.25</v>
      </c>
    </row>
    <row r="21" spans="1:28" ht="14.45" thickBot="1">
      <c r="A21" s="2" t="s">
        <v>42</v>
      </c>
      <c r="B21" s="4">
        <v>200</v>
      </c>
      <c r="C21" s="4">
        <v>300</v>
      </c>
      <c r="D21" s="4">
        <v>1.738</v>
      </c>
      <c r="E21" s="4">
        <v>8.6999999999999993</v>
      </c>
      <c r="F21" s="4">
        <v>127.4</v>
      </c>
      <c r="G21" s="13" t="s">
        <v>71</v>
      </c>
      <c r="H21" s="4">
        <v>1.0229999999999999</v>
      </c>
      <c r="I21" s="4">
        <v>156</v>
      </c>
      <c r="J21" s="4">
        <v>650</v>
      </c>
      <c r="K21" s="4">
        <v>1090</v>
      </c>
      <c r="L21" s="4">
        <v>0.6</v>
      </c>
      <c r="M21" s="4">
        <v>178.7</v>
      </c>
      <c r="N21" s="5">
        <v>403.3</v>
      </c>
      <c r="Q21" s="1">
        <f t="shared" si="0"/>
        <v>170.94017094017093</v>
      </c>
      <c r="R21" t="str" cm="1">
        <f t="array" ref="R21">_xlfn.IFS(Q21&lt;42.7, "low",
Q21&lt;85.4,"medium low",
Q21&lt;128,"medium high",
Q21&gt;=128,"high"
)</f>
        <v>high</v>
      </c>
      <c r="S21" t="str" cm="1">
        <f t="array" ref="S21">_xlfn.IFS(J21&lt;700,"low",J21&lt;1600,"medium low",J21&lt;2200,"medium high",J21&gt;=2200,"high")</f>
        <v>low</v>
      </c>
      <c r="T21" t="str" cm="1">
        <f t="array" ref="T21">_xlfn.IFS(
J21&lt;630,"Low",
J21&lt;1287,"Medium",
J21&lt;1495,"Intermediate",
J21&lt;1668,"Moderately",
J21&lt;1843,"Transition",
J21&lt;2477,"High",
J21&lt;2996,"Refractory I",
TRUE,"Refractory II"
)</f>
        <v>Medium</v>
      </c>
      <c r="U21">
        <f t="shared" si="1"/>
        <v>2.2568550643536658</v>
      </c>
      <c r="V21" t="str" cm="1">
        <f t="array" ref="V21">_xlfn.IFS(U21&lt;0.25,"shallow condution",
U21&lt;0.5,"transition",
U21&lt;1,"conduction",
U21&lt;1.5,"transition",U21&lt;3,"keyholeⅠ",3&lt;=U21,"keyhole Ⅱ"
)</f>
        <v>keyholeⅠ</v>
      </c>
      <c r="X21">
        <f t="shared" si="2"/>
        <v>0.44309447061740637</v>
      </c>
      <c r="Z21" t="s">
        <v>83</v>
      </c>
      <c r="AA21" t="s">
        <v>80</v>
      </c>
      <c r="AB21">
        <f>MAX(N5:N1002)</f>
        <v>2700</v>
      </c>
    </row>
    <row r="22" spans="1:28" ht="14.45" thickBot="1">
      <c r="A22" s="2" t="s">
        <v>42</v>
      </c>
      <c r="B22" s="4">
        <v>250</v>
      </c>
      <c r="C22" s="4">
        <v>300</v>
      </c>
      <c r="D22" s="4">
        <v>1.738</v>
      </c>
      <c r="E22" s="4">
        <v>8.6999999999999993</v>
      </c>
      <c r="F22" s="4">
        <v>127.4</v>
      </c>
      <c r="G22" s="13" t="s">
        <v>71</v>
      </c>
      <c r="H22" s="4">
        <v>1.0229999999999999</v>
      </c>
      <c r="I22" s="4">
        <v>156</v>
      </c>
      <c r="J22" s="4">
        <v>650</v>
      </c>
      <c r="K22" s="4">
        <v>1090</v>
      </c>
      <c r="L22" s="4">
        <v>0.6</v>
      </c>
      <c r="M22" s="4">
        <v>267.93</v>
      </c>
      <c r="N22" s="5">
        <v>585.75</v>
      </c>
      <c r="Q22" s="1">
        <f t="shared" si="0"/>
        <v>213.67521367521368</v>
      </c>
      <c r="R22" t="str" cm="1">
        <f t="array" ref="R22">_xlfn.IFS(Q22&lt;42.7, "low",
Q22&lt;85.4,"medium low",
Q22&lt;128,"medium high",
Q22&gt;=128,"high"
)</f>
        <v>high</v>
      </c>
      <c r="S22" t="str" cm="1">
        <f t="array" ref="S22">_xlfn.IFS(J22&lt;700,"low",J22&lt;1600,"medium low",J22&lt;2200,"medium high",J22&gt;=2200,"high")</f>
        <v>low</v>
      </c>
      <c r="T22" t="str" cm="1">
        <f t="array" ref="T22">_xlfn.IFS(
J22&lt;630,"Low",
J22&lt;1287,"Medium",
J22&lt;1495,"Intermediate",
J22&lt;1668,"Moderately",
J22&lt;1843,"Transition",
J22&lt;2477,"High",
J22&lt;2996,"Refractory I",
TRUE,"Refractory II"
)</f>
        <v>Medium</v>
      </c>
      <c r="U22">
        <f t="shared" si="1"/>
        <v>2.1862053521442166</v>
      </c>
      <c r="V22" t="str" cm="1">
        <f t="array" ref="V22">_xlfn.IFS(U22&lt;0.25,"shallow condution",
U22&lt;0.5,"transition",
U22&lt;1,"conduction",
U22&lt;1.5,"transition",U22&lt;3,"keyholeⅠ",3&lt;=U22,"keyhole Ⅱ"
)</f>
        <v>keyholeⅠ</v>
      </c>
      <c r="X22">
        <f t="shared" si="2"/>
        <v>0.45741357234314983</v>
      </c>
      <c r="AA22" t="s">
        <v>81</v>
      </c>
      <c r="AB22">
        <v>2</v>
      </c>
    </row>
    <row r="23" spans="1:28" ht="14.45" thickBot="1">
      <c r="A23" s="2" t="s">
        <v>42</v>
      </c>
      <c r="B23" s="4">
        <v>300</v>
      </c>
      <c r="C23" s="4">
        <v>300</v>
      </c>
      <c r="D23" s="4">
        <v>1.738</v>
      </c>
      <c r="E23" s="4">
        <v>8.6999999999999993</v>
      </c>
      <c r="F23" s="4">
        <v>127.4</v>
      </c>
      <c r="G23" s="13" t="s">
        <v>71</v>
      </c>
      <c r="H23" s="4">
        <v>1.0229999999999999</v>
      </c>
      <c r="I23" s="4">
        <v>156</v>
      </c>
      <c r="J23" s="4">
        <v>650</v>
      </c>
      <c r="K23" s="4">
        <v>1090</v>
      </c>
      <c r="L23" s="4">
        <v>0.6</v>
      </c>
      <c r="M23" s="4">
        <v>267.93</v>
      </c>
      <c r="N23" s="5">
        <v>598.55999999999995</v>
      </c>
      <c r="Q23" s="1">
        <f t="shared" si="0"/>
        <v>256.41025641025641</v>
      </c>
      <c r="R23" t="str" cm="1">
        <f t="array" ref="R23">_xlfn.IFS(Q23&lt;42.7, "low",
Q23&lt;85.4,"medium low",
Q23&lt;128,"medium high",
Q23&gt;=128,"high"
)</f>
        <v>high</v>
      </c>
      <c r="S23" t="str" cm="1">
        <f t="array" ref="S23">_xlfn.IFS(J23&lt;700,"low",J23&lt;1600,"medium low",J23&lt;2200,"medium high",J23&gt;=2200,"high")</f>
        <v>low</v>
      </c>
      <c r="T23" t="str" cm="1">
        <f t="array" ref="T23">_xlfn.IFS(
J23&lt;630,"Low",
J23&lt;1287,"Medium",
J23&lt;1495,"Intermediate",
J23&lt;1668,"Moderately",
J23&lt;1843,"Transition",
J23&lt;2477,"High",
J23&lt;2996,"Refractory I",
TRUE,"Refractory II"
)</f>
        <v>Medium</v>
      </c>
      <c r="U23">
        <f t="shared" si="1"/>
        <v>2.2340163475534651</v>
      </c>
      <c r="V23" t="str" cm="1">
        <f t="array" ref="V23">_xlfn.IFS(U23&lt;0.25,"shallow condution",
U23&lt;0.5,"transition",
U23&lt;1,"conduction",
U23&lt;1.5,"transition",U23&lt;3,"keyholeⅠ",3&lt;=U23,"keyhole Ⅱ"
)</f>
        <v>keyholeⅠ</v>
      </c>
      <c r="X23">
        <f t="shared" si="2"/>
        <v>0.44762429831595835</v>
      </c>
    </row>
    <row r="24" spans="1:28" ht="14.45" thickBot="1">
      <c r="A24" s="2" t="s">
        <v>42</v>
      </c>
      <c r="B24" s="4">
        <v>100</v>
      </c>
      <c r="C24" s="4">
        <v>600</v>
      </c>
      <c r="D24" s="4">
        <v>1.738</v>
      </c>
      <c r="E24" s="4">
        <v>8.6999999999999993</v>
      </c>
      <c r="F24" s="4">
        <v>127.4</v>
      </c>
      <c r="G24" s="13" t="s">
        <v>71</v>
      </c>
      <c r="H24" s="4">
        <v>1.0229999999999999</v>
      </c>
      <c r="I24" s="4">
        <v>156</v>
      </c>
      <c r="J24" s="4">
        <v>650</v>
      </c>
      <c r="K24" s="4">
        <v>1090</v>
      </c>
      <c r="L24" s="4">
        <v>0.6</v>
      </c>
      <c r="M24" s="4">
        <v>152.9</v>
      </c>
      <c r="N24" s="5">
        <v>174.9</v>
      </c>
      <c r="Q24" s="1">
        <f>B24*10^6/(C24*130*30)</f>
        <v>42.735042735042732</v>
      </c>
      <c r="R24" t="str" cm="1">
        <f t="array" ref="R24">_xlfn.IFS(Q24&lt;42.7, "low",
Q24&lt;85.4,"medium low",
Q24&lt;128,"medium high",
Q24&gt;=128,"high"
)</f>
        <v>medium low</v>
      </c>
      <c r="S24" t="str" cm="1">
        <f t="array" ref="S24">_xlfn.IFS(J24&lt;700,"low",J24&lt;1600,"medium low",J24&lt;2200,"medium high",J24&gt;=2200,"high")</f>
        <v>low</v>
      </c>
      <c r="T24" t="str" cm="1">
        <f t="array" ref="T24">_xlfn.IFS(
J24&lt;630,"Low",
J24&lt;1287,"Medium",
J24&lt;1495,"Intermediate",
J24&lt;1668,"Moderately",
J24&lt;1843,"Transition",
J24&lt;2477,"High",
J24&lt;2996,"Refractory I",
TRUE,"Refractory II"
)</f>
        <v>Medium</v>
      </c>
      <c r="U24">
        <f t="shared" si="1"/>
        <v>1.1438848920863309</v>
      </c>
      <c r="V24" t="str" cm="1">
        <f t="array" ref="V24">_xlfn.IFS(U24&lt;0.25,"shallow condution",
U24&lt;0.5,"transition",
U24&lt;1,"conduction",
U24&lt;1.5,"transition",U24&lt;3,"keyholeⅠ",3&lt;=U24,"keyhole Ⅱ"
)</f>
        <v>transition</v>
      </c>
      <c r="X24">
        <f t="shared" si="2"/>
        <v>0.87421383647798745</v>
      </c>
      <c r="Z24" t="s">
        <v>84</v>
      </c>
      <c r="AA24" t="s">
        <v>80</v>
      </c>
      <c r="AB24">
        <f>MAX(D8:D1005)</f>
        <v>19.25</v>
      </c>
    </row>
    <row r="25" spans="1:28" ht="14.45" thickBot="1">
      <c r="A25" s="2" t="s">
        <v>42</v>
      </c>
      <c r="B25" s="4">
        <v>150</v>
      </c>
      <c r="C25" s="4">
        <v>600</v>
      </c>
      <c r="D25" s="4">
        <v>1.738</v>
      </c>
      <c r="E25" s="4">
        <v>8.6999999999999993</v>
      </c>
      <c r="F25" s="4">
        <v>127.4</v>
      </c>
      <c r="G25" s="13" t="s">
        <v>71</v>
      </c>
      <c r="H25" s="4">
        <v>1.0229999999999999</v>
      </c>
      <c r="I25" s="4">
        <v>156</v>
      </c>
      <c r="J25" s="4">
        <v>650</v>
      </c>
      <c r="K25" s="4">
        <v>1090</v>
      </c>
      <c r="L25" s="4">
        <v>0.6</v>
      </c>
      <c r="M25" s="4">
        <v>154.19999999999999</v>
      </c>
      <c r="N25" s="5">
        <v>180.1</v>
      </c>
      <c r="Q25" s="1">
        <f t="shared" si="0"/>
        <v>64.102564102564102</v>
      </c>
      <c r="R25" t="str" cm="1">
        <f t="array" ref="R25">_xlfn.IFS(Q25&lt;42.7, "low",
Q25&lt;85.4,"medium low",
Q25&lt;128,"medium high",
Q25&gt;=128,"high"
)</f>
        <v>medium low</v>
      </c>
      <c r="S25" t="str" cm="1">
        <f t="array" ref="S25">_xlfn.IFS(J25&lt;700,"low",J25&lt;1600,"medium low",J25&lt;2200,"medium high",J25&gt;=2200,"high")</f>
        <v>low</v>
      </c>
      <c r="T25" t="str" cm="1">
        <f t="array" ref="T25">_xlfn.IFS(
J25&lt;630,"Low",
J25&lt;1287,"Medium",
J25&lt;1495,"Intermediate",
J25&lt;1668,"Moderately",
J25&lt;1843,"Transition",
J25&lt;2477,"High",
J25&lt;2996,"Refractory I",
TRUE,"Refractory II"
)</f>
        <v>Medium</v>
      </c>
      <c r="U25">
        <f t="shared" si="1"/>
        <v>1.1679636835278859</v>
      </c>
      <c r="V25" t="str" cm="1">
        <f t="array" ref="V25">_xlfn.IFS(U25&lt;0.25,"shallow condution",
U25&lt;0.5,"transition",
U25&lt;1,"conduction",
U25&lt;1.5,"transition",U25&lt;3,"keyholeⅠ",3&lt;=U25,"keyhole Ⅱ"
)</f>
        <v>transition</v>
      </c>
      <c r="X25">
        <f t="shared" si="2"/>
        <v>0.85619100499722378</v>
      </c>
      <c r="AA25" t="s">
        <v>81</v>
      </c>
      <c r="AB25">
        <f>MIN(D16:D2007)</f>
        <v>1.738</v>
      </c>
    </row>
    <row r="26" spans="1:28" ht="14.45" thickBot="1">
      <c r="A26" s="2" t="s">
        <v>42</v>
      </c>
      <c r="B26" s="4">
        <v>200</v>
      </c>
      <c r="C26" s="4">
        <v>600</v>
      </c>
      <c r="D26" s="4">
        <v>1.738</v>
      </c>
      <c r="E26" s="4">
        <v>8.6999999999999993</v>
      </c>
      <c r="F26" s="4">
        <v>127.4</v>
      </c>
      <c r="G26" s="13" t="s">
        <v>71</v>
      </c>
      <c r="H26" s="4">
        <v>1.0229999999999999</v>
      </c>
      <c r="I26" s="4">
        <v>156</v>
      </c>
      <c r="J26" s="4">
        <v>650</v>
      </c>
      <c r="K26" s="4">
        <v>1090</v>
      </c>
      <c r="L26" s="4">
        <v>0.6</v>
      </c>
      <c r="M26" s="4">
        <v>164.2</v>
      </c>
      <c r="N26" s="5">
        <v>215.8</v>
      </c>
      <c r="Q26" s="1">
        <f t="shared" si="0"/>
        <v>85.470085470085465</v>
      </c>
      <c r="R26" t="str" cm="1">
        <f t="array" ref="R26">_xlfn.IFS(Q26&lt;42.7, "low",
Q26&lt;85.4,"medium low",
Q26&lt;128,"medium high",
Q26&gt;=128,"high"
)</f>
        <v>medium high</v>
      </c>
      <c r="S26" t="str" cm="1">
        <f t="array" ref="S26">_xlfn.IFS(J26&lt;700,"low",J26&lt;1600,"medium low",J26&lt;2200,"medium high",J26&gt;=2200,"high")</f>
        <v>low</v>
      </c>
      <c r="T26" t="str" cm="1">
        <f t="array" ref="T26">_xlfn.IFS(
J26&lt;630,"Low",
J26&lt;1287,"Medium",
J26&lt;1495,"Intermediate",
J26&lt;1668,"Moderately",
J26&lt;1843,"Transition",
J26&lt;2477,"High",
J26&lt;2996,"Refractory I",
TRUE,"Refractory II"
)</f>
        <v>Medium</v>
      </c>
      <c r="U26">
        <f t="shared" si="1"/>
        <v>1.3142509135200977</v>
      </c>
      <c r="V26" t="str" cm="1">
        <f t="array" ref="V26">_xlfn.IFS(U26&lt;0.25,"shallow condution",
U26&lt;0.5,"transition",
U26&lt;1,"conduction",
U26&lt;1.5,"transition",U26&lt;3,"keyholeⅠ",3&lt;=U26,"keyhole Ⅱ"
)</f>
        <v>transition</v>
      </c>
      <c r="X26">
        <f t="shared" si="2"/>
        <v>0.7608897126969415</v>
      </c>
    </row>
    <row r="27" spans="1:28" ht="14.45" thickBot="1">
      <c r="A27" s="2" t="s">
        <v>42</v>
      </c>
      <c r="B27" s="4">
        <v>250</v>
      </c>
      <c r="C27" s="4">
        <v>600</v>
      </c>
      <c r="D27" s="4">
        <v>1.738</v>
      </c>
      <c r="E27" s="4">
        <v>8.6999999999999993</v>
      </c>
      <c r="F27" s="4">
        <v>127.4</v>
      </c>
      <c r="G27" s="13" t="s">
        <v>71</v>
      </c>
      <c r="H27" s="4">
        <v>1.0229999999999999</v>
      </c>
      <c r="I27" s="4">
        <v>156</v>
      </c>
      <c r="J27" s="4">
        <v>650</v>
      </c>
      <c r="K27" s="4">
        <v>1090</v>
      </c>
      <c r="L27" s="4">
        <v>0.6</v>
      </c>
      <c r="M27" s="4">
        <v>183</v>
      </c>
      <c r="N27" s="5">
        <v>232</v>
      </c>
      <c r="Q27" s="1">
        <f t="shared" si="0"/>
        <v>106.83760683760684</v>
      </c>
      <c r="R27" t="str" cm="1">
        <f t="array" ref="R27">_xlfn.IFS(Q27&lt;42.7, "low",
Q27&lt;85.4,"medium low",
Q27&lt;128,"medium high",
Q27&gt;=128,"high"
)</f>
        <v>medium high</v>
      </c>
      <c r="S27" t="str" cm="1">
        <f t="array" ref="S27">_xlfn.IFS(J27&lt;700,"low",J27&lt;1600,"medium low",J27&lt;2200,"medium high",J27&gt;=2200,"high")</f>
        <v>low</v>
      </c>
      <c r="T27" t="str" cm="1">
        <f t="array" ref="T27">_xlfn.IFS(
J27&lt;630,"Low",
J27&lt;1287,"Medium",
J27&lt;1495,"Intermediate",
J27&lt;1668,"Moderately",
J27&lt;1843,"Transition",
J27&lt;2477,"High",
J27&lt;2996,"Refractory I",
TRUE,"Refractory II"
)</f>
        <v>Medium</v>
      </c>
      <c r="U27">
        <f t="shared" si="1"/>
        <v>1.2677595628415301</v>
      </c>
      <c r="V27" t="str" cm="1">
        <f t="array" ref="V27">_xlfn.IFS(U27&lt;0.25,"shallow condution",
U27&lt;0.5,"transition",
U27&lt;1,"conduction",
U27&lt;1.5,"transition",U27&lt;3,"keyholeⅠ",3&lt;=U27,"keyhole Ⅱ"
)</f>
        <v>transition</v>
      </c>
      <c r="X27">
        <f t="shared" si="2"/>
        <v>0.78879310344827591</v>
      </c>
    </row>
    <row r="28" spans="1:28" ht="14.45" thickBot="1">
      <c r="A28" s="2" t="s">
        <v>42</v>
      </c>
      <c r="B28" s="4">
        <v>300</v>
      </c>
      <c r="C28" s="4">
        <v>600</v>
      </c>
      <c r="D28" s="4">
        <v>1.738</v>
      </c>
      <c r="E28" s="4">
        <v>8.6999999999999993</v>
      </c>
      <c r="F28" s="4">
        <v>127.4</v>
      </c>
      <c r="G28" s="13" t="s">
        <v>71</v>
      </c>
      <c r="H28" s="4">
        <v>1.0229999999999999</v>
      </c>
      <c r="I28" s="4">
        <v>156</v>
      </c>
      <c r="J28" s="4">
        <v>650</v>
      </c>
      <c r="K28" s="4">
        <v>1090</v>
      </c>
      <c r="L28" s="4">
        <v>0.6</v>
      </c>
      <c r="M28" s="4">
        <v>205.7</v>
      </c>
      <c r="N28" s="5">
        <v>295</v>
      </c>
      <c r="Q28" s="1">
        <f t="shared" si="0"/>
        <v>128.2051282051282</v>
      </c>
      <c r="R28" t="str" cm="1">
        <f t="array" ref="R28">_xlfn.IFS(Q28&lt;42.7, "low",
Q28&lt;85.4,"medium low",
Q28&lt;128,"medium high",
Q28&gt;=128,"high"
)</f>
        <v>high</v>
      </c>
      <c r="S28" t="str" cm="1">
        <f t="array" ref="S28">_xlfn.IFS(J28&lt;700,"low",J28&lt;1600,"medium low",J28&lt;2200,"medium high",J28&gt;=2200,"high")</f>
        <v>low</v>
      </c>
      <c r="T28" t="str" cm="1">
        <f t="array" ref="T28">_xlfn.IFS(
J28&lt;630,"Low",
J28&lt;1287,"Medium",
J28&lt;1495,"Intermediate",
J28&lt;1668,"Moderately",
J28&lt;1843,"Transition",
J28&lt;2477,"High",
J28&lt;2996,"Refractory I",
TRUE,"Refractory II"
)</f>
        <v>Medium</v>
      </c>
      <c r="U28">
        <f t="shared" si="1"/>
        <v>1.4341273699562471</v>
      </c>
      <c r="V28" t="str" cm="1">
        <f t="array" ref="V28">_xlfn.IFS(U28&lt;0.25,"shallow condution",
U28&lt;0.5,"transition",
U28&lt;1,"conduction",
U28&lt;1.5,"transition",U28&lt;3,"keyholeⅠ",3&lt;=U28,"keyhole Ⅱ"
)</f>
        <v>transition</v>
      </c>
      <c r="X28">
        <f t="shared" si="2"/>
        <v>0.69728813559322034</v>
      </c>
    </row>
    <row r="29" spans="1:28" ht="14.45" thickBot="1">
      <c r="A29" s="2" t="s">
        <v>42</v>
      </c>
      <c r="B29" s="4">
        <v>100</v>
      </c>
      <c r="C29" s="4">
        <v>900</v>
      </c>
      <c r="D29" s="4">
        <v>1.738</v>
      </c>
      <c r="E29" s="4">
        <v>8.6999999999999993</v>
      </c>
      <c r="F29" s="4">
        <v>127.4</v>
      </c>
      <c r="G29" s="13" t="s">
        <v>71</v>
      </c>
      <c r="H29" s="4">
        <v>1.0229999999999999</v>
      </c>
      <c r="I29" s="4">
        <v>156</v>
      </c>
      <c r="J29" s="4">
        <v>650</v>
      </c>
      <c r="K29" s="4">
        <v>1090</v>
      </c>
      <c r="L29" s="4">
        <v>0.6</v>
      </c>
      <c r="M29" s="4">
        <v>79.290000000000006</v>
      </c>
      <c r="N29" s="5">
        <v>48.56</v>
      </c>
      <c r="Q29" s="1">
        <f t="shared" si="0"/>
        <v>28.490028490028489</v>
      </c>
      <c r="R29" t="str" cm="1">
        <f t="array" ref="R29">_xlfn.IFS(Q29&lt;42.7, "low",
Q29&lt;85.4,"medium low",
Q29&lt;128,"medium high",
Q29&gt;=128,"high"
)</f>
        <v>low</v>
      </c>
      <c r="S29" t="str" cm="1">
        <f t="array" ref="S29">_xlfn.IFS(J29&lt;700,"low",J29&lt;1600,"medium low",J29&lt;2200,"medium high",J29&gt;=2200,"high")</f>
        <v>low</v>
      </c>
      <c r="T29" t="str" cm="1">
        <f t="array" ref="T29">_xlfn.IFS(
J29&lt;630,"Low",
J29&lt;1287,"Medium",
J29&lt;1495,"Intermediate",
J29&lt;1668,"Moderately",
J29&lt;1843,"Transition",
J29&lt;2477,"High",
J29&lt;2996,"Refractory I",
TRUE,"Refractory II"
)</f>
        <v>Medium</v>
      </c>
      <c r="U29">
        <f t="shared" si="1"/>
        <v>0.61243536385420605</v>
      </c>
      <c r="V29" t="str" cm="1">
        <f t="array" ref="V29">_xlfn.IFS(U29&lt;0.25,"shallow condution",
U29&lt;0.5,"transition",
U29&lt;1,"conduction",
U29&lt;1.5,"transition",U29&lt;3,"keyholeⅠ",3&lt;=U29,"keyhole Ⅱ"
)</f>
        <v>conduction</v>
      </c>
      <c r="X29">
        <f t="shared" si="2"/>
        <v>1.6328253706754532</v>
      </c>
    </row>
    <row r="30" spans="1:28" ht="14.45" thickBot="1">
      <c r="A30" s="2" t="s">
        <v>42</v>
      </c>
      <c r="B30" s="4">
        <v>150</v>
      </c>
      <c r="C30" s="4">
        <v>900</v>
      </c>
      <c r="D30" s="4">
        <v>1.738</v>
      </c>
      <c r="E30" s="4">
        <v>8.6999999999999993</v>
      </c>
      <c r="F30" s="4">
        <v>127.4</v>
      </c>
      <c r="G30" s="13" t="s">
        <v>71</v>
      </c>
      <c r="H30" s="4">
        <v>1.0229999999999999</v>
      </c>
      <c r="I30" s="4">
        <v>156</v>
      </c>
      <c r="J30" s="4">
        <v>650</v>
      </c>
      <c r="K30" s="4">
        <v>1090</v>
      </c>
      <c r="L30" s="4">
        <v>0.6</v>
      </c>
      <c r="M30" s="4">
        <v>103</v>
      </c>
      <c r="N30" s="5">
        <v>64.5</v>
      </c>
      <c r="Q30" s="1">
        <f t="shared" si="0"/>
        <v>42.735042735042732</v>
      </c>
      <c r="R30" t="str" cm="1">
        <f t="array" ref="R30">_xlfn.IFS(Q30&lt;42.7, "low",
Q30&lt;85.4,"medium low",
Q30&lt;128,"medium high",
Q30&gt;=128,"high"
)</f>
        <v>medium low</v>
      </c>
      <c r="S30" t="str" cm="1">
        <f t="array" ref="S30">_xlfn.IFS(J30&lt;700,"low",J30&lt;1600,"medium low",J30&lt;2200,"medium high",J30&gt;=2200,"high")</f>
        <v>low</v>
      </c>
      <c r="T30" t="str" cm="1">
        <f t="array" ref="T30">_xlfn.IFS(
J30&lt;630,"Low",
J30&lt;1287,"Medium",
J30&lt;1495,"Intermediate",
J30&lt;1668,"Moderately",
J30&lt;1843,"Transition",
J30&lt;2477,"High",
J30&lt;2996,"Refractory I",
TRUE,"Refractory II"
)</f>
        <v>Medium</v>
      </c>
      <c r="U30">
        <f t="shared" si="1"/>
        <v>0.62621359223300976</v>
      </c>
      <c r="V30" t="str" cm="1">
        <f t="array" ref="V30">_xlfn.IFS(U30&lt;0.25,"shallow condution",
U30&lt;0.5,"transition",
U30&lt;1,"conduction",
U30&lt;1.5,"transition",U30&lt;3,"keyholeⅠ",3&lt;=U30,"keyhole Ⅱ"
)</f>
        <v>conduction</v>
      </c>
      <c r="X30">
        <f t="shared" si="2"/>
        <v>1.5968992248062015</v>
      </c>
    </row>
    <row r="31" spans="1:28" ht="14.45" thickBot="1">
      <c r="A31" s="2" t="s">
        <v>42</v>
      </c>
      <c r="B31" s="4">
        <v>200</v>
      </c>
      <c r="C31" s="4">
        <v>900</v>
      </c>
      <c r="D31" s="4">
        <v>1.738</v>
      </c>
      <c r="E31" s="4">
        <v>8.6999999999999993</v>
      </c>
      <c r="F31" s="4">
        <v>127.4</v>
      </c>
      <c r="G31" s="13" t="s">
        <v>71</v>
      </c>
      <c r="H31" s="4">
        <v>1.0229999999999999</v>
      </c>
      <c r="I31" s="4">
        <v>156</v>
      </c>
      <c r="J31" s="4">
        <v>650</v>
      </c>
      <c r="K31" s="4">
        <v>1090</v>
      </c>
      <c r="L31" s="4">
        <v>0.6</v>
      </c>
      <c r="M31" s="4">
        <v>129.19999999999999</v>
      </c>
      <c r="N31" s="5">
        <v>108.6</v>
      </c>
      <c r="Q31" s="1">
        <f t="shared" si="0"/>
        <v>56.980056980056979</v>
      </c>
      <c r="R31" t="str" cm="1">
        <f t="array" ref="R31">_xlfn.IFS(Q31&lt;42.7, "low",
Q31&lt;85.4,"medium low",
Q31&lt;128,"medium high",
Q31&gt;=128,"high"
)</f>
        <v>medium low</v>
      </c>
      <c r="S31" t="str" cm="1">
        <f t="array" ref="S31">_xlfn.IFS(J31&lt;700,"low",J31&lt;1600,"medium low",J31&lt;2200,"medium high",J31&gt;=2200,"high")</f>
        <v>low</v>
      </c>
      <c r="T31" t="str" cm="1">
        <f t="array" ref="T31">_xlfn.IFS(
J31&lt;630,"Low",
J31&lt;1287,"Medium",
J31&lt;1495,"Intermediate",
J31&lt;1668,"Moderately",
J31&lt;1843,"Transition",
J31&lt;2477,"High",
J31&lt;2996,"Refractory I",
TRUE,"Refractory II"
)</f>
        <v>Medium</v>
      </c>
      <c r="U31">
        <f t="shared" si="1"/>
        <v>0.84055727554179571</v>
      </c>
      <c r="V31" t="str" cm="1">
        <f t="array" ref="V31">_xlfn.IFS(U31&lt;0.25,"shallow condution",
U31&lt;0.5,"transition",
U31&lt;1,"conduction",
U31&lt;1.5,"transition",U31&lt;3,"keyholeⅠ",3&lt;=U31,"keyhole Ⅱ"
)</f>
        <v>conduction</v>
      </c>
      <c r="X31">
        <f t="shared" si="2"/>
        <v>1.1896869244935542</v>
      </c>
    </row>
    <row r="32" spans="1:28" ht="14.45" thickBot="1">
      <c r="A32" s="2" t="s">
        <v>42</v>
      </c>
      <c r="B32" s="4">
        <v>250</v>
      </c>
      <c r="C32" s="4">
        <v>900</v>
      </c>
      <c r="D32" s="4">
        <v>1.738</v>
      </c>
      <c r="E32" s="4">
        <v>8.6999999999999993</v>
      </c>
      <c r="F32" s="4">
        <v>127.4</v>
      </c>
      <c r="G32" s="13" t="s">
        <v>71</v>
      </c>
      <c r="H32" s="4">
        <v>1.0229999999999999</v>
      </c>
      <c r="I32" s="4">
        <v>156</v>
      </c>
      <c r="J32" s="4">
        <v>650</v>
      </c>
      <c r="K32" s="4">
        <v>1090</v>
      </c>
      <c r="L32" s="4">
        <v>0.6</v>
      </c>
      <c r="M32" s="4">
        <v>150.80000000000001</v>
      </c>
      <c r="N32" s="5">
        <v>183.6</v>
      </c>
      <c r="Q32" s="1">
        <f t="shared" si="0"/>
        <v>71.225071225071218</v>
      </c>
      <c r="R32" t="str" cm="1">
        <f t="array" ref="R32">_xlfn.IFS(Q32&lt;42.7, "low",
Q32&lt;85.4,"medium low",
Q32&lt;128,"medium high",
Q32&gt;=128,"high"
)</f>
        <v>medium low</v>
      </c>
      <c r="S32" t="str" cm="1">
        <f t="array" ref="S32">_xlfn.IFS(J32&lt;700,"low",J32&lt;1600,"medium low",J32&lt;2200,"medium high",J32&gt;=2200,"high")</f>
        <v>low</v>
      </c>
      <c r="T32" t="str" cm="1">
        <f t="array" ref="T32">_xlfn.IFS(
J32&lt;630,"Low",
J32&lt;1287,"Medium",
J32&lt;1495,"Intermediate",
J32&lt;1668,"Moderately",
J32&lt;1843,"Transition",
J32&lt;2477,"High",
J32&lt;2996,"Refractory I",
TRUE,"Refractory II"
)</f>
        <v>Medium</v>
      </c>
      <c r="U32">
        <f t="shared" si="1"/>
        <v>1.2175066312997347</v>
      </c>
      <c r="V32" t="str" cm="1">
        <f t="array" ref="V32">_xlfn.IFS(U32&lt;0.25,"shallow condution",
U32&lt;0.5,"transition",
U32&lt;1,"conduction",
U32&lt;1.5,"transition",U32&lt;3,"keyholeⅠ",3&lt;=U32,"keyhole Ⅱ"
)</f>
        <v>transition</v>
      </c>
      <c r="X32">
        <f t="shared" si="2"/>
        <v>0.82135076252723316</v>
      </c>
    </row>
    <row r="33" spans="1:24" ht="14.45" thickBot="1">
      <c r="A33" s="3" t="s">
        <v>42</v>
      </c>
      <c r="B33" s="7">
        <v>300</v>
      </c>
      <c r="C33" s="7">
        <v>900</v>
      </c>
      <c r="D33" s="7">
        <v>1.738</v>
      </c>
      <c r="E33" s="7">
        <v>8.6999999999999993</v>
      </c>
      <c r="F33" s="7">
        <v>127.4</v>
      </c>
      <c r="G33" s="13" t="s">
        <v>71</v>
      </c>
      <c r="H33" s="7">
        <v>1.0229999999999999</v>
      </c>
      <c r="I33" s="7">
        <v>156</v>
      </c>
      <c r="J33" s="7">
        <v>650</v>
      </c>
      <c r="K33" s="7">
        <v>1090</v>
      </c>
      <c r="L33" s="7">
        <v>0.6</v>
      </c>
      <c r="M33" s="7">
        <v>155.29</v>
      </c>
      <c r="N33" s="15">
        <v>192.5</v>
      </c>
      <c r="Q33" s="1">
        <f t="shared" si="0"/>
        <v>85.470085470085465</v>
      </c>
      <c r="R33" t="str" cm="1">
        <f t="array" ref="R33">_xlfn.IFS(Q33&lt;42.7, "low",
Q33&lt;85.4,"medium low",
Q33&lt;128,"medium high",
Q33&gt;=128,"high"
)</f>
        <v>medium high</v>
      </c>
      <c r="S33" t="str" cm="1">
        <f t="array" ref="S33">_xlfn.IFS(J33&lt;700,"low",J33&lt;1600,"medium low",J33&lt;2200,"medium high",J33&gt;=2200,"high")</f>
        <v>low</v>
      </c>
      <c r="T33" t="str" cm="1">
        <f t="array" ref="T33">_xlfn.IFS(
J33&lt;630,"Low",
J33&lt;1287,"Medium",
J33&lt;1495,"Intermediate",
J33&lt;1668,"Moderately",
J33&lt;1843,"Transition",
J33&lt;2477,"High",
J33&lt;2996,"Refractory I",
TRUE,"Refractory II"
)</f>
        <v>Medium</v>
      </c>
      <c r="U33">
        <f t="shared" si="1"/>
        <v>1.2396162019447485</v>
      </c>
      <c r="V33" t="str" cm="1">
        <f t="array" ref="V33">_xlfn.IFS(U33&lt;0.25,"shallow condution",
U33&lt;0.5,"transition",
U33&lt;1,"conduction",
U33&lt;1.5,"transition",U33&lt;3,"keyholeⅠ",3&lt;=U33,"keyhole Ⅱ"
)</f>
        <v>transition</v>
      </c>
      <c r="X33">
        <f t="shared" si="2"/>
        <v>0.8067012987012987</v>
      </c>
    </row>
    <row r="34" spans="1:24">
      <c r="A34" s="19" t="s">
        <v>43</v>
      </c>
      <c r="B34" s="16">
        <v>200</v>
      </c>
      <c r="C34" s="16">
        <v>200</v>
      </c>
      <c r="D34" s="16">
        <v>2.7</v>
      </c>
      <c r="E34" s="16">
        <v>10.7</v>
      </c>
      <c r="F34" s="16">
        <v>293.39999999999998</v>
      </c>
      <c r="G34" s="16" t="s">
        <v>85</v>
      </c>
      <c r="H34" s="16">
        <v>0.89700000000000002</v>
      </c>
      <c r="I34" s="16">
        <v>237</v>
      </c>
      <c r="J34" s="16">
        <v>660</v>
      </c>
      <c r="K34" s="16">
        <v>2519</v>
      </c>
      <c r="L34" s="16">
        <v>0.6</v>
      </c>
      <c r="M34" s="16">
        <v>185.31</v>
      </c>
      <c r="N34" s="17">
        <v>113.58</v>
      </c>
      <c r="Q34" s="1">
        <f t="shared" si="0"/>
        <v>256.41025641025641</v>
      </c>
      <c r="R34" t="str" cm="1">
        <f t="array" ref="R34">_xlfn.IFS(Q34&lt;42.7, "low",
Q34&lt;85.4,"medium low",
Q34&lt;128,"medium high",
Q34&gt;=128,"high"
)</f>
        <v>high</v>
      </c>
      <c r="S34" t="str" cm="1">
        <f t="array" ref="S34">_xlfn.IFS(J34&lt;700,"low",J34&lt;1600,"medium low",J34&lt;2200,"medium high",J34&gt;=2200,"high")</f>
        <v>low</v>
      </c>
      <c r="T34" t="str" cm="1">
        <f t="array" ref="T34">_xlfn.IFS(
J34&lt;630,"Low",
J34&lt;1287,"Medium",
J34&lt;1495,"Intermediate",
J34&lt;1668,"Moderately",
J34&lt;1843,"Transition",
J34&lt;2477,"High",
J34&lt;2996,"Refractory I",
TRUE,"Refractory II"
)</f>
        <v>Medium</v>
      </c>
      <c r="U34">
        <f t="shared" si="1"/>
        <v>0.61291889266634292</v>
      </c>
      <c r="V34" t="str" cm="1">
        <f t="array" ref="V34">_xlfn.IFS(U34&lt;0.25,"shallow condution",
U34&lt;0.5,"transition",
U34&lt;1,"conduction",
U34&lt;1.5,"transition",U34&lt;3,"keyholeⅠ",3&lt;=U34,"keyhole Ⅱ"
)</f>
        <v>conduction</v>
      </c>
      <c r="X34">
        <f t="shared" si="2"/>
        <v>1.6315372424722663</v>
      </c>
    </row>
    <row r="35" spans="1:24">
      <c r="A35" s="2" t="s">
        <v>43</v>
      </c>
      <c r="B35" s="4">
        <v>200</v>
      </c>
      <c r="C35" s="4">
        <v>400</v>
      </c>
      <c r="D35" s="4">
        <v>2.7</v>
      </c>
      <c r="E35" s="4">
        <v>10.7</v>
      </c>
      <c r="F35" s="4">
        <v>293.39999999999998</v>
      </c>
      <c r="G35" s="16" t="s">
        <v>85</v>
      </c>
      <c r="H35" s="4">
        <v>0.89700000000000002</v>
      </c>
      <c r="I35" s="4">
        <v>237</v>
      </c>
      <c r="J35" s="4">
        <v>660</v>
      </c>
      <c r="K35" s="4">
        <v>2519</v>
      </c>
      <c r="L35" s="4">
        <v>0.9</v>
      </c>
      <c r="M35" s="6">
        <v>155.22</v>
      </c>
      <c r="N35" s="8">
        <v>72.64</v>
      </c>
      <c r="O35" s="20"/>
      <c r="P35" s="20"/>
      <c r="Q35" s="1">
        <f t="shared" si="0"/>
        <v>128.2051282051282</v>
      </c>
      <c r="R35" t="str" cm="1">
        <f t="array" ref="R35">_xlfn.IFS(Q35&lt;42.7, "low",
Q35&lt;85.4,"medium low",
Q35&lt;128,"medium high",
Q35&gt;=128,"high"
)</f>
        <v>high</v>
      </c>
      <c r="S35" t="str" cm="1">
        <f t="array" ref="S35">_xlfn.IFS(J35&lt;700,"low",J35&lt;1600,"medium low",J35&lt;2200,"medium high",J35&gt;=2200,"high")</f>
        <v>low</v>
      </c>
      <c r="T35" t="str" cm="1">
        <f t="array" ref="T35">_xlfn.IFS(
J35&lt;630,"Low",
J35&lt;1287,"Medium",
J35&lt;1495,"Intermediate",
J35&lt;1668,"Moderately",
J35&lt;1843,"Transition",
J35&lt;2477,"High",
J35&lt;2996,"Refractory I",
TRUE,"Refractory II"
)</f>
        <v>Medium</v>
      </c>
      <c r="U35">
        <f t="shared" si="1"/>
        <v>0.46798093029248811</v>
      </c>
      <c r="V35" t="str" cm="1">
        <f t="array" ref="V35">_xlfn.IFS(U35&lt;0.25,"shallow condution",
U35&lt;0.5,"transition",
U35&lt;1,"conduction",
U35&lt;1.5,"transition",U35&lt;3,"keyholeⅠ",3&lt;=U35,"keyhole Ⅱ"
)</f>
        <v>transition</v>
      </c>
      <c r="X35">
        <f t="shared" si="2"/>
        <v>2.1368392070484581</v>
      </c>
    </row>
    <row r="36" spans="1:24">
      <c r="A36" s="2" t="s">
        <v>43</v>
      </c>
      <c r="B36" s="4">
        <v>200</v>
      </c>
      <c r="C36" s="4">
        <v>600</v>
      </c>
      <c r="D36" s="4">
        <v>2.7</v>
      </c>
      <c r="E36" s="4">
        <v>10.7</v>
      </c>
      <c r="F36" s="4">
        <v>293.39999999999998</v>
      </c>
      <c r="G36" s="16" t="s">
        <v>85</v>
      </c>
      <c r="H36" s="4">
        <v>0.89700000000000002</v>
      </c>
      <c r="I36" s="4">
        <v>237</v>
      </c>
      <c r="J36" s="4">
        <v>660</v>
      </c>
      <c r="K36" s="4">
        <v>2519</v>
      </c>
      <c r="L36" s="4">
        <v>0.9</v>
      </c>
      <c r="M36" s="6">
        <v>114.79</v>
      </c>
      <c r="N36" s="8">
        <v>60.1</v>
      </c>
      <c r="O36" s="20"/>
      <c r="P36" s="20"/>
      <c r="Q36" s="1">
        <f t="shared" si="0"/>
        <v>85.470085470085465</v>
      </c>
      <c r="R36" t="str" cm="1">
        <f t="array" ref="R36">_xlfn.IFS(Q36&lt;42.7, "low",
Q36&lt;85.4,"medium low",
Q36&lt;128,"medium high",
Q36&gt;=128,"high"
)</f>
        <v>medium high</v>
      </c>
      <c r="S36" t="str" cm="1">
        <f t="array" ref="S36">_xlfn.IFS(J36&lt;700,"low",J36&lt;1600,"medium low",J36&lt;2200,"medium high",J36&gt;=2200,"high")</f>
        <v>low</v>
      </c>
      <c r="T36" t="str" cm="1">
        <f t="array" ref="T36">_xlfn.IFS(
J36&lt;630,"Low",
J36&lt;1287,"Medium",
J36&lt;1495,"Intermediate",
J36&lt;1668,"Moderately",
J36&lt;1843,"Transition",
J36&lt;2477,"High",
J36&lt;2996,"Refractory I",
TRUE,"Refractory II"
)</f>
        <v>Medium</v>
      </c>
      <c r="U36">
        <f t="shared" si="1"/>
        <v>0.52356477045038763</v>
      </c>
      <c r="V36" t="str" cm="1">
        <f t="array" ref="V36">_xlfn.IFS(U36&lt;0.25,"shallow condution",
U36&lt;0.5,"transition",
U36&lt;1,"conduction",
U36&lt;1.5,"transition",U36&lt;3,"keyholeⅠ",3&lt;=U36,"keyhole Ⅱ"
)</f>
        <v>conduction</v>
      </c>
      <c r="X36">
        <f t="shared" si="2"/>
        <v>1.909983361064892</v>
      </c>
    </row>
    <row r="37" spans="1:24">
      <c r="A37" s="2" t="s">
        <v>43</v>
      </c>
      <c r="B37" s="4">
        <v>200</v>
      </c>
      <c r="C37" s="4">
        <v>800</v>
      </c>
      <c r="D37" s="4">
        <v>2.7</v>
      </c>
      <c r="E37" s="4">
        <v>10.7</v>
      </c>
      <c r="F37" s="4">
        <v>293.39999999999998</v>
      </c>
      <c r="G37" s="16" t="s">
        <v>85</v>
      </c>
      <c r="H37" s="4">
        <v>0.89700000000000002</v>
      </c>
      <c r="I37" s="4">
        <v>237</v>
      </c>
      <c r="J37" s="4">
        <v>660</v>
      </c>
      <c r="K37" s="4">
        <v>2519</v>
      </c>
      <c r="L37" s="4">
        <v>0.9</v>
      </c>
      <c r="M37" s="6">
        <v>90.58</v>
      </c>
      <c r="N37" s="8">
        <v>56.72</v>
      </c>
      <c r="O37" s="20"/>
      <c r="P37" s="20"/>
      <c r="Q37" s="1">
        <f t="shared" si="0"/>
        <v>64.102564102564102</v>
      </c>
      <c r="R37" t="str" cm="1">
        <f t="array" ref="R37">_xlfn.IFS(Q37&lt;42.7, "low",
Q37&lt;85.4,"medium low",
Q37&lt;128,"medium high",
Q37&gt;=128,"high"
)</f>
        <v>medium low</v>
      </c>
      <c r="S37" t="str" cm="1">
        <f t="array" ref="S37">_xlfn.IFS(J37&lt;700,"low",J37&lt;1600,"medium low",J37&lt;2200,"medium high",J37&gt;=2200,"high")</f>
        <v>low</v>
      </c>
      <c r="T37" t="str" cm="1">
        <f t="array" ref="T37">_xlfn.IFS(
J37&lt;630,"Low",
J37&lt;1287,"Medium",
J37&lt;1495,"Intermediate",
J37&lt;1668,"Moderately",
J37&lt;1843,"Transition",
J37&lt;2477,"High",
J37&lt;2996,"Refractory I",
TRUE,"Refractory II"
)</f>
        <v>Medium</v>
      </c>
      <c r="U37">
        <f t="shared" si="1"/>
        <v>0.62618679620225215</v>
      </c>
      <c r="V37" t="str" cm="1">
        <f t="array" ref="V37">_xlfn.IFS(U37&lt;0.25,"shallow condution",
U37&lt;0.5,"transition",
U37&lt;1,"conduction",
U37&lt;1.5,"transition",U37&lt;3,"keyholeⅠ",3&lt;=U37,"keyhole Ⅱ"
)</f>
        <v>conduction</v>
      </c>
      <c r="X37">
        <f t="shared" si="2"/>
        <v>1.5969675599435824</v>
      </c>
    </row>
    <row r="38" spans="1:24">
      <c r="A38" s="2" t="s">
        <v>43</v>
      </c>
      <c r="B38" s="4">
        <v>200</v>
      </c>
      <c r="C38" s="4">
        <v>1200</v>
      </c>
      <c r="D38" s="4">
        <v>2.7</v>
      </c>
      <c r="E38" s="4">
        <v>10.7</v>
      </c>
      <c r="F38" s="4">
        <v>293.39999999999998</v>
      </c>
      <c r="G38" s="16" t="s">
        <v>85</v>
      </c>
      <c r="H38" s="4">
        <v>0.89700000000000002</v>
      </c>
      <c r="I38" s="4">
        <v>237</v>
      </c>
      <c r="J38" s="4">
        <v>660</v>
      </c>
      <c r="K38" s="4">
        <v>2519</v>
      </c>
      <c r="L38" s="4">
        <v>0.9</v>
      </c>
      <c r="M38" s="6">
        <v>81.59</v>
      </c>
      <c r="N38" s="8">
        <v>47.02</v>
      </c>
      <c r="O38" s="20"/>
      <c r="P38" s="20"/>
      <c r="Q38" s="1">
        <f t="shared" si="0"/>
        <v>42.735042735042732</v>
      </c>
      <c r="R38" t="str" cm="1">
        <f t="array" ref="R38">_xlfn.IFS(Q38&lt;42.7, "low",
Q38&lt;85.4,"medium low",
Q38&lt;128,"medium high",
Q38&gt;=128,"high"
)</f>
        <v>medium low</v>
      </c>
      <c r="S38" t="str" cm="1">
        <f t="array" ref="S38">_xlfn.IFS(J38&lt;700,"low",J38&lt;1600,"medium low",J38&lt;2200,"medium high",J38&gt;=2200,"high")</f>
        <v>low</v>
      </c>
      <c r="T38" t="str" cm="1">
        <f t="array" ref="T38">_xlfn.IFS(
J38&lt;630,"Low",
J38&lt;1287,"Medium",
J38&lt;1495,"Intermediate",
J38&lt;1668,"Moderately",
J38&lt;1843,"Transition",
J38&lt;2477,"High",
J38&lt;2996,"Refractory I",
TRUE,"Refractory II"
)</f>
        <v>Medium</v>
      </c>
      <c r="U38">
        <f t="shared" si="1"/>
        <v>0.57629611471994113</v>
      </c>
      <c r="V38" t="str" cm="1">
        <f t="array" ref="V38">_xlfn.IFS(U38&lt;0.25,"shallow condution",
U38&lt;0.5,"transition",
U38&lt;1,"conduction",
U38&lt;1.5,"transition",U38&lt;3,"keyholeⅠ",3&lt;=U38,"keyhole Ⅱ"
)</f>
        <v>conduction</v>
      </c>
      <c r="X38">
        <f t="shared" si="2"/>
        <v>1.7352190557209697</v>
      </c>
    </row>
    <row r="39" spans="1:24">
      <c r="A39" s="2" t="s">
        <v>43</v>
      </c>
      <c r="B39" s="4">
        <v>200</v>
      </c>
      <c r="C39" s="4">
        <v>1600</v>
      </c>
      <c r="D39" s="4">
        <v>2.7</v>
      </c>
      <c r="E39" s="4">
        <v>10.7</v>
      </c>
      <c r="F39" s="4">
        <v>293.39999999999998</v>
      </c>
      <c r="G39" s="16" t="s">
        <v>85</v>
      </c>
      <c r="H39" s="4">
        <v>0.89700000000000002</v>
      </c>
      <c r="I39" s="4">
        <v>237</v>
      </c>
      <c r="J39" s="4">
        <v>660</v>
      </c>
      <c r="K39" s="4">
        <v>2519</v>
      </c>
      <c r="L39" s="4">
        <v>0.9</v>
      </c>
      <c r="M39" s="6">
        <v>73.650000000000006</v>
      </c>
      <c r="N39" s="8">
        <v>41.54</v>
      </c>
      <c r="O39" s="20"/>
      <c r="P39" s="20"/>
      <c r="Q39" s="1">
        <f t="shared" si="0"/>
        <v>32.051282051282051</v>
      </c>
      <c r="R39" t="str" cm="1">
        <f t="array" ref="R39">_xlfn.IFS(Q39&lt;42.7, "low",
Q39&lt;85.4,"medium low",
Q39&lt;128,"medium high",
Q39&gt;=128,"high"
)</f>
        <v>low</v>
      </c>
      <c r="S39" t="str" cm="1">
        <f t="array" ref="S39">_xlfn.IFS(J39&lt;700,"low",J39&lt;1600,"medium low",J39&lt;2200,"medium high",J39&gt;=2200,"high")</f>
        <v>low</v>
      </c>
      <c r="T39" t="str" cm="1">
        <f t="array" ref="T39">_xlfn.IFS(
J39&lt;630,"Low",
J39&lt;1287,"Medium",
J39&lt;1495,"Intermediate",
J39&lt;1668,"Moderately",
J39&lt;1843,"Transition",
J39&lt;2477,"High",
J39&lt;2996,"Refractory I",
TRUE,"Refractory II"
)</f>
        <v>Medium</v>
      </c>
      <c r="U39">
        <f t="shared" si="1"/>
        <v>0.56401900882552614</v>
      </c>
      <c r="V39" t="str" cm="1">
        <f t="array" ref="V39">_xlfn.IFS(U39&lt;0.25,"shallow condution",
U39&lt;0.5,"transition",
U39&lt;1,"conduction",
U39&lt;1.5,"transition",U39&lt;3,"keyholeⅠ",3&lt;=U39,"keyhole Ⅱ"
)</f>
        <v>conduction</v>
      </c>
      <c r="X39">
        <f t="shared" si="2"/>
        <v>1.7729898892633609</v>
      </c>
    </row>
    <row r="40" spans="1:24">
      <c r="A40" s="2" t="s">
        <v>43</v>
      </c>
      <c r="B40" s="4">
        <v>200</v>
      </c>
      <c r="C40" s="4">
        <v>2000</v>
      </c>
      <c r="D40" s="4">
        <v>2.7</v>
      </c>
      <c r="E40" s="4">
        <v>10.7</v>
      </c>
      <c r="F40" s="4">
        <v>293.39999999999998</v>
      </c>
      <c r="G40" s="16" t="s">
        <v>85</v>
      </c>
      <c r="H40" s="4">
        <v>0.89700000000000002</v>
      </c>
      <c r="I40" s="4">
        <v>237</v>
      </c>
      <c r="J40" s="4">
        <v>660</v>
      </c>
      <c r="K40" s="4">
        <v>2519</v>
      </c>
      <c r="L40" s="4">
        <v>0.9</v>
      </c>
      <c r="M40" s="6">
        <v>67.400000000000006</v>
      </c>
      <c r="N40" s="8">
        <v>36.299999999999997</v>
      </c>
      <c r="O40" s="20"/>
      <c r="P40" s="20"/>
      <c r="Q40" s="1">
        <f t="shared" si="0"/>
        <v>25.641025641025642</v>
      </c>
      <c r="R40" t="str" cm="1">
        <f t="array" ref="R40">_xlfn.IFS(Q40&lt;42.7, "low",
Q40&lt;85.4,"medium low",
Q40&lt;128,"medium high",
Q40&gt;=128,"high"
)</f>
        <v>low</v>
      </c>
      <c r="S40" t="str" cm="1">
        <f t="array" ref="S40">_xlfn.IFS(J40&lt;700,"low",J40&lt;1600,"medium low",J40&lt;2200,"medium high",J40&gt;=2200,"high")</f>
        <v>low</v>
      </c>
      <c r="T40" t="str" cm="1">
        <f t="array" ref="T40">_xlfn.IFS(
J40&lt;630,"Low",
J40&lt;1287,"Medium",
J40&lt;1495,"Intermediate",
J40&lt;1668,"Moderately",
J40&lt;1843,"Transition",
J40&lt;2477,"High",
J40&lt;2996,"Refractory I",
TRUE,"Refractory II"
)</f>
        <v>Medium</v>
      </c>
      <c r="U40">
        <f t="shared" si="1"/>
        <v>0.53857566765578624</v>
      </c>
      <c r="V40" t="str" cm="1">
        <f t="array" ref="V40">_xlfn.IFS(U40&lt;0.25,"shallow condution",
U40&lt;0.5,"transition",
U40&lt;1,"conduction",
U40&lt;1.5,"transition",U40&lt;3,"keyholeⅠ",3&lt;=U40,"keyhole Ⅱ"
)</f>
        <v>conduction</v>
      </c>
      <c r="X40">
        <f t="shared" si="2"/>
        <v>1.8567493112947662</v>
      </c>
    </row>
    <row r="41" spans="1:24">
      <c r="A41" s="2" t="s">
        <v>43</v>
      </c>
      <c r="B41" s="4">
        <v>200</v>
      </c>
      <c r="C41" s="4">
        <v>2400</v>
      </c>
      <c r="D41" s="4">
        <v>2.7</v>
      </c>
      <c r="E41" s="4">
        <v>10.7</v>
      </c>
      <c r="F41" s="4">
        <v>293.39999999999998</v>
      </c>
      <c r="G41" s="16" t="s">
        <v>85</v>
      </c>
      <c r="H41" s="4">
        <v>0.89700000000000002</v>
      </c>
      <c r="I41" s="4">
        <v>237</v>
      </c>
      <c r="J41" s="4">
        <v>660</v>
      </c>
      <c r="K41" s="4">
        <v>2519</v>
      </c>
      <c r="L41" s="4">
        <v>0.9</v>
      </c>
      <c r="M41" s="6">
        <v>48.99</v>
      </c>
      <c r="N41" s="8">
        <v>28.11</v>
      </c>
      <c r="O41" s="20"/>
      <c r="P41" s="20"/>
      <c r="Q41" s="1">
        <f t="shared" si="0"/>
        <v>21.367521367521366</v>
      </c>
      <c r="R41" t="str" cm="1">
        <f t="array" ref="R41">_xlfn.IFS(Q41&lt;42.7, "low",
Q41&lt;85.4,"medium low",
Q41&lt;128,"medium high",
Q41&gt;=128,"high"
)</f>
        <v>low</v>
      </c>
      <c r="S41" t="str" cm="1">
        <f t="array" ref="S41">_xlfn.IFS(J41&lt;700,"low",J41&lt;1600,"medium low",J41&lt;2200,"medium high",J41&gt;=2200,"high")</f>
        <v>low</v>
      </c>
      <c r="T41" t="str" cm="1">
        <f t="array" ref="T41">_xlfn.IFS(
J41&lt;630,"Low",
J41&lt;1287,"Medium",
J41&lt;1495,"Intermediate",
J41&lt;1668,"Moderately",
J41&lt;1843,"Transition",
J41&lt;2477,"High",
J41&lt;2996,"Refractory I",
TRUE,"Refractory II"
)</f>
        <v>Medium</v>
      </c>
      <c r="U41">
        <f t="shared" si="1"/>
        <v>0.57379056950398033</v>
      </c>
      <c r="V41" t="str" cm="1">
        <f t="array" ref="V41">_xlfn.IFS(U41&lt;0.25,"shallow condution",
U41&lt;0.5,"transition",
U41&lt;1,"conduction",
U41&lt;1.5,"transition",U41&lt;3,"keyholeⅠ",3&lt;=U41,"keyhole Ⅱ"
)</f>
        <v>conduction</v>
      </c>
      <c r="X41">
        <f t="shared" si="2"/>
        <v>1.7427961579509073</v>
      </c>
    </row>
    <row r="42" spans="1:24">
      <c r="A42" s="2" t="s">
        <v>43</v>
      </c>
      <c r="B42" s="4">
        <v>350</v>
      </c>
      <c r="C42" s="4">
        <v>400</v>
      </c>
      <c r="D42" s="4">
        <v>2.7</v>
      </c>
      <c r="E42" s="4">
        <v>10.7</v>
      </c>
      <c r="F42" s="4">
        <v>293.39999999999998</v>
      </c>
      <c r="G42" s="16" t="s">
        <v>85</v>
      </c>
      <c r="H42" s="4">
        <v>0.89700000000000002</v>
      </c>
      <c r="I42" s="4">
        <v>237</v>
      </c>
      <c r="J42" s="4">
        <v>660</v>
      </c>
      <c r="K42" s="4">
        <v>2519</v>
      </c>
      <c r="L42" s="4">
        <v>0.9</v>
      </c>
      <c r="M42" s="6">
        <v>145.44999999999999</v>
      </c>
      <c r="N42" s="8">
        <v>87.68</v>
      </c>
      <c r="O42" s="20"/>
      <c r="P42" s="20"/>
      <c r="Q42" s="1">
        <f t="shared" si="0"/>
        <v>224.35897435897436</v>
      </c>
      <c r="R42" t="str" cm="1">
        <f t="array" ref="R42">_xlfn.IFS(Q42&lt;42.7, "low",
Q42&lt;85.4,"medium low",
Q42&lt;128,"medium high",
Q42&gt;=128,"high"
)</f>
        <v>high</v>
      </c>
      <c r="S42" t="str" cm="1">
        <f t="array" ref="S42">_xlfn.IFS(J42&lt;700,"low",J42&lt;1600,"medium low",J42&lt;2200,"medium high",J42&gt;=2200,"high")</f>
        <v>low</v>
      </c>
      <c r="T42" t="str" cm="1">
        <f t="array" ref="T42">_xlfn.IFS(
J42&lt;630,"Low",
J42&lt;1287,"Medium",
J42&lt;1495,"Intermediate",
J42&lt;1668,"Moderately",
J42&lt;1843,"Transition",
J42&lt;2477,"High",
J42&lt;2996,"Refractory I",
TRUE,"Refractory II"
)</f>
        <v>Medium</v>
      </c>
      <c r="U42">
        <f t="shared" si="1"/>
        <v>0.60281883808869041</v>
      </c>
      <c r="V42" t="str" cm="1">
        <f t="array" ref="V42">_xlfn.IFS(U42&lt;0.25,"shallow condution",
U42&lt;0.5,"transition",
U42&lt;1,"conduction",
U42&lt;1.5,"transition",U42&lt;3,"keyholeⅠ",3&lt;=U42,"keyhole Ⅱ"
)</f>
        <v>conduction</v>
      </c>
      <c r="X42">
        <f t="shared" si="2"/>
        <v>1.6588731751824815</v>
      </c>
    </row>
    <row r="43" spans="1:24">
      <c r="A43" s="2" t="s">
        <v>43</v>
      </c>
      <c r="B43" s="4">
        <v>350</v>
      </c>
      <c r="C43" s="4">
        <v>600</v>
      </c>
      <c r="D43" s="4">
        <v>2.7</v>
      </c>
      <c r="E43" s="4">
        <v>10.7</v>
      </c>
      <c r="F43" s="4">
        <v>293.39999999999998</v>
      </c>
      <c r="G43" s="16" t="s">
        <v>85</v>
      </c>
      <c r="H43" s="4">
        <v>0.89700000000000002</v>
      </c>
      <c r="I43" s="4">
        <v>237</v>
      </c>
      <c r="J43" s="4">
        <v>660</v>
      </c>
      <c r="K43" s="4">
        <v>2519</v>
      </c>
      <c r="L43" s="4">
        <v>0.9</v>
      </c>
      <c r="M43" s="6">
        <v>143.19999999999999</v>
      </c>
      <c r="N43" s="8">
        <v>84</v>
      </c>
      <c r="O43" s="20"/>
      <c r="P43" s="20"/>
      <c r="Q43" s="1">
        <f t="shared" si="0"/>
        <v>149.57264957264957</v>
      </c>
      <c r="R43" t="str" cm="1">
        <f t="array" ref="R43">_xlfn.IFS(Q43&lt;42.7, "low",
Q43&lt;85.4,"medium low",
Q43&lt;128,"medium high",
Q43&gt;=128,"high"
)</f>
        <v>high</v>
      </c>
      <c r="S43" t="str" cm="1">
        <f t="array" ref="S43">_xlfn.IFS(J43&lt;700,"low",J43&lt;1600,"medium low",J43&lt;2200,"medium high",J43&gt;=2200,"high")</f>
        <v>low</v>
      </c>
      <c r="T43" t="str" cm="1">
        <f t="array" ref="T43">_xlfn.IFS(
J43&lt;630,"Low",
J43&lt;1287,"Medium",
J43&lt;1495,"Intermediate",
J43&lt;1668,"Moderately",
J43&lt;1843,"Transition",
J43&lt;2477,"High",
J43&lt;2996,"Refractory I",
TRUE,"Refractory II"
)</f>
        <v>Medium</v>
      </c>
      <c r="U43">
        <f t="shared" si="1"/>
        <v>0.58659217877094971</v>
      </c>
      <c r="V43" t="str" cm="1">
        <f t="array" ref="V43">_xlfn.IFS(U43&lt;0.25,"shallow condution",
U43&lt;0.5,"transition",
U43&lt;1,"conduction",
U43&lt;1.5,"transition",U43&lt;3,"keyholeⅠ",3&lt;=U43,"keyhole Ⅱ"
)</f>
        <v>conduction</v>
      </c>
      <c r="X43">
        <f t="shared" si="2"/>
        <v>1.7047619047619047</v>
      </c>
    </row>
    <row r="44" spans="1:24">
      <c r="A44" s="2" t="s">
        <v>43</v>
      </c>
      <c r="B44" s="4">
        <v>350</v>
      </c>
      <c r="C44" s="4">
        <v>800</v>
      </c>
      <c r="D44" s="4">
        <v>2.7</v>
      </c>
      <c r="E44" s="4">
        <v>10.7</v>
      </c>
      <c r="F44" s="4">
        <v>293.39999999999998</v>
      </c>
      <c r="G44" s="16" t="s">
        <v>85</v>
      </c>
      <c r="H44" s="4">
        <v>0.89700000000000002</v>
      </c>
      <c r="I44" s="4">
        <v>237</v>
      </c>
      <c r="J44" s="4">
        <v>660</v>
      </c>
      <c r="K44" s="4">
        <v>2519</v>
      </c>
      <c r="L44" s="4">
        <v>0.9</v>
      </c>
      <c r="M44" s="6">
        <v>116.49</v>
      </c>
      <c r="N44" s="8">
        <v>52.35</v>
      </c>
      <c r="O44" s="20"/>
      <c r="P44" s="20"/>
      <c r="Q44" s="1">
        <f t="shared" si="0"/>
        <v>112.17948717948718</v>
      </c>
      <c r="R44" t="str" cm="1">
        <f t="array" ref="R44">_xlfn.IFS(Q44&lt;42.7, "low",
Q44&lt;85.4,"medium low",
Q44&lt;128,"medium high",
Q44&gt;=128,"high"
)</f>
        <v>medium high</v>
      </c>
      <c r="S44" t="str" cm="1">
        <f t="array" ref="S44">_xlfn.IFS(J44&lt;700,"low",J44&lt;1600,"medium low",J44&lt;2200,"medium high",J44&gt;=2200,"high")</f>
        <v>low</v>
      </c>
      <c r="T44" t="str" cm="1">
        <f t="array" ref="T44">_xlfn.IFS(
J44&lt;630,"Low",
J44&lt;1287,"Medium",
J44&lt;1495,"Intermediate",
J44&lt;1668,"Moderately",
J44&lt;1843,"Transition",
J44&lt;2477,"High",
J44&lt;2996,"Refractory I",
TRUE,"Refractory II"
)</f>
        <v>Medium</v>
      </c>
      <c r="U44">
        <f t="shared" si="1"/>
        <v>0.4493947978367242</v>
      </c>
      <c r="V44" t="str" cm="1">
        <f t="array" ref="V44">_xlfn.IFS(U44&lt;0.25,"shallow condution",
U44&lt;0.5,"transition",
U44&lt;1,"conduction",
U44&lt;1.5,"transition",U44&lt;3,"keyholeⅠ",3&lt;=U44,"keyhole Ⅱ"
)</f>
        <v>transition</v>
      </c>
      <c r="X44">
        <f t="shared" si="2"/>
        <v>2.2252148997134671</v>
      </c>
    </row>
    <row r="45" spans="1:24">
      <c r="A45" s="2" t="s">
        <v>43</v>
      </c>
      <c r="B45" s="4">
        <v>350</v>
      </c>
      <c r="C45" s="4">
        <v>1000</v>
      </c>
      <c r="D45" s="4">
        <v>2.7</v>
      </c>
      <c r="E45" s="4">
        <v>10.7</v>
      </c>
      <c r="F45" s="4">
        <v>293.39999999999998</v>
      </c>
      <c r="G45" s="16" t="s">
        <v>85</v>
      </c>
      <c r="H45" s="4">
        <v>0.89700000000000002</v>
      </c>
      <c r="I45" s="4">
        <v>237</v>
      </c>
      <c r="J45" s="4">
        <v>660</v>
      </c>
      <c r="K45" s="4">
        <v>2519</v>
      </c>
      <c r="L45" s="4">
        <v>0.9</v>
      </c>
      <c r="M45" s="6">
        <v>106.61</v>
      </c>
      <c r="N45" s="8">
        <v>44.95</v>
      </c>
      <c r="O45" s="20"/>
      <c r="P45" s="20"/>
      <c r="Q45" s="1">
        <f t="shared" si="0"/>
        <v>89.743589743589737</v>
      </c>
      <c r="R45" t="str" cm="1">
        <f t="array" ref="R45">_xlfn.IFS(Q45&lt;42.7, "low",
Q45&lt;85.4,"medium low",
Q45&lt;128,"medium high",
Q45&gt;=128,"high"
)</f>
        <v>medium high</v>
      </c>
      <c r="S45" t="str" cm="1">
        <f t="array" ref="S45">_xlfn.IFS(J45&lt;700,"low",J45&lt;1600,"medium low",J45&lt;2200,"medium high",J45&gt;=2200,"high")</f>
        <v>low</v>
      </c>
      <c r="T45" t="str" cm="1">
        <f t="array" ref="T45">_xlfn.IFS(
J45&lt;630,"Low",
J45&lt;1287,"Medium",
J45&lt;1495,"Intermediate",
J45&lt;1668,"Moderately",
J45&lt;1843,"Transition",
J45&lt;2477,"High",
J45&lt;2996,"Refractory I",
TRUE,"Refractory II"
)</f>
        <v>Medium</v>
      </c>
      <c r="U45">
        <f t="shared" si="1"/>
        <v>0.42163024106556612</v>
      </c>
      <c r="V45" t="str" cm="1">
        <f t="array" ref="V45">_xlfn.IFS(U45&lt;0.25,"shallow condution",
U45&lt;0.5,"transition",
U45&lt;1,"conduction",
U45&lt;1.5,"transition",U45&lt;3,"keyholeⅠ",3&lt;=U45,"keyhole Ⅱ"
)</f>
        <v>transition</v>
      </c>
      <c r="X45">
        <f t="shared" si="2"/>
        <v>2.3717463848720799</v>
      </c>
    </row>
    <row r="46" spans="1:24">
      <c r="A46" s="2" t="s">
        <v>43</v>
      </c>
      <c r="B46" s="4">
        <v>350</v>
      </c>
      <c r="C46" s="4">
        <v>1200</v>
      </c>
      <c r="D46" s="4">
        <v>2.7</v>
      </c>
      <c r="E46" s="4">
        <v>10.7</v>
      </c>
      <c r="F46" s="4">
        <v>293.39999999999998</v>
      </c>
      <c r="G46" s="16" t="s">
        <v>85</v>
      </c>
      <c r="H46" s="4">
        <v>0.89700000000000002</v>
      </c>
      <c r="I46" s="4">
        <v>237</v>
      </c>
      <c r="J46" s="4">
        <v>660</v>
      </c>
      <c r="K46" s="4">
        <v>2519</v>
      </c>
      <c r="L46" s="4">
        <v>0.9</v>
      </c>
      <c r="M46" s="6">
        <v>92.28</v>
      </c>
      <c r="N46" s="8">
        <v>42.64</v>
      </c>
      <c r="O46" s="20"/>
      <c r="P46" s="20"/>
      <c r="Q46" s="1">
        <f t="shared" si="0"/>
        <v>74.786324786324784</v>
      </c>
      <c r="R46" t="str" cm="1">
        <f t="array" ref="R46">_xlfn.IFS(Q46&lt;42.7, "low",
Q46&lt;85.4,"medium low",
Q46&lt;128,"medium high",
Q46&gt;=128,"high"
)</f>
        <v>medium low</v>
      </c>
      <c r="S46" t="str" cm="1">
        <f t="array" ref="S46">_xlfn.IFS(J46&lt;700,"low",J46&lt;1600,"medium low",J46&lt;2200,"medium high",J46&gt;=2200,"high")</f>
        <v>low</v>
      </c>
      <c r="T46" t="str" cm="1">
        <f t="array" ref="T46">_xlfn.IFS(
J46&lt;630,"Low",
J46&lt;1287,"Medium",
J46&lt;1495,"Intermediate",
J46&lt;1668,"Moderately",
J46&lt;1843,"Transition",
J46&lt;2477,"High",
J46&lt;2996,"Refractory I",
TRUE,"Refractory II"
)</f>
        <v>Medium</v>
      </c>
      <c r="U46">
        <f t="shared" si="1"/>
        <v>0.46207195491980929</v>
      </c>
      <c r="V46" t="str" cm="1">
        <f t="array" ref="V46">_xlfn.IFS(U46&lt;0.25,"shallow condution",
U46&lt;0.5,"transition",
U46&lt;1,"conduction",
U46&lt;1.5,"transition",U46&lt;3,"keyholeⅠ",3&lt;=U46,"keyhole Ⅱ"
)</f>
        <v>transition</v>
      </c>
      <c r="X46">
        <f t="shared" si="2"/>
        <v>2.1641651031894935</v>
      </c>
    </row>
    <row r="47" spans="1:24">
      <c r="A47" s="2" t="s">
        <v>43</v>
      </c>
      <c r="B47" s="4">
        <v>350</v>
      </c>
      <c r="C47" s="4">
        <v>1600</v>
      </c>
      <c r="D47" s="4">
        <v>2.7</v>
      </c>
      <c r="E47" s="4">
        <v>10.7</v>
      </c>
      <c r="F47" s="4">
        <v>293.39999999999998</v>
      </c>
      <c r="G47" s="16" t="s">
        <v>85</v>
      </c>
      <c r="H47" s="4">
        <v>0.89700000000000002</v>
      </c>
      <c r="I47" s="4">
        <v>237</v>
      </c>
      <c r="J47" s="4">
        <v>660</v>
      </c>
      <c r="K47" s="4">
        <v>2519</v>
      </c>
      <c r="L47" s="4">
        <v>0.9</v>
      </c>
      <c r="M47" s="6">
        <v>90.31</v>
      </c>
      <c r="N47" s="8">
        <v>34.64</v>
      </c>
      <c r="O47" s="20"/>
      <c r="P47" s="20"/>
      <c r="Q47" s="1">
        <f t="shared" si="0"/>
        <v>56.089743589743591</v>
      </c>
      <c r="R47" t="str" cm="1">
        <f t="array" ref="R47">_xlfn.IFS(Q47&lt;42.7, "low",
Q47&lt;85.4,"medium low",
Q47&lt;128,"medium high",
Q47&gt;=128,"high"
)</f>
        <v>medium low</v>
      </c>
      <c r="S47" t="str" cm="1">
        <f t="array" ref="S47">_xlfn.IFS(J47&lt;700,"low",J47&lt;1600,"medium low",J47&lt;2200,"medium high",J47&gt;=2200,"high")</f>
        <v>low</v>
      </c>
      <c r="T47" t="str" cm="1">
        <f t="array" ref="T47">_xlfn.IFS(
J47&lt;630,"Low",
J47&lt;1287,"Medium",
J47&lt;1495,"Intermediate",
J47&lt;1668,"Moderately",
J47&lt;1843,"Transition",
J47&lt;2477,"High",
J47&lt;2996,"Refractory I",
TRUE,"Refractory II"
)</f>
        <v>Medium</v>
      </c>
      <c r="U47">
        <f t="shared" si="1"/>
        <v>0.38356771121691952</v>
      </c>
      <c r="V47" t="str" cm="1">
        <f t="array" ref="V47">_xlfn.IFS(U47&lt;0.25,"shallow condution",
U47&lt;0.5,"transition",
U47&lt;1,"conduction",
U47&lt;1.5,"transition",U47&lt;3,"keyholeⅠ",3&lt;=U47,"keyhole Ⅱ"
)</f>
        <v>transition</v>
      </c>
      <c r="X47">
        <f t="shared" si="2"/>
        <v>2.6071016166281757</v>
      </c>
    </row>
    <row r="48" spans="1:24">
      <c r="A48" s="2" t="s">
        <v>43</v>
      </c>
      <c r="B48" s="4">
        <v>350</v>
      </c>
      <c r="C48" s="4">
        <v>2000</v>
      </c>
      <c r="D48" s="4">
        <v>2.7</v>
      </c>
      <c r="E48" s="4">
        <v>10.7</v>
      </c>
      <c r="F48" s="4">
        <v>293.39999999999998</v>
      </c>
      <c r="G48" s="16" t="s">
        <v>85</v>
      </c>
      <c r="H48" s="4">
        <v>0.89700000000000002</v>
      </c>
      <c r="I48" s="4">
        <v>237</v>
      </c>
      <c r="J48" s="4">
        <v>660</v>
      </c>
      <c r="K48" s="4">
        <v>2519</v>
      </c>
      <c r="L48" s="4">
        <v>0.9</v>
      </c>
      <c r="M48" s="4">
        <v>65.239999999999995</v>
      </c>
      <c r="N48" s="5">
        <v>27.84</v>
      </c>
      <c r="Q48" s="1">
        <f t="shared" si="0"/>
        <v>44.871794871794869</v>
      </c>
      <c r="R48" t="str" cm="1">
        <f t="array" ref="R48">_xlfn.IFS(Q48&lt;42.7, "low",
Q48&lt;85.4,"medium low",
Q48&lt;128,"medium high",
Q48&gt;=128,"high"
)</f>
        <v>medium low</v>
      </c>
      <c r="S48" t="str" cm="1">
        <f t="array" ref="S48">_xlfn.IFS(J48&lt;700,"low",J48&lt;1600,"medium low",J48&lt;2200,"medium high",J48&gt;=2200,"high")</f>
        <v>low</v>
      </c>
      <c r="T48" t="str" cm="1">
        <f t="array" ref="T48">_xlfn.IFS(
J48&lt;630,"Low",
J48&lt;1287,"Medium",
J48&lt;1495,"Intermediate",
J48&lt;1668,"Moderately",
J48&lt;1843,"Transition",
J48&lt;2477,"High",
J48&lt;2996,"Refractory I",
TRUE,"Refractory II"
)</f>
        <v>Medium</v>
      </c>
      <c r="U48">
        <f t="shared" si="1"/>
        <v>0.42673206621704479</v>
      </c>
      <c r="V48" t="str" cm="1">
        <f t="array" ref="V48">_xlfn.IFS(U48&lt;0.25,"shallow condution",
U48&lt;0.5,"transition",
U48&lt;1,"conduction",
U48&lt;1.5,"transition",U48&lt;3,"keyholeⅠ",3&lt;=U48,"keyhole Ⅱ"
)</f>
        <v>transition</v>
      </c>
      <c r="X48">
        <f t="shared" si="2"/>
        <v>2.3433908045977008</v>
      </c>
    </row>
    <row r="49" spans="1:24">
      <c r="A49" s="2" t="s">
        <v>43</v>
      </c>
      <c r="B49" s="4">
        <v>350</v>
      </c>
      <c r="C49" s="4">
        <v>2400</v>
      </c>
      <c r="D49" s="4">
        <v>2.7</v>
      </c>
      <c r="E49" s="4">
        <v>10.7</v>
      </c>
      <c r="F49" s="4">
        <v>293.39999999999998</v>
      </c>
      <c r="G49" s="16" t="s">
        <v>85</v>
      </c>
      <c r="H49" s="4">
        <v>0.89700000000000002</v>
      </c>
      <c r="I49" s="4">
        <v>237</v>
      </c>
      <c r="J49" s="4">
        <v>660</v>
      </c>
      <c r="K49" s="4">
        <v>2519</v>
      </c>
      <c r="L49" s="4">
        <v>0.9</v>
      </c>
      <c r="M49" s="4">
        <v>58</v>
      </c>
      <c r="N49" s="5">
        <v>23.94</v>
      </c>
      <c r="Q49" s="1">
        <f t="shared" si="0"/>
        <v>37.393162393162392</v>
      </c>
      <c r="R49" t="str" cm="1">
        <f t="array" ref="R49">_xlfn.IFS(Q49&lt;42.7, "low",
Q49&lt;85.4,"medium low",
Q49&lt;128,"medium high",
Q49&gt;=128,"high"
)</f>
        <v>low</v>
      </c>
      <c r="S49" t="str" cm="1">
        <f t="array" ref="S49">_xlfn.IFS(J49&lt;700,"low",J49&lt;1600,"medium low",J49&lt;2200,"medium high",J49&gt;=2200,"high")</f>
        <v>low</v>
      </c>
      <c r="T49" t="str" cm="1">
        <f t="array" ref="T49">_xlfn.IFS(
J49&lt;630,"Low",
J49&lt;1287,"Medium",
J49&lt;1495,"Intermediate",
J49&lt;1668,"Moderately",
J49&lt;1843,"Transition",
J49&lt;2477,"High",
J49&lt;2996,"Refractory I",
TRUE,"Refractory II"
)</f>
        <v>Medium</v>
      </c>
      <c r="U49">
        <f t="shared" si="1"/>
        <v>0.41275862068965519</v>
      </c>
      <c r="V49" t="str" cm="1">
        <f t="array" ref="V49">_xlfn.IFS(U49&lt;0.25,"shallow condution",
U49&lt;0.5,"transition",
U49&lt;1,"conduction",
U49&lt;1.5,"transition",U49&lt;3,"keyholeⅠ",3&lt;=U49,"keyhole Ⅱ"
)</f>
        <v>transition</v>
      </c>
      <c r="X49">
        <f t="shared" si="2"/>
        <v>2.4227234753550544</v>
      </c>
    </row>
    <row r="50" spans="1:24">
      <c r="A50" s="2" t="s">
        <v>43</v>
      </c>
      <c r="B50" s="4">
        <v>100</v>
      </c>
      <c r="C50" s="4">
        <v>300</v>
      </c>
      <c r="D50" s="4">
        <v>2.7</v>
      </c>
      <c r="E50" s="4">
        <v>10.7</v>
      </c>
      <c r="F50" s="4">
        <v>293.39999999999998</v>
      </c>
      <c r="G50" s="16" t="s">
        <v>85</v>
      </c>
      <c r="H50" s="4">
        <v>0.89700000000000002</v>
      </c>
      <c r="I50" s="4">
        <v>237</v>
      </c>
      <c r="J50" s="4">
        <v>660</v>
      </c>
      <c r="K50" s="4">
        <v>2519</v>
      </c>
      <c r="L50" s="4">
        <v>0.9</v>
      </c>
      <c r="M50" s="4">
        <v>55.99</v>
      </c>
      <c r="N50" s="5">
        <v>17.36</v>
      </c>
      <c r="Q50" s="1">
        <f t="shared" si="0"/>
        <v>85.470085470085465</v>
      </c>
      <c r="R50" t="str" cm="1">
        <f t="array" ref="R50">_xlfn.IFS(Q50&lt;42.7, "low",
Q50&lt;85.4,"medium low",
Q50&lt;128,"medium high",
Q50&gt;=128,"high"
)</f>
        <v>medium high</v>
      </c>
      <c r="S50" t="str" cm="1">
        <f t="array" ref="S50">_xlfn.IFS(J50&lt;700,"low",J50&lt;1600,"medium low",J50&lt;2200,"medium high",J50&gt;=2200,"high")</f>
        <v>low</v>
      </c>
      <c r="T50" t="str" cm="1">
        <f t="array" ref="T50">_xlfn.IFS(
J50&lt;630,"Low",
J50&lt;1287,"Medium",
J50&lt;1495,"Intermediate",
J50&lt;1668,"Moderately",
J50&lt;1843,"Transition",
J50&lt;2477,"High",
J50&lt;2996,"Refractory I",
TRUE,"Refractory II"
)</f>
        <v>Medium</v>
      </c>
      <c r="U50">
        <f t="shared" si="1"/>
        <v>0.31005536702982672</v>
      </c>
      <c r="V50" t="str" cm="1">
        <f t="array" ref="V50">_xlfn.IFS(U50&lt;0.25,"shallow condution",
U50&lt;0.5,"transition",
U50&lt;1,"conduction",
U50&lt;1.5,"transition",U50&lt;3,"keyholeⅠ",3&lt;=U50,"keyhole Ⅱ"
)</f>
        <v>transition</v>
      </c>
      <c r="X50">
        <f t="shared" si="2"/>
        <v>3.225230414746544</v>
      </c>
    </row>
    <row r="51" spans="1:24">
      <c r="A51" s="2" t="s">
        <v>43</v>
      </c>
      <c r="B51" s="4">
        <v>150</v>
      </c>
      <c r="C51" s="4">
        <v>300</v>
      </c>
      <c r="D51" s="4">
        <v>2.7</v>
      </c>
      <c r="E51" s="4">
        <v>10.7</v>
      </c>
      <c r="F51" s="4">
        <v>293.39999999999998</v>
      </c>
      <c r="G51" s="16" t="s">
        <v>85</v>
      </c>
      <c r="H51" s="4">
        <v>0.89700000000000002</v>
      </c>
      <c r="I51" s="4">
        <v>237</v>
      </c>
      <c r="J51" s="4">
        <v>660</v>
      </c>
      <c r="K51" s="4">
        <v>2519</v>
      </c>
      <c r="L51" s="4">
        <v>0.9</v>
      </c>
      <c r="M51" s="4">
        <v>87.4</v>
      </c>
      <c r="N51" s="5">
        <v>32.6</v>
      </c>
      <c r="Q51" s="1">
        <f t="shared" si="0"/>
        <v>128.2051282051282</v>
      </c>
      <c r="R51" t="str" cm="1">
        <f t="array" ref="R51">_xlfn.IFS(Q51&lt;42.7, "low",
Q51&lt;85.4,"medium low",
Q51&lt;128,"medium high",
Q51&gt;=128,"high"
)</f>
        <v>high</v>
      </c>
      <c r="S51" t="str" cm="1">
        <f t="array" ref="S51">_xlfn.IFS(J51&lt;700,"low",J51&lt;1600,"medium low",J51&lt;2200,"medium high",J51&gt;=2200,"high")</f>
        <v>low</v>
      </c>
      <c r="T51" t="str" cm="1">
        <f t="array" ref="T51">_xlfn.IFS(
J51&lt;630,"Low",
J51&lt;1287,"Medium",
J51&lt;1495,"Intermediate",
J51&lt;1668,"Moderately",
J51&lt;1843,"Transition",
J51&lt;2477,"High",
J51&lt;2996,"Refractory I",
TRUE,"Refractory II"
)</f>
        <v>Medium</v>
      </c>
      <c r="U51">
        <f t="shared" si="1"/>
        <v>0.37299771167048051</v>
      </c>
      <c r="V51" t="str" cm="1">
        <f t="array" ref="V51">_xlfn.IFS(U51&lt;0.25,"shallow condution",
U51&lt;0.5,"transition",
U51&lt;1,"conduction",
U51&lt;1.5,"transition",U51&lt;3,"keyholeⅠ",3&lt;=U51,"keyhole Ⅱ"
)</f>
        <v>transition</v>
      </c>
      <c r="X51">
        <f t="shared" si="2"/>
        <v>2.6809815950920246</v>
      </c>
    </row>
    <row r="52" spans="1:24">
      <c r="A52" s="2" t="s">
        <v>43</v>
      </c>
      <c r="B52" s="4">
        <v>200</v>
      </c>
      <c r="C52" s="4">
        <v>300</v>
      </c>
      <c r="D52" s="4">
        <v>2.7</v>
      </c>
      <c r="E52" s="4">
        <v>10.7</v>
      </c>
      <c r="F52" s="4">
        <v>293.39999999999998</v>
      </c>
      <c r="G52" s="16" t="s">
        <v>85</v>
      </c>
      <c r="H52" s="4">
        <v>0.89700000000000002</v>
      </c>
      <c r="I52" s="4">
        <v>237</v>
      </c>
      <c r="J52" s="4">
        <v>660</v>
      </c>
      <c r="K52" s="4">
        <v>2519</v>
      </c>
      <c r="L52" s="4">
        <v>0.9</v>
      </c>
      <c r="M52" s="6">
        <v>93.88</v>
      </c>
      <c r="N52" s="5">
        <v>37.11</v>
      </c>
      <c r="Q52" s="1">
        <f t="shared" si="0"/>
        <v>170.94017094017093</v>
      </c>
      <c r="R52" t="str" cm="1">
        <f t="array" ref="R52">_xlfn.IFS(Q52&lt;42.7, "low",
Q52&lt;85.4,"medium low",
Q52&lt;128,"medium high",
Q52&gt;=128,"high"
)</f>
        <v>high</v>
      </c>
      <c r="S52" t="str" cm="1">
        <f t="array" ref="S52">_xlfn.IFS(J52&lt;700,"low",J52&lt;1600,"medium low",J52&lt;2200,"medium high",J52&gt;=2200,"high")</f>
        <v>low</v>
      </c>
      <c r="T52" t="str" cm="1">
        <f t="array" ref="T52">_xlfn.IFS(
J52&lt;630,"Low",
J52&lt;1287,"Medium",
J52&lt;1495,"Intermediate",
J52&lt;1668,"Moderately",
J52&lt;1843,"Transition",
J52&lt;2477,"High",
J52&lt;2996,"Refractory I",
TRUE,"Refractory II"
)</f>
        <v>Medium</v>
      </c>
      <c r="U52">
        <f t="shared" si="1"/>
        <v>0.39529186195142735</v>
      </c>
      <c r="V52" t="str" cm="1">
        <f t="array" ref="V52">_xlfn.IFS(U52&lt;0.25,"shallow condution",
U52&lt;0.5,"transition",
U52&lt;1,"conduction",
U52&lt;1.5,"transition",U52&lt;3,"keyholeⅠ",3&lt;=U52,"keyhole Ⅱ"
)</f>
        <v>transition</v>
      </c>
      <c r="X52">
        <f t="shared" si="2"/>
        <v>2.5297763406090001</v>
      </c>
    </row>
    <row r="53" spans="1:24">
      <c r="A53" s="2" t="s">
        <v>43</v>
      </c>
      <c r="B53" s="4">
        <v>250</v>
      </c>
      <c r="C53" s="4">
        <v>300</v>
      </c>
      <c r="D53" s="4">
        <v>2.7</v>
      </c>
      <c r="E53" s="4">
        <v>10.7</v>
      </c>
      <c r="F53" s="4">
        <v>293.39999999999998</v>
      </c>
      <c r="G53" s="16" t="s">
        <v>85</v>
      </c>
      <c r="H53" s="4">
        <v>0.89700000000000002</v>
      </c>
      <c r="I53" s="4">
        <v>237</v>
      </c>
      <c r="J53" s="4">
        <v>660</v>
      </c>
      <c r="K53" s="4">
        <v>2519</v>
      </c>
      <c r="L53" s="4">
        <v>0.9</v>
      </c>
      <c r="M53" s="4">
        <v>164.3</v>
      </c>
      <c r="N53" s="5">
        <v>87.1</v>
      </c>
      <c r="Q53" s="1">
        <f t="shared" si="0"/>
        <v>213.67521367521368</v>
      </c>
      <c r="R53" t="str" cm="1">
        <f t="array" ref="R53">_xlfn.IFS(Q53&lt;42.7, "low",
Q53&lt;85.4,"medium low",
Q53&lt;128,"medium high",
Q53&gt;=128,"high"
)</f>
        <v>high</v>
      </c>
      <c r="S53" t="str" cm="1">
        <f t="array" ref="S53">_xlfn.IFS(J53&lt;700,"low",J53&lt;1600,"medium low",J53&lt;2200,"medium high",J53&gt;=2200,"high")</f>
        <v>low</v>
      </c>
      <c r="T53" t="str" cm="1">
        <f t="array" ref="T53">_xlfn.IFS(
J53&lt;630,"Low",
J53&lt;1287,"Medium",
J53&lt;1495,"Intermediate",
J53&lt;1668,"Moderately",
J53&lt;1843,"Transition",
J53&lt;2477,"High",
J53&lt;2996,"Refractory I",
TRUE,"Refractory II"
)</f>
        <v>Medium</v>
      </c>
      <c r="U53">
        <f t="shared" si="1"/>
        <v>0.53012781497261097</v>
      </c>
      <c r="V53" t="str" cm="1">
        <f t="array" ref="V53">_xlfn.IFS(U53&lt;0.25,"shallow condution",
U53&lt;0.5,"transition",
U53&lt;1,"conduction",
U53&lt;1.5,"transition",U53&lt;3,"keyholeⅠ",3&lt;=U53,"keyhole Ⅱ"
)</f>
        <v>conduction</v>
      </c>
      <c r="X53">
        <f t="shared" si="2"/>
        <v>1.8863375430539613</v>
      </c>
    </row>
    <row r="54" spans="1:24">
      <c r="A54" s="2" t="s">
        <v>43</v>
      </c>
      <c r="B54" s="4">
        <v>300</v>
      </c>
      <c r="C54" s="4">
        <v>300</v>
      </c>
      <c r="D54" s="4">
        <v>2.7</v>
      </c>
      <c r="E54" s="4">
        <v>10.7</v>
      </c>
      <c r="F54" s="4">
        <v>293.39999999999998</v>
      </c>
      <c r="G54" s="16" t="s">
        <v>85</v>
      </c>
      <c r="H54" s="4">
        <v>0.89700000000000002</v>
      </c>
      <c r="I54" s="4">
        <v>237</v>
      </c>
      <c r="J54" s="4">
        <v>660</v>
      </c>
      <c r="K54" s="4">
        <v>2519</v>
      </c>
      <c r="L54" s="4">
        <v>0.9</v>
      </c>
      <c r="M54" s="4">
        <v>289.8</v>
      </c>
      <c r="N54" s="5">
        <v>198.4</v>
      </c>
      <c r="Q54" s="1">
        <f t="shared" si="0"/>
        <v>256.41025641025641</v>
      </c>
      <c r="R54" t="str" cm="1">
        <f t="array" ref="R54">_xlfn.IFS(Q54&lt;42.7, "low",
Q54&lt;85.4,"medium low",
Q54&lt;128,"medium high",
Q54&gt;=128,"high"
)</f>
        <v>high</v>
      </c>
      <c r="S54" t="str" cm="1">
        <f t="array" ref="S54">_xlfn.IFS(J54&lt;700,"low",J54&lt;1600,"medium low",J54&lt;2200,"medium high",J54&gt;=2200,"high")</f>
        <v>low</v>
      </c>
      <c r="T54" t="str" cm="1">
        <f t="array" ref="T54">_xlfn.IFS(
J54&lt;630,"Low",
J54&lt;1287,"Medium",
J54&lt;1495,"Intermediate",
J54&lt;1668,"Moderately",
J54&lt;1843,"Transition",
J54&lt;2477,"High",
J54&lt;2996,"Refractory I",
TRUE,"Refractory II"
)</f>
        <v>Medium</v>
      </c>
      <c r="U54">
        <f t="shared" si="1"/>
        <v>0.68461007591442369</v>
      </c>
      <c r="V54" t="str" cm="1">
        <f t="array" ref="V54">_xlfn.IFS(U54&lt;0.25,"shallow condution",
U54&lt;0.5,"transition",
U54&lt;1,"conduction",
U54&lt;1.5,"transition",U54&lt;3,"keyholeⅠ",3&lt;=U54,"keyhole Ⅱ"
)</f>
        <v>conduction</v>
      </c>
      <c r="X54">
        <f t="shared" si="2"/>
        <v>1.4606854838709677</v>
      </c>
    </row>
    <row r="55" spans="1:24">
      <c r="A55" s="2" t="s">
        <v>43</v>
      </c>
      <c r="B55" s="4">
        <v>100</v>
      </c>
      <c r="C55" s="4">
        <v>600</v>
      </c>
      <c r="D55" s="4">
        <v>2.7</v>
      </c>
      <c r="E55" s="4">
        <v>10.7</v>
      </c>
      <c r="F55" s="4">
        <v>293.39999999999998</v>
      </c>
      <c r="G55" s="16" t="s">
        <v>85</v>
      </c>
      <c r="H55" s="4">
        <v>0.89700000000000002</v>
      </c>
      <c r="I55" s="4">
        <v>237</v>
      </c>
      <c r="J55" s="4">
        <v>660</v>
      </c>
      <c r="K55" s="4">
        <v>2519</v>
      </c>
      <c r="L55" s="4">
        <v>0.9</v>
      </c>
      <c r="M55" s="4">
        <v>25.58</v>
      </c>
      <c r="N55" s="5">
        <v>13.67</v>
      </c>
      <c r="Q55" s="1">
        <f t="shared" si="0"/>
        <v>42.735042735042732</v>
      </c>
      <c r="R55" t="str" cm="1">
        <f t="array" ref="R55">_xlfn.IFS(Q55&lt;42.7, "low",
Q55&lt;85.4,"medium low",
Q55&lt;128,"medium high",
Q55&gt;=128,"high"
)</f>
        <v>medium low</v>
      </c>
      <c r="S55" t="str" cm="1">
        <f t="array" ref="S55">_xlfn.IFS(J55&lt;700,"low",J55&lt;1600,"medium low",J55&lt;2200,"medium high",J55&gt;=2200,"high")</f>
        <v>low</v>
      </c>
      <c r="T55" t="str" cm="1">
        <f t="array" ref="T55">_xlfn.IFS(
J55&lt;630,"Low",
J55&lt;1287,"Medium",
J55&lt;1495,"Intermediate",
J55&lt;1668,"Moderately",
J55&lt;1843,"Transition",
J55&lt;2477,"High",
J55&lt;2996,"Refractory I",
TRUE,"Refractory II"
)</f>
        <v>Medium</v>
      </c>
      <c r="U55">
        <f t="shared" si="1"/>
        <v>0.53440187646598913</v>
      </c>
      <c r="V55" t="str" cm="1">
        <f t="array" ref="V55">_xlfn.IFS(U55&lt;0.25,"shallow condution",
U55&lt;0.5,"transition",
U55&lt;1,"conduction",
U55&lt;1.5,"transition",U55&lt;3,"keyholeⅠ",3&lt;=U55,"keyhole Ⅱ"
)</f>
        <v>conduction</v>
      </c>
      <c r="X55">
        <f t="shared" si="2"/>
        <v>1.8712509144111191</v>
      </c>
    </row>
    <row r="56" spans="1:24">
      <c r="A56" s="2" t="s">
        <v>43</v>
      </c>
      <c r="B56" s="4">
        <v>150</v>
      </c>
      <c r="C56" s="4">
        <v>600</v>
      </c>
      <c r="D56" s="4">
        <v>2.7</v>
      </c>
      <c r="E56" s="4">
        <v>10.7</v>
      </c>
      <c r="F56" s="4">
        <v>293.39999999999998</v>
      </c>
      <c r="G56" s="16" t="s">
        <v>85</v>
      </c>
      <c r="H56" s="4">
        <v>0.89700000000000002</v>
      </c>
      <c r="I56" s="4">
        <v>237</v>
      </c>
      <c r="J56" s="4">
        <v>660</v>
      </c>
      <c r="K56" s="4">
        <v>2519</v>
      </c>
      <c r="L56" s="4">
        <v>0.9</v>
      </c>
      <c r="M56" s="4">
        <v>31.13</v>
      </c>
      <c r="N56" s="5">
        <v>19.420000000000002</v>
      </c>
      <c r="Q56" s="1">
        <f t="shared" si="0"/>
        <v>64.102564102564102</v>
      </c>
      <c r="R56" t="str" cm="1">
        <f t="array" ref="R56">_xlfn.IFS(Q56&lt;42.7, "low",
Q56&lt;85.4,"medium low",
Q56&lt;128,"medium high",
Q56&gt;=128,"high"
)</f>
        <v>medium low</v>
      </c>
      <c r="S56" t="str" cm="1">
        <f t="array" ref="S56">_xlfn.IFS(J56&lt;700,"low",J56&lt;1600,"medium low",J56&lt;2200,"medium high",J56&gt;=2200,"high")</f>
        <v>low</v>
      </c>
      <c r="T56" t="str" cm="1">
        <f t="array" ref="T56">_xlfn.IFS(
J56&lt;630,"Low",
J56&lt;1287,"Medium",
J56&lt;1495,"Intermediate",
J56&lt;1668,"Moderately",
J56&lt;1843,"Transition",
J56&lt;2477,"High",
J56&lt;2996,"Refractory I",
TRUE,"Refractory II"
)</f>
        <v>Medium</v>
      </c>
      <c r="U56">
        <f t="shared" si="1"/>
        <v>0.62383552842916812</v>
      </c>
      <c r="V56" t="str" cm="1">
        <f t="array" ref="V56">_xlfn.IFS(U56&lt;0.25,"shallow condution",
U56&lt;0.5,"transition",
U56&lt;1,"conduction",
U56&lt;1.5,"transition",U56&lt;3,"keyholeⅠ",3&lt;=U56,"keyhole Ⅱ"
)</f>
        <v>conduction</v>
      </c>
      <c r="X56">
        <f t="shared" si="2"/>
        <v>1.6029866117404736</v>
      </c>
    </row>
    <row r="57" spans="1:24">
      <c r="A57" s="2" t="s">
        <v>43</v>
      </c>
      <c r="B57" s="4">
        <v>200</v>
      </c>
      <c r="C57" s="4">
        <v>600</v>
      </c>
      <c r="D57" s="4">
        <v>2.7</v>
      </c>
      <c r="E57" s="4">
        <v>10.7</v>
      </c>
      <c r="F57" s="4">
        <v>293.39999999999998</v>
      </c>
      <c r="G57" s="16" t="s">
        <v>85</v>
      </c>
      <c r="H57" s="4">
        <v>0.89700000000000002</v>
      </c>
      <c r="I57" s="4">
        <v>237</v>
      </c>
      <c r="J57" s="4">
        <v>660</v>
      </c>
      <c r="K57" s="4">
        <v>2519</v>
      </c>
      <c r="L57" s="4">
        <v>0.9</v>
      </c>
      <c r="M57" s="4">
        <v>74.39</v>
      </c>
      <c r="N57" s="5">
        <v>25.17</v>
      </c>
      <c r="Q57" s="1">
        <f t="shared" si="0"/>
        <v>85.470085470085465</v>
      </c>
      <c r="R57" t="str" cm="1">
        <f t="array" ref="R57">_xlfn.IFS(Q57&lt;42.7, "low",
Q57&lt;85.4,"medium low",
Q57&lt;128,"medium high",
Q57&gt;=128,"high"
)</f>
        <v>medium high</v>
      </c>
      <c r="S57" t="str" cm="1">
        <f t="array" ref="S57">_xlfn.IFS(J57&lt;700,"low",J57&lt;1600,"medium low",J57&lt;2200,"medium high",J57&gt;=2200,"high")</f>
        <v>low</v>
      </c>
      <c r="T57" t="str" cm="1">
        <f t="array" ref="T57">_xlfn.IFS(
J57&lt;630,"Low",
J57&lt;1287,"Medium",
J57&lt;1495,"Intermediate",
J57&lt;1668,"Moderately",
J57&lt;1843,"Transition",
J57&lt;2477,"High",
J57&lt;2996,"Refractory I",
TRUE,"Refractory II"
)</f>
        <v>Medium</v>
      </c>
      <c r="U57">
        <f t="shared" si="1"/>
        <v>0.3383519290227181</v>
      </c>
      <c r="V57" t="str" cm="1">
        <f t="array" ref="V57">_xlfn.IFS(U57&lt;0.25,"shallow condution",
U57&lt;0.5,"transition",
U57&lt;1,"conduction",
U57&lt;1.5,"transition",U57&lt;3,"keyholeⅠ",3&lt;=U57,"keyhole Ⅱ"
)</f>
        <v>transition</v>
      </c>
      <c r="X57">
        <f t="shared" si="2"/>
        <v>2.9555025824394119</v>
      </c>
    </row>
    <row r="58" spans="1:24">
      <c r="A58" s="2" t="s">
        <v>43</v>
      </c>
      <c r="B58" s="4">
        <v>250</v>
      </c>
      <c r="C58" s="4">
        <v>600</v>
      </c>
      <c r="D58" s="4">
        <v>2.7</v>
      </c>
      <c r="E58" s="4">
        <v>10.7</v>
      </c>
      <c r="F58" s="4">
        <v>293.39999999999998</v>
      </c>
      <c r="G58" s="16" t="s">
        <v>85</v>
      </c>
      <c r="H58" s="4">
        <v>0.89700000000000002</v>
      </c>
      <c r="I58" s="4">
        <v>237</v>
      </c>
      <c r="J58" s="4">
        <v>660</v>
      </c>
      <c r="K58" s="4">
        <v>2519</v>
      </c>
      <c r="L58" s="4">
        <v>0.9</v>
      </c>
      <c r="M58" s="4">
        <v>107.67</v>
      </c>
      <c r="N58" s="5">
        <v>48</v>
      </c>
      <c r="Q58" s="1">
        <f t="shared" si="0"/>
        <v>106.83760683760684</v>
      </c>
      <c r="R58" t="str" cm="1">
        <f t="array" ref="R58">_xlfn.IFS(Q58&lt;42.7, "low",
Q58&lt;85.4,"medium low",
Q58&lt;128,"medium high",
Q58&gt;=128,"high"
)</f>
        <v>medium high</v>
      </c>
      <c r="S58" t="str" cm="1">
        <f t="array" ref="S58">_xlfn.IFS(J58&lt;700,"low",J58&lt;1600,"medium low",J58&lt;2200,"medium high",J58&gt;=2200,"high")</f>
        <v>low</v>
      </c>
      <c r="T58" t="str" cm="1">
        <f t="array" ref="T58">_xlfn.IFS(
J58&lt;630,"Low",
J58&lt;1287,"Medium",
J58&lt;1495,"Intermediate",
J58&lt;1668,"Moderately",
J58&lt;1843,"Transition",
J58&lt;2477,"High",
J58&lt;2996,"Refractory I",
TRUE,"Refractory II"
)</f>
        <v>Medium</v>
      </c>
      <c r="U58">
        <f t="shared" si="1"/>
        <v>0.44580663137364168</v>
      </c>
      <c r="V58" t="str" cm="1">
        <f t="array" ref="V58">_xlfn.IFS(U58&lt;0.25,"shallow condution",
U58&lt;0.5,"transition",
U58&lt;1,"conduction",
U58&lt;1.5,"transition",U58&lt;3,"keyholeⅠ",3&lt;=U58,"keyhole Ⅱ"
)</f>
        <v>transition</v>
      </c>
      <c r="X58">
        <f t="shared" si="2"/>
        <v>2.243125</v>
      </c>
    </row>
    <row r="59" spans="1:24">
      <c r="A59" s="2" t="s">
        <v>43</v>
      </c>
      <c r="B59" s="4">
        <v>300</v>
      </c>
      <c r="C59" s="4">
        <v>600</v>
      </c>
      <c r="D59" s="4">
        <v>2.7</v>
      </c>
      <c r="E59" s="4">
        <v>10.7</v>
      </c>
      <c r="F59" s="4">
        <v>293.39999999999998</v>
      </c>
      <c r="G59" s="16" t="s">
        <v>85</v>
      </c>
      <c r="H59" s="4">
        <v>0.89700000000000002</v>
      </c>
      <c r="I59" s="4">
        <v>237</v>
      </c>
      <c r="J59" s="4">
        <v>660</v>
      </c>
      <c r="K59" s="4">
        <v>2519</v>
      </c>
      <c r="L59" s="4">
        <v>0.9</v>
      </c>
      <c r="M59" s="4">
        <v>178.9</v>
      </c>
      <c r="N59" s="5">
        <v>108.6</v>
      </c>
      <c r="Q59" s="1">
        <f t="shared" si="0"/>
        <v>128.2051282051282</v>
      </c>
      <c r="R59" t="str" cm="1">
        <f t="array" ref="R59">_xlfn.IFS(Q59&lt;42.7, "low",
Q59&lt;85.4,"medium low",
Q59&lt;128,"medium high",
Q59&gt;=128,"high"
)</f>
        <v>high</v>
      </c>
      <c r="S59" t="str" cm="1">
        <f t="array" ref="S59">_xlfn.IFS(J59&lt;700,"low",J59&lt;1600,"medium low",J59&lt;2200,"medium high",J59&gt;=2200,"high")</f>
        <v>low</v>
      </c>
      <c r="T59" t="str" cm="1">
        <f t="array" ref="T59">_xlfn.IFS(
J59&lt;630,"Low",
J59&lt;1287,"Medium",
J59&lt;1495,"Intermediate",
J59&lt;1668,"Moderately",
J59&lt;1843,"Transition",
J59&lt;2477,"High",
J59&lt;2996,"Refractory I",
TRUE,"Refractory II"
)</f>
        <v>Medium</v>
      </c>
      <c r="U59">
        <f t="shared" si="1"/>
        <v>0.60704304080491889</v>
      </c>
      <c r="V59" t="str" cm="1">
        <f t="array" ref="V59">_xlfn.IFS(U59&lt;0.25,"shallow condution",
U59&lt;0.5,"transition",
U59&lt;1,"conduction",
U59&lt;1.5,"transition",U59&lt;3,"keyholeⅠ",3&lt;=U59,"keyhole Ⅱ"
)</f>
        <v>conduction</v>
      </c>
      <c r="X59">
        <f t="shared" si="2"/>
        <v>1.6473296500920811</v>
      </c>
    </row>
    <row r="60" spans="1:24">
      <c r="A60" s="2" t="s">
        <v>43</v>
      </c>
      <c r="B60" s="4">
        <v>100</v>
      </c>
      <c r="C60" s="4">
        <v>900</v>
      </c>
      <c r="D60" s="4">
        <v>2.7</v>
      </c>
      <c r="E60" s="4">
        <v>10.7</v>
      </c>
      <c r="F60" s="4">
        <v>293.39999999999998</v>
      </c>
      <c r="G60" s="16" t="s">
        <v>85</v>
      </c>
      <c r="H60" s="4">
        <v>0.89700000000000002</v>
      </c>
      <c r="I60" s="4">
        <v>237</v>
      </c>
      <c r="J60" s="4">
        <v>660</v>
      </c>
      <c r="K60" s="4">
        <v>2519</v>
      </c>
      <c r="L60" s="4">
        <v>0.9</v>
      </c>
      <c r="M60" s="4">
        <v>48.7</v>
      </c>
      <c r="N60" s="5">
        <v>20.2</v>
      </c>
      <c r="Q60" s="1">
        <f t="shared" si="0"/>
        <v>28.490028490028489</v>
      </c>
      <c r="R60" t="str" cm="1">
        <f t="array" ref="R60">_xlfn.IFS(Q60&lt;42.7, "low",
Q60&lt;85.4,"medium low",
Q60&lt;128,"medium high",
Q60&gt;=128,"high"
)</f>
        <v>low</v>
      </c>
      <c r="S60" t="str" cm="1">
        <f t="array" ref="S60">_xlfn.IFS(J60&lt;700,"low",J60&lt;1600,"medium low",J60&lt;2200,"medium high",J60&gt;=2200,"high")</f>
        <v>low</v>
      </c>
      <c r="T60" t="str" cm="1">
        <f t="array" ref="T60">_xlfn.IFS(
J60&lt;630,"Low",
J60&lt;1287,"Medium",
J60&lt;1495,"Intermediate",
J60&lt;1668,"Moderately",
J60&lt;1843,"Transition",
J60&lt;2477,"High",
J60&lt;2996,"Refractory I",
TRUE,"Refractory II"
)</f>
        <v>Medium</v>
      </c>
      <c r="U60">
        <f t="shared" si="1"/>
        <v>0.41478439425051333</v>
      </c>
      <c r="V60" t="str" cm="1">
        <f t="array" ref="V60">_xlfn.IFS(U60&lt;0.25,"shallow condution",
U60&lt;0.5,"transition",
U60&lt;1,"conduction",
U60&lt;1.5,"transition",U60&lt;3,"keyholeⅠ",3&lt;=U60,"keyhole Ⅱ"
)</f>
        <v>transition</v>
      </c>
      <c r="X60">
        <f t="shared" si="2"/>
        <v>2.4108910891089113</v>
      </c>
    </row>
    <row r="61" spans="1:24">
      <c r="A61" s="2" t="s">
        <v>43</v>
      </c>
      <c r="B61" s="4">
        <v>150</v>
      </c>
      <c r="C61" s="4">
        <v>900</v>
      </c>
      <c r="D61" s="4">
        <v>2.7</v>
      </c>
      <c r="E61" s="4">
        <v>10.7</v>
      </c>
      <c r="F61" s="4">
        <v>293.39999999999998</v>
      </c>
      <c r="G61" s="16" t="s">
        <v>85</v>
      </c>
      <c r="H61" s="4">
        <v>0.89700000000000002</v>
      </c>
      <c r="I61" s="4">
        <v>237</v>
      </c>
      <c r="J61" s="4">
        <v>660</v>
      </c>
      <c r="K61" s="4">
        <v>2519</v>
      </c>
      <c r="L61" s="4">
        <v>0.9</v>
      </c>
      <c r="M61" s="4">
        <v>66.69</v>
      </c>
      <c r="N61" s="5">
        <v>25.39</v>
      </c>
      <c r="Q61" s="1">
        <f t="shared" si="0"/>
        <v>42.735042735042732</v>
      </c>
      <c r="R61" t="str" cm="1">
        <f t="array" ref="R61">_xlfn.IFS(Q61&lt;42.7, "low",
Q61&lt;85.4,"medium low",
Q61&lt;128,"medium high",
Q61&gt;=128,"high"
)</f>
        <v>medium low</v>
      </c>
      <c r="S61" t="str" cm="1">
        <f t="array" ref="S61">_xlfn.IFS(J61&lt;700,"low",J61&lt;1600,"medium low",J61&lt;2200,"medium high",J61&gt;=2200,"high")</f>
        <v>low</v>
      </c>
      <c r="T61" t="str" cm="1">
        <f t="array" ref="T61">_xlfn.IFS(
J61&lt;630,"Low",
J61&lt;1287,"Medium",
J61&lt;1495,"Intermediate",
J61&lt;1668,"Moderately",
J61&lt;1843,"Transition",
J61&lt;2477,"High",
J61&lt;2996,"Refractory I",
TRUE,"Refractory II"
)</f>
        <v>Medium</v>
      </c>
      <c r="U61">
        <f t="shared" si="1"/>
        <v>0.38071674913780179</v>
      </c>
      <c r="V61" t="str" cm="1">
        <f t="array" ref="V61">_xlfn.IFS(U61&lt;0.25,"shallow condution",
U61&lt;0.5,"transition",
U61&lt;1,"conduction",
U61&lt;1.5,"transition",U61&lt;3,"keyholeⅠ",3&lt;=U61,"keyhole Ⅱ"
)</f>
        <v>transition</v>
      </c>
      <c r="X61">
        <f t="shared" si="2"/>
        <v>2.6266246553761321</v>
      </c>
    </row>
    <row r="62" spans="1:24">
      <c r="A62" s="2" t="s">
        <v>43</v>
      </c>
      <c r="B62" s="4">
        <v>200</v>
      </c>
      <c r="C62" s="4">
        <v>900</v>
      </c>
      <c r="D62" s="4">
        <v>2.7</v>
      </c>
      <c r="E62" s="4">
        <v>10.7</v>
      </c>
      <c r="F62" s="4">
        <v>293.39999999999998</v>
      </c>
      <c r="G62" s="16" t="s">
        <v>85</v>
      </c>
      <c r="H62" s="4">
        <v>0.89700000000000002</v>
      </c>
      <c r="I62" s="4">
        <v>237</v>
      </c>
      <c r="J62" s="4">
        <v>660</v>
      </c>
      <c r="K62" s="4">
        <v>2519</v>
      </c>
      <c r="L62" s="4">
        <v>0.9</v>
      </c>
      <c r="M62" s="4">
        <v>70.2</v>
      </c>
      <c r="N62" s="5">
        <v>39.46</v>
      </c>
      <c r="Q62" s="1">
        <f t="shared" si="0"/>
        <v>56.980056980056979</v>
      </c>
      <c r="R62" t="str" cm="1">
        <f t="array" ref="R62">_xlfn.IFS(Q62&lt;42.7, "low",
Q62&lt;85.4,"medium low",
Q62&lt;128,"medium high",
Q62&gt;=128,"high"
)</f>
        <v>medium low</v>
      </c>
      <c r="S62" t="str" cm="1">
        <f t="array" ref="S62">_xlfn.IFS(J62&lt;700,"low",J62&lt;1600,"medium low",J62&lt;2200,"medium high",J62&gt;=2200,"high")</f>
        <v>low</v>
      </c>
      <c r="T62" t="str" cm="1">
        <f t="array" ref="T62">_xlfn.IFS(
J62&lt;630,"Low",
J62&lt;1287,"Medium",
J62&lt;1495,"Intermediate",
J62&lt;1668,"Moderately",
J62&lt;1843,"Transition",
J62&lt;2477,"High",
J62&lt;2996,"Refractory I",
TRUE,"Refractory II"
)</f>
        <v>Medium</v>
      </c>
      <c r="U62">
        <f t="shared" si="1"/>
        <v>0.56210826210826215</v>
      </c>
      <c r="V62" t="str" cm="1">
        <f t="array" ref="V62">_xlfn.IFS(U62&lt;0.25,"shallow condution",
U62&lt;0.5,"transition",
U62&lt;1,"conduction",
U62&lt;1.5,"transition",U62&lt;3,"keyholeⅠ",3&lt;=U62,"keyhole Ⅱ"
)</f>
        <v>conduction</v>
      </c>
      <c r="X62">
        <f t="shared" si="2"/>
        <v>1.7790167257982767</v>
      </c>
    </row>
    <row r="63" spans="1:24">
      <c r="A63" s="2" t="s">
        <v>43</v>
      </c>
      <c r="B63" s="4">
        <v>250</v>
      </c>
      <c r="C63" s="4">
        <v>900</v>
      </c>
      <c r="D63" s="4">
        <v>2.7</v>
      </c>
      <c r="E63" s="4">
        <v>10.7</v>
      </c>
      <c r="F63" s="4">
        <v>293.39999999999998</v>
      </c>
      <c r="G63" s="16" t="s">
        <v>85</v>
      </c>
      <c r="H63" s="4">
        <v>0.89700000000000002</v>
      </c>
      <c r="I63" s="4">
        <v>237</v>
      </c>
      <c r="J63" s="4">
        <v>660</v>
      </c>
      <c r="K63" s="4">
        <v>2519</v>
      </c>
      <c r="L63" s="4">
        <v>0.9</v>
      </c>
      <c r="M63" s="4">
        <v>76.489999999999995</v>
      </c>
      <c r="N63" s="5">
        <v>38.74</v>
      </c>
      <c r="Q63" s="1">
        <f t="shared" si="0"/>
        <v>71.225071225071218</v>
      </c>
      <c r="R63" t="str" cm="1">
        <f t="array" ref="R63">_xlfn.IFS(Q63&lt;42.7, "low",
Q63&lt;85.4,"medium low",
Q63&lt;128,"medium high",
Q63&gt;=128,"high"
)</f>
        <v>medium low</v>
      </c>
      <c r="S63" t="str" cm="1">
        <f t="array" ref="S63">_xlfn.IFS(J63&lt;700,"low",J63&lt;1600,"medium low",J63&lt;2200,"medium high",J63&gt;=2200,"high")</f>
        <v>low</v>
      </c>
      <c r="T63" t="str" cm="1">
        <f t="array" ref="T63">_xlfn.IFS(
J63&lt;630,"Low",
J63&lt;1287,"Medium",
J63&lt;1495,"Intermediate",
J63&lt;1668,"Moderately",
J63&lt;1843,"Transition",
J63&lt;2477,"High",
J63&lt;2996,"Refractory I",
TRUE,"Refractory II"
)</f>
        <v>Medium</v>
      </c>
      <c r="U63">
        <f t="shared" si="1"/>
        <v>0.50647143417440199</v>
      </c>
      <c r="V63" t="str" cm="1">
        <f t="array" ref="V63">_xlfn.IFS(U63&lt;0.25,"shallow condution",
U63&lt;0.5,"transition",
U63&lt;1,"conduction",
U63&lt;1.5,"transition",U63&lt;3,"keyholeⅠ",3&lt;=U63,"keyhole Ⅱ"
)</f>
        <v>conduction</v>
      </c>
      <c r="X63">
        <f t="shared" si="2"/>
        <v>1.9744450180691788</v>
      </c>
    </row>
    <row r="64" spans="1:24" ht="14.45" thickBot="1">
      <c r="A64" s="3" t="s">
        <v>43</v>
      </c>
      <c r="B64" s="7">
        <v>300</v>
      </c>
      <c r="C64" s="7">
        <v>900</v>
      </c>
      <c r="D64" s="7">
        <v>2.7</v>
      </c>
      <c r="E64" s="7">
        <v>10.7</v>
      </c>
      <c r="F64" s="7">
        <v>293.39999999999998</v>
      </c>
      <c r="G64" s="16" t="s">
        <v>85</v>
      </c>
      <c r="H64" s="7">
        <v>0.89700000000000002</v>
      </c>
      <c r="I64" s="7">
        <v>237</v>
      </c>
      <c r="J64" s="7">
        <v>660</v>
      </c>
      <c r="K64" s="7">
        <v>2519</v>
      </c>
      <c r="L64" s="7">
        <v>0.9</v>
      </c>
      <c r="M64" s="7">
        <v>101.74</v>
      </c>
      <c r="N64" s="15">
        <v>40.32</v>
      </c>
      <c r="Q64" s="1">
        <f t="shared" si="0"/>
        <v>85.470085470085465</v>
      </c>
      <c r="R64" t="str" cm="1">
        <f t="array" ref="R64">_xlfn.IFS(Q64&lt;42.7, "low",
Q64&lt;85.4,"medium low",
Q64&lt;128,"medium high",
Q64&gt;=128,"high"
)</f>
        <v>medium high</v>
      </c>
      <c r="S64" t="str" cm="1">
        <f t="array" ref="S64">_xlfn.IFS(J64&lt;700,"low",J64&lt;1600,"medium low",J64&lt;2200,"medium high",J64&gt;=2200,"high")</f>
        <v>low</v>
      </c>
      <c r="T64" t="str" cm="1">
        <f t="array" ref="T64">_xlfn.IFS(
J64&lt;630,"Low",
J64&lt;1287,"Medium",
J64&lt;1495,"Intermediate",
J64&lt;1668,"Moderately",
J64&lt;1843,"Transition",
J64&lt;2477,"High",
J64&lt;2996,"Refractory I",
TRUE,"Refractory II"
)</f>
        <v>Medium</v>
      </c>
      <c r="U64">
        <f t="shared" si="1"/>
        <v>0.39630430509140951</v>
      </c>
      <c r="V64" t="str" cm="1">
        <f t="array" ref="V64">_xlfn.IFS(U64&lt;0.25,"shallow condution",
U64&lt;0.5,"transition",
U64&lt;1,"conduction",
U64&lt;1.5,"transition",U64&lt;3,"keyholeⅠ",3&lt;=U64,"keyhole Ⅱ"
)</f>
        <v>transition</v>
      </c>
      <c r="X64">
        <f t="shared" si="2"/>
        <v>2.5233134920634921</v>
      </c>
    </row>
    <row r="65" spans="1:24">
      <c r="A65" s="19" t="s">
        <v>44</v>
      </c>
      <c r="B65" s="16">
        <v>200</v>
      </c>
      <c r="C65" s="16">
        <v>200</v>
      </c>
      <c r="D65" s="16">
        <v>7.14</v>
      </c>
      <c r="E65" s="16">
        <v>7.35</v>
      </c>
      <c r="F65" s="16">
        <v>115.3</v>
      </c>
      <c r="G65" s="16" t="s">
        <v>86</v>
      </c>
      <c r="H65" s="16">
        <v>0.38800000000000001</v>
      </c>
      <c r="I65" s="16">
        <v>116</v>
      </c>
      <c r="J65" s="16">
        <v>420</v>
      </c>
      <c r="K65" s="16">
        <v>907</v>
      </c>
      <c r="L65" s="16">
        <v>0.65</v>
      </c>
      <c r="M65" s="11">
        <v>295.37</v>
      </c>
      <c r="N65" s="12">
        <v>799.53</v>
      </c>
      <c r="O65" s="20"/>
      <c r="P65" s="20"/>
      <c r="Q65" s="1">
        <f t="shared" si="0"/>
        <v>256.41025641025641</v>
      </c>
      <c r="R65" t="str" cm="1">
        <f t="array" ref="R65">_xlfn.IFS(Q65&lt;42.7, "low",
Q65&lt;85.4,"medium low",
Q65&lt;128,"medium high",
Q65&gt;=128,"high"
)</f>
        <v>high</v>
      </c>
      <c r="S65" t="str" cm="1">
        <f t="array" ref="S65">_xlfn.IFS(J65&lt;700,"low",J65&lt;1600,"medium low",J65&lt;2200,"medium high",J65&gt;=2200,"high")</f>
        <v>low</v>
      </c>
      <c r="T65" t="str" cm="1">
        <f t="array" ref="T65">_xlfn.IFS(
J65&lt;630,"Low",
J65&lt;1287,"Medium",
J65&lt;1495,"Intermediate",
J65&lt;1668,"Moderately",
J65&lt;1843,"Transition",
J65&lt;2477,"High",
J65&lt;2996,"Refractory I",
TRUE,"Refractory II"
)</f>
        <v>Low</v>
      </c>
      <c r="U65">
        <f t="shared" si="1"/>
        <v>2.7068761214747603</v>
      </c>
      <c r="V65" t="str" cm="1">
        <f t="array" ref="V65">_xlfn.IFS(U65&lt;0.25,"shallow condution",
U65&lt;0.5,"transition",
U65&lt;1,"conduction",
U65&lt;1.5,"transition",U65&lt;3,"keyholeⅠ",3&lt;=U65,"keyhole Ⅱ"
)</f>
        <v>keyholeⅠ</v>
      </c>
      <c r="X65">
        <f t="shared" si="2"/>
        <v>0.36942953985466465</v>
      </c>
    </row>
    <row r="66" spans="1:24">
      <c r="A66" s="2" t="s">
        <v>44</v>
      </c>
      <c r="B66" s="4">
        <v>200</v>
      </c>
      <c r="C66" s="4">
        <v>400</v>
      </c>
      <c r="D66" s="4">
        <v>7.14</v>
      </c>
      <c r="E66" s="4">
        <v>7.35</v>
      </c>
      <c r="F66" s="4">
        <v>115.3</v>
      </c>
      <c r="G66" s="16" t="s">
        <v>86</v>
      </c>
      <c r="H66" s="4">
        <v>0.38800000000000001</v>
      </c>
      <c r="I66" s="4">
        <v>116</v>
      </c>
      <c r="J66" s="4">
        <v>420</v>
      </c>
      <c r="K66" s="4">
        <v>907</v>
      </c>
      <c r="L66" s="4">
        <v>0.65</v>
      </c>
      <c r="M66" s="6">
        <v>257.63</v>
      </c>
      <c r="N66" s="8">
        <v>419.56</v>
      </c>
      <c r="O66" s="20"/>
      <c r="P66" s="20"/>
      <c r="Q66" s="1">
        <f t="shared" si="0"/>
        <v>128.2051282051282</v>
      </c>
      <c r="R66" t="str" cm="1">
        <f t="array" ref="R66">_xlfn.IFS(Q66&lt;42.7, "low",
Q66&lt;85.4,"medium low",
Q66&lt;128,"medium high",
Q66&gt;=128,"high"
)</f>
        <v>high</v>
      </c>
      <c r="S66" t="str" cm="1">
        <f t="array" ref="S66">_xlfn.IFS(J66&lt;700,"low",J66&lt;1600,"medium low",J66&lt;2200,"medium high",J66&gt;=2200,"high")</f>
        <v>low</v>
      </c>
      <c r="T66" t="str" cm="1">
        <f t="array" ref="T66">_xlfn.IFS(
J66&lt;630,"Low",
J66&lt;1287,"Medium",
J66&lt;1495,"Intermediate",
J66&lt;1668,"Moderately",
J66&lt;1843,"Transition",
J66&lt;2477,"High",
J66&lt;2996,"Refractory I",
TRUE,"Refractory II"
)</f>
        <v>Low</v>
      </c>
      <c r="U66">
        <f t="shared" si="1"/>
        <v>1.628537049256686</v>
      </c>
      <c r="V66" t="str" cm="1">
        <f t="array" ref="V66">_xlfn.IFS(U66&lt;0.25,"shallow condution",
U66&lt;0.5,"transition",
U66&lt;1,"conduction",
U66&lt;1.5,"transition",U66&lt;3,"keyholeⅠ",3&lt;=U66,"keyhole Ⅱ"
)</f>
        <v>keyholeⅠ</v>
      </c>
      <c r="X66">
        <f t="shared" si="2"/>
        <v>0.61404805033844978</v>
      </c>
    </row>
    <row r="67" spans="1:24">
      <c r="A67" s="2" t="s">
        <v>44</v>
      </c>
      <c r="B67" s="4">
        <v>200</v>
      </c>
      <c r="C67" s="4">
        <v>600</v>
      </c>
      <c r="D67" s="4">
        <v>7.14</v>
      </c>
      <c r="E67" s="4">
        <v>7.35</v>
      </c>
      <c r="F67" s="4">
        <v>115.3</v>
      </c>
      <c r="G67" s="16" t="s">
        <v>86</v>
      </c>
      <c r="H67" s="4">
        <v>0.38800000000000001</v>
      </c>
      <c r="I67" s="4">
        <v>116</v>
      </c>
      <c r="J67" s="4">
        <v>420</v>
      </c>
      <c r="K67" s="4">
        <v>907</v>
      </c>
      <c r="L67" s="4">
        <v>0.65</v>
      </c>
      <c r="M67" s="6">
        <v>249.25</v>
      </c>
      <c r="N67" s="8">
        <v>196.23</v>
      </c>
      <c r="O67" s="20"/>
      <c r="P67" s="20"/>
      <c r="Q67" s="1">
        <f t="shared" si="0"/>
        <v>85.470085470085465</v>
      </c>
      <c r="R67" t="str" cm="1">
        <f t="array" ref="R67">_xlfn.IFS(Q67&lt;42.7, "low",
Q67&lt;85.4,"medium low",
Q67&lt;128,"medium high",
Q67&gt;=128,"high"
)</f>
        <v>medium high</v>
      </c>
      <c r="S67" t="str" cm="1">
        <f t="array" ref="S67">_xlfn.IFS(J67&lt;700,"low",J67&lt;1600,"medium low",J67&lt;2200,"medium high",J67&gt;=2200,"high")</f>
        <v>low</v>
      </c>
      <c r="T67" t="str" cm="1">
        <f t="array" ref="T67">_xlfn.IFS(
J67&lt;630,"Low",
J67&lt;1287,"Medium",
J67&lt;1495,"Intermediate",
J67&lt;1668,"Moderately",
J67&lt;1843,"Transition",
J67&lt;2477,"High",
J67&lt;2996,"Refractory I",
TRUE,"Refractory II"
)</f>
        <v>Low</v>
      </c>
      <c r="U67">
        <f t="shared" si="1"/>
        <v>0.78728184553660974</v>
      </c>
      <c r="V67" t="str" cm="1">
        <f t="array" ref="V67">_xlfn.IFS(U67&lt;0.25,"shallow condution",
U67&lt;0.5,"transition",
U67&lt;1,"conduction",
U67&lt;1.5,"transition",U67&lt;3,"keyholeⅠ",3&lt;=U67,"keyhole Ⅱ"
)</f>
        <v>conduction</v>
      </c>
      <c r="X67">
        <f t="shared" si="2"/>
        <v>1.2701931407022373</v>
      </c>
    </row>
    <row r="68" spans="1:24">
      <c r="A68" s="2" t="s">
        <v>44</v>
      </c>
      <c r="B68" s="4">
        <v>200</v>
      </c>
      <c r="C68" s="4">
        <v>800</v>
      </c>
      <c r="D68" s="4">
        <v>7.14</v>
      </c>
      <c r="E68" s="4">
        <v>7.35</v>
      </c>
      <c r="F68" s="4">
        <v>115.3</v>
      </c>
      <c r="G68" s="16" t="s">
        <v>86</v>
      </c>
      <c r="H68" s="4">
        <v>0.38800000000000001</v>
      </c>
      <c r="I68" s="4">
        <v>116</v>
      </c>
      <c r="J68" s="4">
        <v>420</v>
      </c>
      <c r="K68" s="4">
        <v>907</v>
      </c>
      <c r="L68" s="4">
        <v>0.65</v>
      </c>
      <c r="M68" s="6">
        <v>159.72</v>
      </c>
      <c r="N68" s="8">
        <v>179.32</v>
      </c>
      <c r="O68" s="20"/>
      <c r="P68" s="20"/>
      <c r="Q68" s="1">
        <f t="shared" ref="Q68:Q131" si="3">B68*10^6/(C68*130*30)</f>
        <v>64.102564102564102</v>
      </c>
      <c r="R68" t="str" cm="1">
        <f t="array" ref="R68">_xlfn.IFS(Q68&lt;42.7, "low",
Q68&lt;85.4,"medium low",
Q68&lt;128,"medium high",
Q68&gt;=128,"high"
)</f>
        <v>medium low</v>
      </c>
      <c r="S68" t="str" cm="1">
        <f t="array" ref="S68">_xlfn.IFS(J68&lt;700,"low",J68&lt;1600,"medium low",J68&lt;2200,"medium high",J68&gt;=2200,"high")</f>
        <v>low</v>
      </c>
      <c r="T68" t="str" cm="1">
        <f t="array" ref="T68">_xlfn.IFS(
J68&lt;630,"Low",
J68&lt;1287,"Medium",
J68&lt;1495,"Intermediate",
J68&lt;1668,"Moderately",
J68&lt;1843,"Transition",
J68&lt;2477,"High",
J68&lt;2996,"Refractory I",
TRUE,"Refractory II"
)</f>
        <v>Low</v>
      </c>
      <c r="U68">
        <f t="shared" ref="U68:U131" si="4">N68/M68</f>
        <v>1.1227147508139244</v>
      </c>
      <c r="V68" t="str" cm="1">
        <f t="array" ref="V68">_xlfn.IFS(U68&lt;0.25,"shallow condution",
U68&lt;0.5,"transition",
U68&lt;1,"conduction",
U68&lt;1.5,"transition",U68&lt;3,"keyholeⅠ",3&lt;=U68,"keyhole Ⅱ"
)</f>
        <v>transition</v>
      </c>
      <c r="X68">
        <f t="shared" ref="X68:X131" si="5">M68/N68</f>
        <v>0.89069819317421373</v>
      </c>
    </row>
    <row r="69" spans="1:24">
      <c r="A69" s="2" t="s">
        <v>44</v>
      </c>
      <c r="B69" s="4">
        <v>200</v>
      </c>
      <c r="C69" s="4">
        <v>1200</v>
      </c>
      <c r="D69" s="4">
        <v>7.14</v>
      </c>
      <c r="E69" s="4">
        <v>7.35</v>
      </c>
      <c r="F69" s="4">
        <v>115.3</v>
      </c>
      <c r="G69" s="16" t="s">
        <v>86</v>
      </c>
      <c r="H69" s="4">
        <v>0.38800000000000001</v>
      </c>
      <c r="I69" s="4">
        <v>116</v>
      </c>
      <c r="J69" s="4">
        <v>420</v>
      </c>
      <c r="K69" s="4">
        <v>907</v>
      </c>
      <c r="L69" s="4">
        <v>0.65</v>
      </c>
      <c r="M69" s="6">
        <v>136.47999999999999</v>
      </c>
      <c r="N69" s="8">
        <v>105.85</v>
      </c>
      <c r="O69" s="20"/>
      <c r="P69" s="20"/>
      <c r="Q69" s="1">
        <f t="shared" si="3"/>
        <v>42.735042735042732</v>
      </c>
      <c r="R69" t="str" cm="1">
        <f t="array" ref="R69">_xlfn.IFS(Q69&lt;42.7, "low",
Q69&lt;85.4,"medium low",
Q69&lt;128,"medium high",
Q69&gt;=128,"high"
)</f>
        <v>medium low</v>
      </c>
      <c r="S69" t="str" cm="1">
        <f t="array" ref="S69">_xlfn.IFS(J69&lt;700,"low",J69&lt;1600,"medium low",J69&lt;2200,"medium high",J69&gt;=2200,"high")</f>
        <v>low</v>
      </c>
      <c r="T69" t="str" cm="1">
        <f t="array" ref="T69">_xlfn.IFS(
J69&lt;630,"Low",
J69&lt;1287,"Medium",
J69&lt;1495,"Intermediate",
J69&lt;1668,"Moderately",
J69&lt;1843,"Transition",
J69&lt;2477,"High",
J69&lt;2996,"Refractory I",
TRUE,"Refractory II"
)</f>
        <v>Low</v>
      </c>
      <c r="U69">
        <f t="shared" si="4"/>
        <v>0.77557151230949595</v>
      </c>
      <c r="V69" t="str" cm="1">
        <f t="array" ref="V69">_xlfn.IFS(U69&lt;0.25,"shallow condution",
U69&lt;0.5,"transition",
U69&lt;1,"conduction",
U69&lt;1.5,"transition",U69&lt;3,"keyholeⅠ",3&lt;=U69,"keyhole Ⅱ"
)</f>
        <v>conduction</v>
      </c>
      <c r="X69">
        <f t="shared" si="5"/>
        <v>1.2893717524799244</v>
      </c>
    </row>
    <row r="70" spans="1:24">
      <c r="A70" s="2" t="s">
        <v>44</v>
      </c>
      <c r="B70" s="4">
        <v>200</v>
      </c>
      <c r="C70" s="4">
        <v>1600</v>
      </c>
      <c r="D70" s="4">
        <v>7.14</v>
      </c>
      <c r="E70" s="4">
        <v>7.35</v>
      </c>
      <c r="F70" s="4">
        <v>115.3</v>
      </c>
      <c r="G70" s="16" t="s">
        <v>86</v>
      </c>
      <c r="H70" s="4">
        <v>0.38800000000000001</v>
      </c>
      <c r="I70" s="4">
        <v>116</v>
      </c>
      <c r="J70" s="4">
        <v>420</v>
      </c>
      <c r="K70" s="4">
        <v>907</v>
      </c>
      <c r="L70" s="4">
        <v>0.65</v>
      </c>
      <c r="M70" s="6">
        <v>132.22999999999999</v>
      </c>
      <c r="N70" s="8">
        <v>66.89</v>
      </c>
      <c r="O70" s="20"/>
      <c r="P70" s="20"/>
      <c r="Q70" s="1">
        <f t="shared" si="3"/>
        <v>32.051282051282051</v>
      </c>
      <c r="R70" t="str" cm="1">
        <f t="array" ref="R70">_xlfn.IFS(Q70&lt;42.7, "low",
Q70&lt;85.4,"medium low",
Q70&lt;128,"medium high",
Q70&gt;=128,"high"
)</f>
        <v>low</v>
      </c>
      <c r="S70" t="str" cm="1">
        <f t="array" ref="S70">_xlfn.IFS(J70&lt;700,"low",J70&lt;1600,"medium low",J70&lt;2200,"medium high",J70&gt;=2200,"high")</f>
        <v>low</v>
      </c>
      <c r="T70" t="str" cm="1">
        <f t="array" ref="T70">_xlfn.IFS(
J70&lt;630,"Low",
J70&lt;1287,"Medium",
J70&lt;1495,"Intermediate",
J70&lt;1668,"Moderately",
J70&lt;1843,"Transition",
J70&lt;2477,"High",
J70&lt;2996,"Refractory I",
TRUE,"Refractory II"
)</f>
        <v>Low</v>
      </c>
      <c r="U70">
        <f t="shared" si="4"/>
        <v>0.5058609997731226</v>
      </c>
      <c r="V70" t="str" cm="1">
        <f t="array" ref="V70">_xlfn.IFS(U70&lt;0.25,"shallow condution",
U70&lt;0.5,"transition",
U70&lt;1,"conduction",
U70&lt;1.5,"transition",U70&lt;3,"keyholeⅠ",3&lt;=U70,"keyhole Ⅱ"
)</f>
        <v>conduction</v>
      </c>
      <c r="X70">
        <f t="shared" si="5"/>
        <v>1.976827627448049</v>
      </c>
    </row>
    <row r="71" spans="1:24">
      <c r="A71" s="2" t="s">
        <v>44</v>
      </c>
      <c r="B71" s="4">
        <v>200</v>
      </c>
      <c r="C71" s="4">
        <v>2000</v>
      </c>
      <c r="D71" s="4">
        <v>7.14</v>
      </c>
      <c r="E71" s="4">
        <v>7.35</v>
      </c>
      <c r="F71" s="4">
        <v>115.3</v>
      </c>
      <c r="G71" s="16" t="s">
        <v>86</v>
      </c>
      <c r="H71" s="4">
        <v>0.38800000000000001</v>
      </c>
      <c r="I71" s="4">
        <v>116</v>
      </c>
      <c r="J71" s="4">
        <v>420</v>
      </c>
      <c r="K71" s="4">
        <v>907</v>
      </c>
      <c r="L71" s="4">
        <v>0.65</v>
      </c>
      <c r="M71" s="6">
        <v>120.11</v>
      </c>
      <c r="N71" s="8">
        <v>60.12</v>
      </c>
      <c r="O71" s="20"/>
      <c r="P71" s="20"/>
      <c r="Q71" s="1">
        <f t="shared" si="3"/>
        <v>25.641025641025642</v>
      </c>
      <c r="R71" t="str" cm="1">
        <f t="array" ref="R71">_xlfn.IFS(Q71&lt;42.7, "low",
Q71&lt;85.4,"medium low",
Q71&lt;128,"medium high",
Q71&gt;=128,"high"
)</f>
        <v>low</v>
      </c>
      <c r="S71" t="str" cm="1">
        <f t="array" ref="S71">_xlfn.IFS(J71&lt;700,"low",J71&lt;1600,"medium low",J71&lt;2200,"medium high",J71&gt;=2200,"high")</f>
        <v>low</v>
      </c>
      <c r="T71" t="str" cm="1">
        <f t="array" ref="T71">_xlfn.IFS(
J71&lt;630,"Low",
J71&lt;1287,"Medium",
J71&lt;1495,"Intermediate",
J71&lt;1668,"Moderately",
J71&lt;1843,"Transition",
J71&lt;2477,"High",
J71&lt;2996,"Refractory I",
TRUE,"Refractory II"
)</f>
        <v>Low</v>
      </c>
      <c r="U71">
        <f t="shared" si="4"/>
        <v>0.50054117059362246</v>
      </c>
      <c r="V71" t="str" cm="1">
        <f t="array" ref="V71">_xlfn.IFS(U71&lt;0.25,"shallow condution",
U71&lt;0.5,"transition",
U71&lt;1,"conduction",
U71&lt;1.5,"transition",U71&lt;3,"keyholeⅠ",3&lt;=U71,"keyhole Ⅱ"
)</f>
        <v>conduction</v>
      </c>
      <c r="X71">
        <f t="shared" si="5"/>
        <v>1.9978376580172987</v>
      </c>
    </row>
    <row r="72" spans="1:24">
      <c r="A72" s="2" t="s">
        <v>44</v>
      </c>
      <c r="B72" s="4">
        <v>200</v>
      </c>
      <c r="C72" s="4">
        <v>2400</v>
      </c>
      <c r="D72" s="4">
        <v>7.14</v>
      </c>
      <c r="E72" s="4">
        <v>7.35</v>
      </c>
      <c r="F72" s="4">
        <v>115.3</v>
      </c>
      <c r="G72" s="16" t="s">
        <v>86</v>
      </c>
      <c r="H72" s="4">
        <v>0.38800000000000001</v>
      </c>
      <c r="I72" s="4">
        <v>116</v>
      </c>
      <c r="J72" s="4">
        <v>420</v>
      </c>
      <c r="K72" s="4">
        <v>907</v>
      </c>
      <c r="L72" s="4">
        <v>0.65</v>
      </c>
      <c r="M72" s="6">
        <v>115.59</v>
      </c>
      <c r="N72" s="8">
        <v>47.67</v>
      </c>
      <c r="O72" s="20"/>
      <c r="P72" s="20"/>
      <c r="Q72" s="1">
        <f t="shared" si="3"/>
        <v>21.367521367521366</v>
      </c>
      <c r="R72" t="str" cm="1">
        <f t="array" ref="R72">_xlfn.IFS(Q72&lt;42.7, "low",
Q72&lt;85.4,"medium low",
Q72&lt;128,"medium high",
Q72&gt;=128,"high"
)</f>
        <v>low</v>
      </c>
      <c r="S72" t="str" cm="1">
        <f t="array" ref="S72">_xlfn.IFS(J72&lt;700,"low",J72&lt;1600,"medium low",J72&lt;2200,"medium high",J72&gt;=2200,"high")</f>
        <v>low</v>
      </c>
      <c r="T72" t="str" cm="1">
        <f t="array" ref="T72">_xlfn.IFS(
J72&lt;630,"Low",
J72&lt;1287,"Medium",
J72&lt;1495,"Intermediate",
J72&lt;1668,"Moderately",
J72&lt;1843,"Transition",
J72&lt;2477,"High",
J72&lt;2996,"Refractory I",
TRUE,"Refractory II"
)</f>
        <v>Low</v>
      </c>
      <c r="U72">
        <f t="shared" si="4"/>
        <v>0.41240591746690891</v>
      </c>
      <c r="V72" t="str" cm="1">
        <f t="array" ref="V72">_xlfn.IFS(U72&lt;0.25,"shallow condution",
U72&lt;0.5,"transition",
U72&lt;1,"conduction",
U72&lt;1.5,"transition",U72&lt;3,"keyholeⅠ",3&lt;=U72,"keyhole Ⅱ"
)</f>
        <v>transition</v>
      </c>
      <c r="X72">
        <f t="shared" si="5"/>
        <v>2.4247954688483322</v>
      </c>
    </row>
    <row r="73" spans="1:24">
      <c r="A73" s="2" t="s">
        <v>44</v>
      </c>
      <c r="B73" s="4">
        <v>350</v>
      </c>
      <c r="C73" s="4">
        <v>400</v>
      </c>
      <c r="D73" s="4">
        <v>7.14</v>
      </c>
      <c r="E73" s="4">
        <v>7.35</v>
      </c>
      <c r="F73" s="4">
        <v>115.3</v>
      </c>
      <c r="G73" s="16" t="s">
        <v>86</v>
      </c>
      <c r="H73" s="4">
        <v>0.38800000000000001</v>
      </c>
      <c r="I73" s="4">
        <v>116</v>
      </c>
      <c r="J73" s="4">
        <v>420</v>
      </c>
      <c r="K73" s="4">
        <v>907</v>
      </c>
      <c r="L73" s="4">
        <v>0.65</v>
      </c>
      <c r="M73" s="6">
        <v>318.73</v>
      </c>
      <c r="N73" s="8">
        <v>715.1</v>
      </c>
      <c r="O73" s="20"/>
      <c r="P73" s="20"/>
      <c r="Q73" s="1">
        <f t="shared" si="3"/>
        <v>224.35897435897436</v>
      </c>
      <c r="R73" t="str" cm="1">
        <f t="array" ref="R73">_xlfn.IFS(Q73&lt;42.7, "low",
Q73&lt;85.4,"medium low",
Q73&lt;128,"medium high",
Q73&gt;=128,"high"
)</f>
        <v>high</v>
      </c>
      <c r="S73" t="str" cm="1">
        <f t="array" ref="S73">_xlfn.IFS(J73&lt;700,"low",J73&lt;1600,"medium low",J73&lt;2200,"medium high",J73&gt;=2200,"high")</f>
        <v>low</v>
      </c>
      <c r="T73" t="str" cm="1">
        <f t="array" ref="T73">_xlfn.IFS(
J73&lt;630,"Low",
J73&lt;1287,"Medium",
J73&lt;1495,"Intermediate",
J73&lt;1668,"Moderately",
J73&lt;1843,"Transition",
J73&lt;2477,"High",
J73&lt;2996,"Refractory I",
TRUE,"Refractory II"
)</f>
        <v>Low</v>
      </c>
      <c r="U73">
        <f t="shared" si="4"/>
        <v>2.2435917547767703</v>
      </c>
      <c r="V73" t="str" cm="1">
        <f t="array" ref="V73">_xlfn.IFS(U73&lt;0.25,"shallow condution",
U73&lt;0.5,"transition",
U73&lt;1,"conduction",
U73&lt;1.5,"transition",U73&lt;3,"keyholeⅠ",3&lt;=U73,"keyhole Ⅱ"
)</f>
        <v>keyholeⅠ</v>
      </c>
      <c r="X73">
        <f t="shared" si="5"/>
        <v>0.44571388616976648</v>
      </c>
    </row>
    <row r="74" spans="1:24">
      <c r="A74" s="2" t="s">
        <v>44</v>
      </c>
      <c r="B74" s="4">
        <v>350</v>
      </c>
      <c r="C74" s="4">
        <v>600</v>
      </c>
      <c r="D74" s="4">
        <v>7.14</v>
      </c>
      <c r="E74" s="4">
        <v>7.35</v>
      </c>
      <c r="F74" s="4">
        <v>115.3</v>
      </c>
      <c r="G74" s="16" t="s">
        <v>86</v>
      </c>
      <c r="H74" s="4">
        <v>0.38800000000000001</v>
      </c>
      <c r="I74" s="4">
        <v>116</v>
      </c>
      <c r="J74" s="4">
        <v>420</v>
      </c>
      <c r="K74" s="4">
        <v>907</v>
      </c>
      <c r="L74" s="4">
        <v>0.65</v>
      </c>
      <c r="M74" s="6">
        <v>268.32</v>
      </c>
      <c r="N74" s="8">
        <v>405.89</v>
      </c>
      <c r="O74" s="20"/>
      <c r="P74" s="20"/>
      <c r="Q74" s="1">
        <f t="shared" si="3"/>
        <v>149.57264957264957</v>
      </c>
      <c r="R74" t="str" cm="1">
        <f t="array" ref="R74">_xlfn.IFS(Q74&lt;42.7, "low",
Q74&lt;85.4,"medium low",
Q74&lt;128,"medium high",
Q74&gt;=128,"high"
)</f>
        <v>high</v>
      </c>
      <c r="S74" t="str" cm="1">
        <f t="array" ref="S74">_xlfn.IFS(J74&lt;700,"low",J74&lt;1600,"medium low",J74&lt;2200,"medium high",J74&gt;=2200,"high")</f>
        <v>low</v>
      </c>
      <c r="T74" t="str" cm="1">
        <f t="array" ref="T74">_xlfn.IFS(
J74&lt;630,"Low",
J74&lt;1287,"Medium",
J74&lt;1495,"Intermediate",
J74&lt;1668,"Moderately",
J74&lt;1843,"Transition",
J74&lt;2477,"High",
J74&lt;2996,"Refractory I",
TRUE,"Refractory II"
)</f>
        <v>Low</v>
      </c>
      <c r="U74">
        <f t="shared" si="4"/>
        <v>1.5127087060226594</v>
      </c>
      <c r="V74" t="str" cm="1">
        <f t="array" ref="V74">_xlfn.IFS(U74&lt;0.25,"shallow condution",
U74&lt;0.5,"transition",
U74&lt;1,"conduction",
U74&lt;1.5,"transition",U74&lt;3,"keyholeⅠ",3&lt;=U74,"keyhole Ⅱ"
)</f>
        <v>keyholeⅠ</v>
      </c>
      <c r="X74">
        <f t="shared" si="5"/>
        <v>0.66106580600655351</v>
      </c>
    </row>
    <row r="75" spans="1:24">
      <c r="A75" s="2" t="s">
        <v>44</v>
      </c>
      <c r="B75" s="4">
        <v>350</v>
      </c>
      <c r="C75" s="4">
        <v>800</v>
      </c>
      <c r="D75" s="4">
        <v>7.14</v>
      </c>
      <c r="E75" s="4">
        <v>7.35</v>
      </c>
      <c r="F75" s="4">
        <v>115.3</v>
      </c>
      <c r="G75" s="16" t="s">
        <v>86</v>
      </c>
      <c r="H75" s="4">
        <v>0.38800000000000001</v>
      </c>
      <c r="I75" s="4">
        <v>116</v>
      </c>
      <c r="J75" s="4">
        <v>420</v>
      </c>
      <c r="K75" s="4">
        <v>907</v>
      </c>
      <c r="L75" s="4">
        <v>0.65</v>
      </c>
      <c r="M75" s="6">
        <v>248.1</v>
      </c>
      <c r="N75" s="8">
        <v>307</v>
      </c>
      <c r="O75" s="20"/>
      <c r="P75" s="20"/>
      <c r="Q75" s="1">
        <f t="shared" si="3"/>
        <v>112.17948717948718</v>
      </c>
      <c r="R75" t="str" cm="1">
        <f t="array" ref="R75">_xlfn.IFS(Q75&lt;42.7, "low",
Q75&lt;85.4,"medium low",
Q75&lt;128,"medium high",
Q75&gt;=128,"high"
)</f>
        <v>medium high</v>
      </c>
      <c r="S75" t="str" cm="1">
        <f t="array" ref="S75">_xlfn.IFS(J75&lt;700,"low",J75&lt;1600,"medium low",J75&lt;2200,"medium high",J75&gt;=2200,"high")</f>
        <v>low</v>
      </c>
      <c r="T75" t="str" cm="1">
        <f t="array" ref="T75">_xlfn.IFS(
J75&lt;630,"Low",
J75&lt;1287,"Medium",
J75&lt;1495,"Intermediate",
J75&lt;1668,"Moderately",
J75&lt;1843,"Transition",
J75&lt;2477,"High",
J75&lt;2996,"Refractory I",
TRUE,"Refractory II"
)</f>
        <v>Low</v>
      </c>
      <c r="U75">
        <f t="shared" si="4"/>
        <v>1.2374042724707779</v>
      </c>
      <c r="V75" t="str" cm="1">
        <f t="array" ref="V75">_xlfn.IFS(U75&lt;0.25,"shallow condution",
U75&lt;0.5,"transition",
U75&lt;1,"conduction",
U75&lt;1.5,"transition",U75&lt;3,"keyholeⅠ",3&lt;=U75,"keyhole Ⅱ"
)</f>
        <v>transition</v>
      </c>
      <c r="X75">
        <f t="shared" si="5"/>
        <v>0.80814332247556997</v>
      </c>
    </row>
    <row r="76" spans="1:24">
      <c r="A76" s="2" t="s">
        <v>44</v>
      </c>
      <c r="B76" s="4">
        <v>350</v>
      </c>
      <c r="C76" s="4">
        <v>1000</v>
      </c>
      <c r="D76" s="4">
        <v>7.14</v>
      </c>
      <c r="E76" s="4">
        <v>7.35</v>
      </c>
      <c r="F76" s="4">
        <v>115.3</v>
      </c>
      <c r="G76" s="16" t="s">
        <v>86</v>
      </c>
      <c r="H76" s="4">
        <v>0.38800000000000001</v>
      </c>
      <c r="I76" s="4">
        <v>116</v>
      </c>
      <c r="J76" s="4">
        <v>420</v>
      </c>
      <c r="K76" s="4">
        <v>907</v>
      </c>
      <c r="L76" s="4">
        <v>0.65</v>
      </c>
      <c r="M76" s="6">
        <v>215.63</v>
      </c>
      <c r="N76" s="8">
        <v>217.02</v>
      </c>
      <c r="O76" s="20"/>
      <c r="P76" s="20"/>
      <c r="Q76" s="1">
        <f t="shared" si="3"/>
        <v>89.743589743589737</v>
      </c>
      <c r="R76" t="str" cm="1">
        <f t="array" ref="R76">_xlfn.IFS(Q76&lt;42.7, "low",
Q76&lt;85.4,"medium low",
Q76&lt;128,"medium high",
Q76&gt;=128,"high"
)</f>
        <v>medium high</v>
      </c>
      <c r="S76" t="str" cm="1">
        <f t="array" ref="S76">_xlfn.IFS(J76&lt;700,"low",J76&lt;1600,"medium low",J76&lt;2200,"medium high",J76&gt;=2200,"high")</f>
        <v>low</v>
      </c>
      <c r="T76" t="str" cm="1">
        <f t="array" ref="T76">_xlfn.IFS(
J76&lt;630,"Low",
J76&lt;1287,"Medium",
J76&lt;1495,"Intermediate",
J76&lt;1668,"Moderately",
J76&lt;1843,"Transition",
J76&lt;2477,"High",
J76&lt;2996,"Refractory I",
TRUE,"Refractory II"
)</f>
        <v>Low</v>
      </c>
      <c r="U76">
        <f t="shared" si="4"/>
        <v>1.006446227333859</v>
      </c>
      <c r="V76" t="str" cm="1">
        <f t="array" ref="V76">_xlfn.IFS(U76&lt;0.25,"shallow condution",
U76&lt;0.5,"transition",
U76&lt;1,"conduction",
U76&lt;1.5,"transition",U76&lt;3,"keyholeⅠ",3&lt;=U76,"keyhole Ⅱ"
)</f>
        <v>transition</v>
      </c>
      <c r="X76">
        <f t="shared" si="5"/>
        <v>0.99359506036310008</v>
      </c>
    </row>
    <row r="77" spans="1:24">
      <c r="A77" s="2" t="s">
        <v>44</v>
      </c>
      <c r="B77" s="4">
        <v>350</v>
      </c>
      <c r="C77" s="4">
        <v>1200</v>
      </c>
      <c r="D77" s="4">
        <v>7.14</v>
      </c>
      <c r="E77" s="4">
        <v>7.35</v>
      </c>
      <c r="F77" s="4">
        <v>115.3</v>
      </c>
      <c r="G77" s="16" t="s">
        <v>86</v>
      </c>
      <c r="H77" s="4">
        <v>0.38800000000000001</v>
      </c>
      <c r="I77" s="4">
        <v>116</v>
      </c>
      <c r="J77" s="4">
        <v>420</v>
      </c>
      <c r="K77" s="4">
        <v>907</v>
      </c>
      <c r="L77" s="4">
        <v>0.65</v>
      </c>
      <c r="M77" s="6">
        <v>167.35</v>
      </c>
      <c r="N77" s="8">
        <v>191.25</v>
      </c>
      <c r="O77" s="20"/>
      <c r="P77" s="20"/>
      <c r="Q77" s="1">
        <f t="shared" si="3"/>
        <v>74.786324786324784</v>
      </c>
      <c r="R77" t="str" cm="1">
        <f t="array" ref="R77">_xlfn.IFS(Q77&lt;42.7, "low",
Q77&lt;85.4,"medium low",
Q77&lt;128,"medium high",
Q77&gt;=128,"high"
)</f>
        <v>medium low</v>
      </c>
      <c r="S77" t="str" cm="1">
        <f t="array" ref="S77">_xlfn.IFS(J77&lt;700,"low",J77&lt;1600,"medium low",J77&lt;2200,"medium high",J77&gt;=2200,"high")</f>
        <v>low</v>
      </c>
      <c r="T77" t="str" cm="1">
        <f t="array" ref="T77">_xlfn.IFS(
J77&lt;630,"Low",
J77&lt;1287,"Medium",
J77&lt;1495,"Intermediate",
J77&lt;1668,"Moderately",
J77&lt;1843,"Transition",
J77&lt;2477,"High",
J77&lt;2996,"Refractory I",
TRUE,"Refractory II"
)</f>
        <v>Low</v>
      </c>
      <c r="U77">
        <f t="shared" si="4"/>
        <v>1.1428144607110846</v>
      </c>
      <c r="V77" t="str" cm="1">
        <f t="array" ref="V77">_xlfn.IFS(U77&lt;0.25,"shallow condution",
U77&lt;0.5,"transition",
U77&lt;1,"conduction",
U77&lt;1.5,"transition",U77&lt;3,"keyholeⅠ",3&lt;=U77,"keyhole Ⅱ"
)</f>
        <v>transition</v>
      </c>
      <c r="X77">
        <f t="shared" si="5"/>
        <v>0.87503267973856202</v>
      </c>
    </row>
    <row r="78" spans="1:24">
      <c r="A78" s="2" t="s">
        <v>44</v>
      </c>
      <c r="B78" s="4">
        <v>350</v>
      </c>
      <c r="C78" s="4">
        <v>1600</v>
      </c>
      <c r="D78" s="4">
        <v>7.14</v>
      </c>
      <c r="E78" s="4">
        <v>7.35</v>
      </c>
      <c r="F78" s="4">
        <v>115.3</v>
      </c>
      <c r="G78" s="16" t="s">
        <v>86</v>
      </c>
      <c r="H78" s="4">
        <v>0.38800000000000001</v>
      </c>
      <c r="I78" s="4">
        <v>116</v>
      </c>
      <c r="J78" s="4">
        <v>420</v>
      </c>
      <c r="K78" s="4">
        <v>907</v>
      </c>
      <c r="L78" s="4">
        <v>0.65</v>
      </c>
      <c r="M78" s="6">
        <v>182.7</v>
      </c>
      <c r="N78" s="8">
        <v>128.62</v>
      </c>
      <c r="O78" s="20"/>
      <c r="P78" s="20"/>
      <c r="Q78" s="1">
        <f t="shared" si="3"/>
        <v>56.089743589743591</v>
      </c>
      <c r="R78" t="str" cm="1">
        <f t="array" ref="R78">_xlfn.IFS(Q78&lt;42.7, "low",
Q78&lt;85.4,"medium low",
Q78&lt;128,"medium high",
Q78&gt;=128,"high"
)</f>
        <v>medium low</v>
      </c>
      <c r="S78" t="str" cm="1">
        <f t="array" ref="S78">_xlfn.IFS(J78&lt;700,"low",J78&lt;1600,"medium low",J78&lt;2200,"medium high",J78&gt;=2200,"high")</f>
        <v>low</v>
      </c>
      <c r="T78" t="str" cm="1">
        <f t="array" ref="T78">_xlfn.IFS(
J78&lt;630,"Low",
J78&lt;1287,"Medium",
J78&lt;1495,"Intermediate",
J78&lt;1668,"Moderately",
J78&lt;1843,"Transition",
J78&lt;2477,"High",
J78&lt;2996,"Refractory I",
TRUE,"Refractory II"
)</f>
        <v>Low</v>
      </c>
      <c r="U78">
        <f t="shared" si="4"/>
        <v>0.70399562123700066</v>
      </c>
      <c r="V78" t="str" cm="1">
        <f t="array" ref="V78">_xlfn.IFS(U78&lt;0.25,"shallow condution",
U78&lt;0.5,"transition",
U78&lt;1,"conduction",
U78&lt;1.5,"transition",U78&lt;3,"keyholeⅠ",3&lt;=U78,"keyhole Ⅱ"
)</f>
        <v>conduction</v>
      </c>
      <c r="X78">
        <f t="shared" si="5"/>
        <v>1.4204633805006996</v>
      </c>
    </row>
    <row r="79" spans="1:24">
      <c r="A79" s="2" t="s">
        <v>44</v>
      </c>
      <c r="B79" s="4">
        <v>350</v>
      </c>
      <c r="C79" s="4">
        <v>2000</v>
      </c>
      <c r="D79" s="4">
        <v>7.14</v>
      </c>
      <c r="E79" s="4">
        <v>7.35</v>
      </c>
      <c r="F79" s="4">
        <v>115.3</v>
      </c>
      <c r="G79" s="16" t="s">
        <v>86</v>
      </c>
      <c r="H79" s="4">
        <v>0.38800000000000001</v>
      </c>
      <c r="I79" s="4">
        <v>116</v>
      </c>
      <c r="J79" s="4">
        <v>420</v>
      </c>
      <c r="K79" s="4">
        <v>907</v>
      </c>
      <c r="L79" s="4">
        <v>0.65</v>
      </c>
      <c r="M79" s="6">
        <v>170.37</v>
      </c>
      <c r="N79" s="8">
        <v>84.41</v>
      </c>
      <c r="O79" s="20"/>
      <c r="P79" s="20"/>
      <c r="Q79" s="1">
        <f t="shared" si="3"/>
        <v>44.871794871794869</v>
      </c>
      <c r="R79" t="str" cm="1">
        <f t="array" ref="R79">_xlfn.IFS(Q79&lt;42.7, "low",
Q79&lt;85.4,"medium low",
Q79&lt;128,"medium high",
Q79&gt;=128,"high"
)</f>
        <v>medium low</v>
      </c>
      <c r="S79" t="str" cm="1">
        <f t="array" ref="S79">_xlfn.IFS(J79&lt;700,"low",J79&lt;1600,"medium low",J79&lt;2200,"medium high",J79&gt;=2200,"high")</f>
        <v>low</v>
      </c>
      <c r="T79" t="str" cm="1">
        <f t="array" ref="T79">_xlfn.IFS(
J79&lt;630,"Low",
J79&lt;1287,"Medium",
J79&lt;1495,"Intermediate",
J79&lt;1668,"Moderately",
J79&lt;1843,"Transition",
J79&lt;2477,"High",
J79&lt;2996,"Refractory I",
TRUE,"Refractory II"
)</f>
        <v>Low</v>
      </c>
      <c r="U79">
        <f t="shared" si="4"/>
        <v>0.49545107706755881</v>
      </c>
      <c r="V79" t="str" cm="1">
        <f t="array" ref="V79">_xlfn.IFS(U79&lt;0.25,"shallow condution",
U79&lt;0.5,"transition",
U79&lt;1,"conduction",
U79&lt;1.5,"transition",U79&lt;3,"keyholeⅠ",3&lt;=U79,"keyhole Ⅱ"
)</f>
        <v>transition</v>
      </c>
      <c r="X79">
        <f t="shared" si="5"/>
        <v>2.0183627532282906</v>
      </c>
    </row>
    <row r="80" spans="1:24">
      <c r="A80" s="2" t="s">
        <v>44</v>
      </c>
      <c r="B80" s="4">
        <v>350</v>
      </c>
      <c r="C80" s="4">
        <v>2400</v>
      </c>
      <c r="D80" s="4">
        <v>7.14</v>
      </c>
      <c r="E80" s="4">
        <v>7.35</v>
      </c>
      <c r="F80" s="4">
        <v>115.3</v>
      </c>
      <c r="G80" s="16" t="s">
        <v>86</v>
      </c>
      <c r="H80" s="4">
        <v>0.38800000000000001</v>
      </c>
      <c r="I80" s="4">
        <v>116</v>
      </c>
      <c r="J80" s="4">
        <v>420</v>
      </c>
      <c r="K80" s="4">
        <v>907</v>
      </c>
      <c r="L80" s="4">
        <v>0.65</v>
      </c>
      <c r="M80" s="4">
        <v>163.69999999999999</v>
      </c>
      <c r="N80" s="5">
        <v>86.93</v>
      </c>
      <c r="Q80" s="1">
        <f t="shared" si="3"/>
        <v>37.393162393162392</v>
      </c>
      <c r="R80" t="str" cm="1">
        <f t="array" ref="R80">_xlfn.IFS(Q80&lt;42.7, "low",
Q80&lt;85.4,"medium low",
Q80&lt;128,"medium high",
Q80&gt;=128,"high"
)</f>
        <v>low</v>
      </c>
      <c r="S80" t="str" cm="1">
        <f t="array" ref="S80">_xlfn.IFS(J80&lt;700,"low",J80&lt;1600,"medium low",J80&lt;2200,"medium high",J80&gt;=2200,"high")</f>
        <v>low</v>
      </c>
      <c r="T80" t="str" cm="1">
        <f t="array" ref="T80">_xlfn.IFS(
J80&lt;630,"Low",
J80&lt;1287,"Medium",
J80&lt;1495,"Intermediate",
J80&lt;1668,"Moderately",
J80&lt;1843,"Transition",
J80&lt;2477,"High",
J80&lt;2996,"Refractory I",
TRUE,"Refractory II"
)</f>
        <v>Low</v>
      </c>
      <c r="U80">
        <f t="shared" si="4"/>
        <v>0.5310323762981064</v>
      </c>
      <c r="V80" t="str" cm="1">
        <f t="array" ref="V80">_xlfn.IFS(U80&lt;0.25,"shallow condution",
U80&lt;0.5,"transition",
U80&lt;1,"conduction",
U80&lt;1.5,"transition",U80&lt;3,"keyholeⅠ",3&lt;=U80,"keyhole Ⅱ"
)</f>
        <v>conduction</v>
      </c>
      <c r="X80">
        <f t="shared" si="5"/>
        <v>1.8831243529276427</v>
      </c>
    </row>
    <row r="81" spans="1:24">
      <c r="A81" s="2" t="s">
        <v>44</v>
      </c>
      <c r="B81" s="4">
        <v>100</v>
      </c>
      <c r="C81" s="4">
        <v>300</v>
      </c>
      <c r="D81" s="4">
        <v>7.14</v>
      </c>
      <c r="E81" s="4">
        <v>7.35</v>
      </c>
      <c r="F81" s="4">
        <v>115.3</v>
      </c>
      <c r="G81" s="16" t="s">
        <v>86</v>
      </c>
      <c r="H81" s="4">
        <v>0.38800000000000001</v>
      </c>
      <c r="I81" s="4">
        <v>116</v>
      </c>
      <c r="J81" s="4">
        <v>420</v>
      </c>
      <c r="K81" s="4">
        <v>907</v>
      </c>
      <c r="L81" s="4">
        <v>0.65</v>
      </c>
      <c r="M81" s="6">
        <v>199.47</v>
      </c>
      <c r="N81" s="8">
        <v>262</v>
      </c>
      <c r="O81" s="20"/>
      <c r="P81" s="20"/>
      <c r="Q81" s="1">
        <f t="shared" si="3"/>
        <v>85.470085470085465</v>
      </c>
      <c r="R81" t="str" cm="1">
        <f t="array" ref="R81">_xlfn.IFS(Q81&lt;42.7, "low",
Q81&lt;85.4,"medium low",
Q81&lt;128,"medium high",
Q81&gt;=128,"high"
)</f>
        <v>medium high</v>
      </c>
      <c r="S81" t="str" cm="1">
        <f t="array" ref="S81">_xlfn.IFS(J81&lt;700,"low",J81&lt;1600,"medium low",J81&lt;2200,"medium high",J81&gt;=2200,"high")</f>
        <v>low</v>
      </c>
      <c r="T81" t="str" cm="1">
        <f t="array" ref="T81">_xlfn.IFS(
J81&lt;630,"Low",
J81&lt;1287,"Medium",
J81&lt;1495,"Intermediate",
J81&lt;1668,"Moderately",
J81&lt;1843,"Transition",
J81&lt;2477,"High",
J81&lt;2996,"Refractory I",
TRUE,"Refractory II"
)</f>
        <v>Low</v>
      </c>
      <c r="U81">
        <f t="shared" si="4"/>
        <v>1.3134807239183837</v>
      </c>
      <c r="V81" t="str" cm="1">
        <f t="array" ref="V81">_xlfn.IFS(U81&lt;0.25,"shallow condution",
U81&lt;0.5,"transition",
U81&lt;1,"conduction",
U81&lt;1.5,"transition",U81&lt;3,"keyholeⅠ",3&lt;=U81,"keyhole Ⅱ"
)</f>
        <v>transition</v>
      </c>
      <c r="X81">
        <f t="shared" si="5"/>
        <v>0.76133587786259538</v>
      </c>
    </row>
    <row r="82" spans="1:24">
      <c r="A82" s="2" t="s">
        <v>44</v>
      </c>
      <c r="B82" s="4">
        <v>150</v>
      </c>
      <c r="C82" s="4">
        <v>300</v>
      </c>
      <c r="D82" s="4">
        <v>7.14</v>
      </c>
      <c r="E82" s="4">
        <v>7.35</v>
      </c>
      <c r="F82" s="4">
        <v>115.3</v>
      </c>
      <c r="G82" s="16" t="s">
        <v>86</v>
      </c>
      <c r="H82" s="4">
        <v>0.38800000000000001</v>
      </c>
      <c r="I82" s="4">
        <v>116</v>
      </c>
      <c r="J82" s="4">
        <v>420</v>
      </c>
      <c r="K82" s="4">
        <v>907</v>
      </c>
      <c r="L82" s="4">
        <v>0.65</v>
      </c>
      <c r="M82" s="6">
        <v>255.88</v>
      </c>
      <c r="N82" s="8">
        <v>485.44</v>
      </c>
      <c r="O82" s="20"/>
      <c r="P82" s="20"/>
      <c r="Q82" s="1">
        <f t="shared" si="3"/>
        <v>128.2051282051282</v>
      </c>
      <c r="R82" t="str" cm="1">
        <f t="array" ref="R82">_xlfn.IFS(Q82&lt;42.7, "low",
Q82&lt;85.4,"medium low",
Q82&lt;128,"medium high",
Q82&gt;=128,"high"
)</f>
        <v>high</v>
      </c>
      <c r="S82" t="str" cm="1">
        <f t="array" ref="S82">_xlfn.IFS(J82&lt;700,"low",J82&lt;1600,"medium low",J82&lt;2200,"medium high",J82&gt;=2200,"high")</f>
        <v>low</v>
      </c>
      <c r="T82" t="str" cm="1">
        <f t="array" ref="T82">_xlfn.IFS(
J82&lt;630,"Low",
J82&lt;1287,"Medium",
J82&lt;1495,"Intermediate",
J82&lt;1668,"Moderately",
J82&lt;1843,"Transition",
J82&lt;2477,"High",
J82&lt;2996,"Refractory I",
TRUE,"Refractory II"
)</f>
        <v>Low</v>
      </c>
      <c r="U82">
        <f t="shared" si="4"/>
        <v>1.8971392840393935</v>
      </c>
      <c r="V82" t="str" cm="1">
        <f t="array" ref="V82">_xlfn.IFS(U82&lt;0.25,"shallow condution",
U82&lt;0.5,"transition",
U82&lt;1,"conduction",
U82&lt;1.5,"transition",U82&lt;3,"keyholeⅠ",3&lt;=U82,"keyhole Ⅱ"
)</f>
        <v>keyholeⅠ</v>
      </c>
      <c r="X82">
        <f t="shared" si="5"/>
        <v>0.52710942649967041</v>
      </c>
    </row>
    <row r="83" spans="1:24">
      <c r="A83" s="2" t="s">
        <v>44</v>
      </c>
      <c r="B83" s="4">
        <v>200</v>
      </c>
      <c r="C83" s="4">
        <v>300</v>
      </c>
      <c r="D83" s="4">
        <v>7.14</v>
      </c>
      <c r="E83" s="4">
        <v>7.35</v>
      </c>
      <c r="F83" s="4">
        <v>115.3</v>
      </c>
      <c r="G83" s="16" t="s">
        <v>86</v>
      </c>
      <c r="H83" s="4">
        <v>0.38800000000000001</v>
      </c>
      <c r="I83" s="4">
        <v>116</v>
      </c>
      <c r="J83" s="4">
        <v>420</v>
      </c>
      <c r="K83" s="4">
        <v>907</v>
      </c>
      <c r="L83" s="4">
        <v>0.65</v>
      </c>
      <c r="M83" s="6">
        <v>263.5</v>
      </c>
      <c r="N83" s="8">
        <v>651.4</v>
      </c>
      <c r="O83" s="20"/>
      <c r="P83" s="20"/>
      <c r="Q83" s="1">
        <f t="shared" si="3"/>
        <v>170.94017094017093</v>
      </c>
      <c r="R83" t="str" cm="1">
        <f t="array" ref="R83">_xlfn.IFS(Q83&lt;42.7, "low",
Q83&lt;85.4,"medium low",
Q83&lt;128,"medium high",
Q83&gt;=128,"high"
)</f>
        <v>high</v>
      </c>
      <c r="S83" t="str" cm="1">
        <f t="array" ref="S83">_xlfn.IFS(J83&lt;700,"low",J83&lt;1600,"medium low",J83&lt;2200,"medium high",J83&gt;=2200,"high")</f>
        <v>low</v>
      </c>
      <c r="T83" t="str" cm="1">
        <f t="array" ref="T83">_xlfn.IFS(
J83&lt;630,"Low",
J83&lt;1287,"Medium",
J83&lt;1495,"Intermediate",
J83&lt;1668,"Moderately",
J83&lt;1843,"Transition",
J83&lt;2477,"High",
J83&lt;2996,"Refractory I",
TRUE,"Refractory II"
)</f>
        <v>Low</v>
      </c>
      <c r="U83">
        <f t="shared" si="4"/>
        <v>2.4721062618595826</v>
      </c>
      <c r="V83" t="str" cm="1">
        <f t="array" ref="V83">_xlfn.IFS(U83&lt;0.25,"shallow condution",
U83&lt;0.5,"transition",
U83&lt;1,"conduction",
U83&lt;1.5,"transition",U83&lt;3,"keyholeⅠ",3&lt;=U83,"keyhole Ⅱ"
)</f>
        <v>keyholeⅠ</v>
      </c>
      <c r="X83">
        <f t="shared" si="5"/>
        <v>0.40451335584894077</v>
      </c>
    </row>
    <row r="84" spans="1:24">
      <c r="A84" s="2" t="s">
        <v>44</v>
      </c>
      <c r="B84" s="4">
        <v>250</v>
      </c>
      <c r="C84" s="4">
        <v>300</v>
      </c>
      <c r="D84" s="4">
        <v>7.14</v>
      </c>
      <c r="E84" s="4">
        <v>7.35</v>
      </c>
      <c r="F84" s="4">
        <v>115.3</v>
      </c>
      <c r="G84" s="16" t="s">
        <v>86</v>
      </c>
      <c r="H84" s="4">
        <v>0.38800000000000001</v>
      </c>
      <c r="I84" s="4">
        <v>116</v>
      </c>
      <c r="J84" s="4">
        <v>420</v>
      </c>
      <c r="K84" s="4">
        <v>907</v>
      </c>
      <c r="L84" s="4">
        <v>0.65</v>
      </c>
      <c r="M84" s="6">
        <v>265.97000000000003</v>
      </c>
      <c r="N84" s="8">
        <v>869.3</v>
      </c>
      <c r="O84" s="20"/>
      <c r="P84" s="20"/>
      <c r="Q84" s="1">
        <f t="shared" si="3"/>
        <v>213.67521367521368</v>
      </c>
      <c r="R84" t="str" cm="1">
        <f t="array" ref="R84">_xlfn.IFS(Q84&lt;42.7, "low",
Q84&lt;85.4,"medium low",
Q84&lt;128,"medium high",
Q84&gt;=128,"high"
)</f>
        <v>high</v>
      </c>
      <c r="S84" t="str" cm="1">
        <f t="array" ref="S84">_xlfn.IFS(J84&lt;700,"low",J84&lt;1600,"medium low",J84&lt;2200,"medium high",J84&gt;=2200,"high")</f>
        <v>low</v>
      </c>
      <c r="T84" t="str" cm="1">
        <f t="array" ref="T84">_xlfn.IFS(
J84&lt;630,"Low",
J84&lt;1287,"Medium",
J84&lt;1495,"Intermediate",
J84&lt;1668,"Moderately",
J84&lt;1843,"Transition",
J84&lt;2477,"High",
J84&lt;2996,"Refractory I",
TRUE,"Refractory II"
)</f>
        <v>Low</v>
      </c>
      <c r="U84">
        <f t="shared" si="4"/>
        <v>3.2684137308719023</v>
      </c>
      <c r="V84" t="str" cm="1">
        <f t="array" ref="V84">_xlfn.IFS(U84&lt;0.25,"shallow condution",
U84&lt;0.5,"transition",
U84&lt;1,"conduction",
U84&lt;1.5,"transition",U84&lt;3,"keyholeⅠ",3&lt;=U84,"keyhole Ⅱ"
)</f>
        <v>keyhole Ⅱ</v>
      </c>
      <c r="X84">
        <f t="shared" si="5"/>
        <v>0.30595881743931902</v>
      </c>
    </row>
    <row r="85" spans="1:24">
      <c r="A85" s="2" t="s">
        <v>44</v>
      </c>
      <c r="B85" s="4">
        <v>300</v>
      </c>
      <c r="C85" s="4">
        <v>300</v>
      </c>
      <c r="D85" s="4">
        <v>7.14</v>
      </c>
      <c r="E85" s="4">
        <v>7.35</v>
      </c>
      <c r="F85" s="4">
        <v>115.3</v>
      </c>
      <c r="G85" s="16" t="s">
        <v>86</v>
      </c>
      <c r="H85" s="4">
        <v>0.38800000000000001</v>
      </c>
      <c r="I85" s="4">
        <v>116</v>
      </c>
      <c r="J85" s="4">
        <v>420</v>
      </c>
      <c r="K85" s="4">
        <v>907</v>
      </c>
      <c r="L85" s="4">
        <v>0.65</v>
      </c>
      <c r="M85" s="6">
        <v>270.60000000000002</v>
      </c>
      <c r="N85" s="8">
        <v>995.4</v>
      </c>
      <c r="O85" s="20"/>
      <c r="P85" s="20"/>
      <c r="Q85" s="1">
        <f t="shared" si="3"/>
        <v>256.41025641025641</v>
      </c>
      <c r="R85" t="str" cm="1">
        <f t="array" ref="R85">_xlfn.IFS(Q85&lt;42.7, "low",
Q85&lt;85.4,"medium low",
Q85&lt;128,"medium high",
Q85&gt;=128,"high"
)</f>
        <v>high</v>
      </c>
      <c r="S85" t="str" cm="1">
        <f t="array" ref="S85">_xlfn.IFS(J85&lt;700,"low",J85&lt;1600,"medium low",J85&lt;2200,"medium high",J85&gt;=2200,"high")</f>
        <v>low</v>
      </c>
      <c r="T85" t="str" cm="1">
        <f t="array" ref="T85">_xlfn.IFS(
J85&lt;630,"Low",
J85&lt;1287,"Medium",
J85&lt;1495,"Intermediate",
J85&lt;1668,"Moderately",
J85&lt;1843,"Transition",
J85&lt;2477,"High",
J85&lt;2996,"Refractory I",
TRUE,"Refractory II"
)</f>
        <v>Low</v>
      </c>
      <c r="U85">
        <f t="shared" si="4"/>
        <v>3.678492239467849</v>
      </c>
      <c r="V85" t="str" cm="1">
        <f t="array" ref="V85">_xlfn.IFS(U85&lt;0.25,"shallow condution",
U85&lt;0.5,"transition",
U85&lt;1,"conduction",
U85&lt;1.5,"transition",U85&lt;3,"keyholeⅠ",3&lt;=U85,"keyhole Ⅱ"
)</f>
        <v>keyhole Ⅱ</v>
      </c>
      <c r="X85">
        <f t="shared" si="5"/>
        <v>0.27185051235684149</v>
      </c>
    </row>
    <row r="86" spans="1:24">
      <c r="A86" s="2" t="s">
        <v>44</v>
      </c>
      <c r="B86" s="4">
        <v>100</v>
      </c>
      <c r="C86" s="4">
        <v>600</v>
      </c>
      <c r="D86" s="4">
        <v>7.14</v>
      </c>
      <c r="E86" s="4">
        <v>7.35</v>
      </c>
      <c r="F86" s="4">
        <v>115.3</v>
      </c>
      <c r="G86" s="16" t="s">
        <v>86</v>
      </c>
      <c r="H86" s="4">
        <v>0.38800000000000001</v>
      </c>
      <c r="I86" s="4">
        <v>116</v>
      </c>
      <c r="J86" s="4">
        <v>420</v>
      </c>
      <c r="K86" s="4">
        <v>907</v>
      </c>
      <c r="L86" s="4">
        <v>0.65</v>
      </c>
      <c r="M86" s="6">
        <v>133.59</v>
      </c>
      <c r="N86" s="8">
        <v>128.65</v>
      </c>
      <c r="O86" s="20"/>
      <c r="P86" s="20"/>
      <c r="Q86" s="1">
        <f t="shared" si="3"/>
        <v>42.735042735042732</v>
      </c>
      <c r="R86" t="str" cm="1">
        <f t="array" ref="R86">_xlfn.IFS(Q86&lt;42.7, "low",
Q86&lt;85.4,"medium low",
Q86&lt;128,"medium high",
Q86&gt;=128,"high"
)</f>
        <v>medium low</v>
      </c>
      <c r="S86" t="str" cm="1">
        <f t="array" ref="S86">_xlfn.IFS(J86&lt;700,"low",J86&lt;1600,"medium low",J86&lt;2200,"medium high",J86&gt;=2200,"high")</f>
        <v>low</v>
      </c>
      <c r="T86" t="str" cm="1">
        <f t="array" ref="T86">_xlfn.IFS(
J86&lt;630,"Low",
J86&lt;1287,"Medium",
J86&lt;1495,"Intermediate",
J86&lt;1668,"Moderately",
J86&lt;1843,"Transition",
J86&lt;2477,"High",
J86&lt;2996,"Refractory I",
TRUE,"Refractory II"
)</f>
        <v>Low</v>
      </c>
      <c r="U86">
        <f t="shared" si="4"/>
        <v>0.96302118422037575</v>
      </c>
      <c r="V86" t="str" cm="1">
        <f t="array" ref="V86">_xlfn.IFS(U86&lt;0.25,"shallow condution",
U86&lt;0.5,"transition",
U86&lt;1,"conduction",
U86&lt;1.5,"transition",U86&lt;3,"keyholeⅠ",3&lt;=U86,"keyhole Ⅱ"
)</f>
        <v>conduction</v>
      </c>
      <c r="X86">
        <f t="shared" si="5"/>
        <v>1.038398756315585</v>
      </c>
    </row>
    <row r="87" spans="1:24">
      <c r="A87" s="2" t="s">
        <v>44</v>
      </c>
      <c r="B87" s="4">
        <v>150</v>
      </c>
      <c r="C87" s="4">
        <v>600</v>
      </c>
      <c r="D87" s="4">
        <v>7.14</v>
      </c>
      <c r="E87" s="4">
        <v>7.35</v>
      </c>
      <c r="F87" s="4">
        <v>115.3</v>
      </c>
      <c r="G87" s="16" t="s">
        <v>86</v>
      </c>
      <c r="H87" s="4">
        <v>0.38800000000000001</v>
      </c>
      <c r="I87" s="4">
        <v>116</v>
      </c>
      <c r="J87" s="4">
        <v>420</v>
      </c>
      <c r="K87" s="4">
        <v>907</v>
      </c>
      <c r="L87" s="4">
        <v>0.65</v>
      </c>
      <c r="M87" s="6">
        <v>188.49</v>
      </c>
      <c r="N87" s="8">
        <v>211.42</v>
      </c>
      <c r="O87" s="20"/>
      <c r="P87" s="20"/>
      <c r="Q87" s="1">
        <f t="shared" si="3"/>
        <v>64.102564102564102</v>
      </c>
      <c r="R87" t="str" cm="1">
        <f t="array" ref="R87">_xlfn.IFS(Q87&lt;42.7, "low",
Q87&lt;85.4,"medium low",
Q87&lt;128,"medium high",
Q87&gt;=128,"high"
)</f>
        <v>medium low</v>
      </c>
      <c r="S87" t="str" cm="1">
        <f t="array" ref="S87">_xlfn.IFS(J87&lt;700,"low",J87&lt;1600,"medium low",J87&lt;2200,"medium high",J87&gt;=2200,"high")</f>
        <v>low</v>
      </c>
      <c r="T87" t="str" cm="1">
        <f t="array" ref="T87">_xlfn.IFS(
J87&lt;630,"Low",
J87&lt;1287,"Medium",
J87&lt;1495,"Intermediate",
J87&lt;1668,"Moderately",
J87&lt;1843,"Transition",
J87&lt;2477,"High",
J87&lt;2996,"Refractory I",
TRUE,"Refractory II"
)</f>
        <v>Low</v>
      </c>
      <c r="U87">
        <f t="shared" si="4"/>
        <v>1.1216510159690167</v>
      </c>
      <c r="V87" t="str" cm="1">
        <f t="array" ref="V87">_xlfn.IFS(U87&lt;0.25,"shallow condution",
U87&lt;0.5,"transition",
U87&lt;1,"conduction",
U87&lt;1.5,"transition",U87&lt;3,"keyholeⅠ",3&lt;=U87,"keyhole Ⅱ"
)</f>
        <v>transition</v>
      </c>
      <c r="X87">
        <f t="shared" si="5"/>
        <v>0.89154290038785367</v>
      </c>
    </row>
    <row r="88" spans="1:24">
      <c r="A88" s="2" t="s">
        <v>44</v>
      </c>
      <c r="B88" s="4">
        <v>200</v>
      </c>
      <c r="C88" s="4">
        <v>600</v>
      </c>
      <c r="D88" s="4">
        <v>7.14</v>
      </c>
      <c r="E88" s="4">
        <v>7.35</v>
      </c>
      <c r="F88" s="4">
        <v>115.3</v>
      </c>
      <c r="G88" s="16" t="s">
        <v>86</v>
      </c>
      <c r="H88" s="4">
        <v>0.38800000000000001</v>
      </c>
      <c r="I88" s="4">
        <v>116</v>
      </c>
      <c r="J88" s="4">
        <v>420</v>
      </c>
      <c r="K88" s="4">
        <v>907</v>
      </c>
      <c r="L88" s="4">
        <v>0.65</v>
      </c>
      <c r="M88" s="6">
        <v>205.98</v>
      </c>
      <c r="N88" s="8">
        <v>286.8</v>
      </c>
      <c r="O88" s="20"/>
      <c r="P88" s="20"/>
      <c r="Q88" s="1">
        <f t="shared" si="3"/>
        <v>85.470085470085465</v>
      </c>
      <c r="R88" t="str" cm="1">
        <f t="array" ref="R88">_xlfn.IFS(Q88&lt;42.7, "low",
Q88&lt;85.4,"medium low",
Q88&lt;128,"medium high",
Q88&gt;=128,"high"
)</f>
        <v>medium high</v>
      </c>
      <c r="S88" t="str" cm="1">
        <f t="array" ref="S88">_xlfn.IFS(J88&lt;700,"low",J88&lt;1600,"medium low",J88&lt;2200,"medium high",J88&gt;=2200,"high")</f>
        <v>low</v>
      </c>
      <c r="T88" t="str" cm="1">
        <f t="array" ref="T88">_xlfn.IFS(
J88&lt;630,"Low",
J88&lt;1287,"Medium",
J88&lt;1495,"Intermediate",
J88&lt;1668,"Moderately",
J88&lt;1843,"Transition",
J88&lt;2477,"High",
J88&lt;2996,"Refractory I",
TRUE,"Refractory II"
)</f>
        <v>Low</v>
      </c>
      <c r="U88">
        <f t="shared" si="4"/>
        <v>1.3923681910865133</v>
      </c>
      <c r="V88" t="str" cm="1">
        <f t="array" ref="V88">_xlfn.IFS(U88&lt;0.25,"shallow condution",
U88&lt;0.5,"transition",
U88&lt;1,"conduction",
U88&lt;1.5,"transition",U88&lt;3,"keyholeⅠ",3&lt;=U88,"keyhole Ⅱ"
)</f>
        <v>transition</v>
      </c>
      <c r="X88">
        <f t="shared" si="5"/>
        <v>0.71820083682008362</v>
      </c>
    </row>
    <row r="89" spans="1:24">
      <c r="A89" s="2" t="s">
        <v>44</v>
      </c>
      <c r="B89" s="4">
        <v>250</v>
      </c>
      <c r="C89" s="4">
        <v>600</v>
      </c>
      <c r="D89" s="4">
        <v>7.14</v>
      </c>
      <c r="E89" s="4">
        <v>7.35</v>
      </c>
      <c r="F89" s="4">
        <v>115.3</v>
      </c>
      <c r="G89" s="16" t="s">
        <v>86</v>
      </c>
      <c r="H89" s="4">
        <v>0.38800000000000001</v>
      </c>
      <c r="I89" s="4">
        <v>116</v>
      </c>
      <c r="J89" s="4">
        <v>420</v>
      </c>
      <c r="K89" s="4">
        <v>907</v>
      </c>
      <c r="L89" s="4">
        <v>0.65</v>
      </c>
      <c r="M89" s="6">
        <v>190.33</v>
      </c>
      <c r="N89" s="8">
        <v>403.32</v>
      </c>
      <c r="O89" s="20"/>
      <c r="P89" s="20"/>
      <c r="Q89" s="1">
        <f t="shared" si="3"/>
        <v>106.83760683760684</v>
      </c>
      <c r="R89" t="str" cm="1">
        <f t="array" ref="R89">_xlfn.IFS(Q89&lt;42.7, "low",
Q89&lt;85.4,"medium low",
Q89&lt;128,"medium high",
Q89&gt;=128,"high"
)</f>
        <v>medium high</v>
      </c>
      <c r="S89" t="str" cm="1">
        <f t="array" ref="S89">_xlfn.IFS(J89&lt;700,"low",J89&lt;1600,"medium low",J89&lt;2200,"medium high",J89&gt;=2200,"high")</f>
        <v>low</v>
      </c>
      <c r="T89" t="str" cm="1">
        <f t="array" ref="T89">_xlfn.IFS(
J89&lt;630,"Low",
J89&lt;1287,"Medium",
J89&lt;1495,"Intermediate",
J89&lt;1668,"Moderately",
J89&lt;1843,"Transition",
J89&lt;2477,"High",
J89&lt;2996,"Refractory I",
TRUE,"Refractory II"
)</f>
        <v>Low</v>
      </c>
      <c r="U89">
        <f t="shared" si="4"/>
        <v>2.1190563757684022</v>
      </c>
      <c r="V89" t="str" cm="1">
        <f t="array" ref="V89">_xlfn.IFS(U89&lt;0.25,"shallow condution",
U89&lt;0.5,"transition",
U89&lt;1,"conduction",
U89&lt;1.5,"transition",U89&lt;3,"keyholeⅠ",3&lt;=U89,"keyhole Ⅱ"
)</f>
        <v>keyholeⅠ</v>
      </c>
      <c r="X89">
        <f t="shared" si="5"/>
        <v>0.47190816225329768</v>
      </c>
    </row>
    <row r="90" spans="1:24">
      <c r="A90" s="2" t="s">
        <v>44</v>
      </c>
      <c r="B90" s="4">
        <v>300</v>
      </c>
      <c r="C90" s="4">
        <v>600</v>
      </c>
      <c r="D90" s="4">
        <v>7.14</v>
      </c>
      <c r="E90" s="4">
        <v>7.35</v>
      </c>
      <c r="F90" s="4">
        <v>115.3</v>
      </c>
      <c r="G90" s="16" t="s">
        <v>86</v>
      </c>
      <c r="H90" s="4">
        <v>0.38800000000000001</v>
      </c>
      <c r="I90" s="4">
        <v>116</v>
      </c>
      <c r="J90" s="4">
        <v>420</v>
      </c>
      <c r="K90" s="4">
        <v>907</v>
      </c>
      <c r="L90" s="4">
        <v>0.65</v>
      </c>
      <c r="M90" s="6">
        <v>225.47</v>
      </c>
      <c r="N90" s="8">
        <v>491.6</v>
      </c>
      <c r="O90" s="20"/>
      <c r="P90" s="20"/>
      <c r="Q90" s="1">
        <f t="shared" si="3"/>
        <v>128.2051282051282</v>
      </c>
      <c r="R90" t="str" cm="1">
        <f t="array" ref="R90">_xlfn.IFS(Q90&lt;42.7, "low",
Q90&lt;85.4,"medium low",
Q90&lt;128,"medium high",
Q90&gt;=128,"high"
)</f>
        <v>high</v>
      </c>
      <c r="S90" t="str" cm="1">
        <f t="array" ref="S90">_xlfn.IFS(J90&lt;700,"low",J90&lt;1600,"medium low",J90&lt;2200,"medium high",J90&gt;=2200,"high")</f>
        <v>low</v>
      </c>
      <c r="T90" t="str" cm="1">
        <f t="array" ref="T90">_xlfn.IFS(
J90&lt;630,"Low",
J90&lt;1287,"Medium",
J90&lt;1495,"Intermediate",
J90&lt;1668,"Moderately",
J90&lt;1843,"Transition",
J90&lt;2477,"High",
J90&lt;2996,"Refractory I",
TRUE,"Refractory II"
)</f>
        <v>Low</v>
      </c>
      <c r="U90">
        <f t="shared" si="4"/>
        <v>2.1803344125604296</v>
      </c>
      <c r="V90" t="str" cm="1">
        <f t="array" ref="V90">_xlfn.IFS(U90&lt;0.25,"shallow condution",
U90&lt;0.5,"transition",
U90&lt;1,"conduction",
U90&lt;1.5,"transition",U90&lt;3,"keyholeⅠ",3&lt;=U90,"keyhole Ⅱ"
)</f>
        <v>keyholeⅠ</v>
      </c>
      <c r="X90">
        <f t="shared" si="5"/>
        <v>0.45864524003254675</v>
      </c>
    </row>
    <row r="91" spans="1:24">
      <c r="A91" s="2" t="s">
        <v>44</v>
      </c>
      <c r="B91" s="4">
        <v>100</v>
      </c>
      <c r="C91" s="4">
        <v>900</v>
      </c>
      <c r="D91" s="4">
        <v>7.14</v>
      </c>
      <c r="E91" s="4">
        <v>7.35</v>
      </c>
      <c r="F91" s="4">
        <v>115.3</v>
      </c>
      <c r="G91" s="16" t="s">
        <v>86</v>
      </c>
      <c r="H91" s="4">
        <v>0.38800000000000001</v>
      </c>
      <c r="I91" s="4">
        <v>116</v>
      </c>
      <c r="J91" s="4">
        <v>420</v>
      </c>
      <c r="K91" s="4">
        <v>907</v>
      </c>
      <c r="L91" s="4">
        <v>0.65</v>
      </c>
      <c r="M91" s="6">
        <v>103.56</v>
      </c>
      <c r="N91" s="8">
        <v>33.9</v>
      </c>
      <c r="O91" s="20"/>
      <c r="P91" s="20"/>
      <c r="Q91" s="1">
        <f t="shared" si="3"/>
        <v>28.490028490028489</v>
      </c>
      <c r="R91" t="str" cm="1">
        <f t="array" ref="R91">_xlfn.IFS(Q91&lt;42.7, "low",
Q91&lt;85.4,"medium low",
Q91&lt;128,"medium high",
Q91&gt;=128,"high"
)</f>
        <v>low</v>
      </c>
      <c r="S91" t="str" cm="1">
        <f t="array" ref="S91">_xlfn.IFS(J91&lt;700,"low",J91&lt;1600,"medium low",J91&lt;2200,"medium high",J91&gt;=2200,"high")</f>
        <v>low</v>
      </c>
      <c r="T91" t="str" cm="1">
        <f t="array" ref="T91">_xlfn.IFS(
J91&lt;630,"Low",
J91&lt;1287,"Medium",
J91&lt;1495,"Intermediate",
J91&lt;1668,"Moderately",
J91&lt;1843,"Transition",
J91&lt;2477,"High",
J91&lt;2996,"Refractory I",
TRUE,"Refractory II"
)</f>
        <v>Low</v>
      </c>
      <c r="U91">
        <f t="shared" si="4"/>
        <v>0.32734646581691773</v>
      </c>
      <c r="V91" t="str" cm="1">
        <f t="array" ref="V91">_xlfn.IFS(U91&lt;0.25,"shallow condution",
U91&lt;0.5,"transition",
U91&lt;1,"conduction",
U91&lt;1.5,"transition",U91&lt;3,"keyholeⅠ",3&lt;=U91,"keyhole Ⅱ"
)</f>
        <v>transition</v>
      </c>
      <c r="X91">
        <f t="shared" si="5"/>
        <v>3.0548672566371682</v>
      </c>
    </row>
    <row r="92" spans="1:24">
      <c r="A92" s="2" t="s">
        <v>44</v>
      </c>
      <c r="B92" s="4">
        <v>150</v>
      </c>
      <c r="C92" s="4">
        <v>900</v>
      </c>
      <c r="D92" s="4">
        <v>7.14</v>
      </c>
      <c r="E92" s="4">
        <v>7.35</v>
      </c>
      <c r="F92" s="4">
        <v>115.3</v>
      </c>
      <c r="G92" s="16" t="s">
        <v>86</v>
      </c>
      <c r="H92" s="4">
        <v>0.38800000000000001</v>
      </c>
      <c r="I92" s="4">
        <v>116</v>
      </c>
      <c r="J92" s="4">
        <v>420</v>
      </c>
      <c r="K92" s="4">
        <v>907</v>
      </c>
      <c r="L92" s="4">
        <v>0.65</v>
      </c>
      <c r="M92" s="6">
        <v>112.2</v>
      </c>
      <c r="N92" s="8">
        <v>64.3</v>
      </c>
      <c r="O92" s="20"/>
      <c r="P92" s="20"/>
      <c r="Q92" s="1">
        <f t="shared" si="3"/>
        <v>42.735042735042732</v>
      </c>
      <c r="R92" t="str" cm="1">
        <f t="array" ref="R92">_xlfn.IFS(Q92&lt;42.7, "low",
Q92&lt;85.4,"medium low",
Q92&lt;128,"medium high",
Q92&gt;=128,"high"
)</f>
        <v>medium low</v>
      </c>
      <c r="S92" t="str" cm="1">
        <f t="array" ref="S92">_xlfn.IFS(J92&lt;700,"low",J92&lt;1600,"medium low",J92&lt;2200,"medium high",J92&gt;=2200,"high")</f>
        <v>low</v>
      </c>
      <c r="T92" t="str" cm="1">
        <f t="array" ref="T92">_xlfn.IFS(
J92&lt;630,"Low",
J92&lt;1287,"Medium",
J92&lt;1495,"Intermediate",
J92&lt;1668,"Moderately",
J92&lt;1843,"Transition",
J92&lt;2477,"High",
J92&lt;2996,"Refractory I",
TRUE,"Refractory II"
)</f>
        <v>Low</v>
      </c>
      <c r="U92">
        <f t="shared" si="4"/>
        <v>0.57308377896613183</v>
      </c>
      <c r="V92" t="str" cm="1">
        <f t="array" ref="V92">_xlfn.IFS(U92&lt;0.25,"shallow condution",
U92&lt;0.5,"transition",
U92&lt;1,"conduction",
U92&lt;1.5,"transition",U92&lt;3,"keyholeⅠ",3&lt;=U92,"keyhole Ⅱ"
)</f>
        <v>conduction</v>
      </c>
      <c r="X92">
        <f t="shared" si="5"/>
        <v>1.744945567651633</v>
      </c>
    </row>
    <row r="93" spans="1:24">
      <c r="A93" s="2" t="s">
        <v>44</v>
      </c>
      <c r="B93" s="4">
        <v>200</v>
      </c>
      <c r="C93" s="4">
        <v>900</v>
      </c>
      <c r="D93" s="4">
        <v>7.14</v>
      </c>
      <c r="E93" s="4">
        <v>7.35</v>
      </c>
      <c r="F93" s="4">
        <v>115.3</v>
      </c>
      <c r="G93" s="16" t="s">
        <v>86</v>
      </c>
      <c r="H93" s="4">
        <v>0.38800000000000001</v>
      </c>
      <c r="I93" s="4">
        <v>116</v>
      </c>
      <c r="J93" s="4">
        <v>420</v>
      </c>
      <c r="K93" s="4">
        <v>907</v>
      </c>
      <c r="L93" s="4">
        <v>0.65</v>
      </c>
      <c r="M93" s="6">
        <v>131.5</v>
      </c>
      <c r="N93" s="8">
        <v>109.1</v>
      </c>
      <c r="O93" s="20"/>
      <c r="P93" s="20"/>
      <c r="Q93" s="1">
        <f t="shared" si="3"/>
        <v>56.980056980056979</v>
      </c>
      <c r="R93" t="str" cm="1">
        <f t="array" ref="R93">_xlfn.IFS(Q93&lt;42.7, "low",
Q93&lt;85.4,"medium low",
Q93&lt;128,"medium high",
Q93&gt;=128,"high"
)</f>
        <v>medium low</v>
      </c>
      <c r="S93" t="str" cm="1">
        <f t="array" ref="S93">_xlfn.IFS(J93&lt;700,"low",J93&lt;1600,"medium low",J93&lt;2200,"medium high",J93&gt;=2200,"high")</f>
        <v>low</v>
      </c>
      <c r="T93" t="str" cm="1">
        <f t="array" ref="T93">_xlfn.IFS(
J93&lt;630,"Low",
J93&lt;1287,"Medium",
J93&lt;1495,"Intermediate",
J93&lt;1668,"Moderately",
J93&lt;1843,"Transition",
J93&lt;2477,"High",
J93&lt;2996,"Refractory I",
TRUE,"Refractory II"
)</f>
        <v>Low</v>
      </c>
      <c r="U93">
        <f t="shared" si="4"/>
        <v>0.829657794676806</v>
      </c>
      <c r="V93" t="str" cm="1">
        <f t="array" ref="V93">_xlfn.IFS(U93&lt;0.25,"shallow condution",
U93&lt;0.5,"transition",
U93&lt;1,"conduction",
U93&lt;1.5,"transition",U93&lt;3,"keyholeⅠ",3&lt;=U93,"keyhole Ⅱ"
)</f>
        <v>conduction</v>
      </c>
      <c r="X93">
        <f t="shared" si="5"/>
        <v>1.2053162236480295</v>
      </c>
    </row>
    <row r="94" spans="1:24">
      <c r="A94" s="2" t="s">
        <v>44</v>
      </c>
      <c r="B94" s="4">
        <v>250</v>
      </c>
      <c r="C94" s="4">
        <v>900</v>
      </c>
      <c r="D94" s="4">
        <v>7.14</v>
      </c>
      <c r="E94" s="4">
        <v>7.35</v>
      </c>
      <c r="F94" s="4">
        <v>115.3</v>
      </c>
      <c r="G94" s="16" t="s">
        <v>86</v>
      </c>
      <c r="H94" s="4">
        <v>0.38800000000000001</v>
      </c>
      <c r="I94" s="4">
        <v>116</v>
      </c>
      <c r="J94" s="4">
        <v>420</v>
      </c>
      <c r="K94" s="4">
        <v>907</v>
      </c>
      <c r="L94" s="4">
        <v>0.65</v>
      </c>
      <c r="M94" s="6">
        <v>140.91</v>
      </c>
      <c r="N94" s="8">
        <v>204.34</v>
      </c>
      <c r="O94" s="20"/>
      <c r="P94" s="20"/>
      <c r="Q94" s="1">
        <f t="shared" si="3"/>
        <v>71.225071225071218</v>
      </c>
      <c r="R94" t="str" cm="1">
        <f t="array" ref="R94">_xlfn.IFS(Q94&lt;42.7, "low",
Q94&lt;85.4,"medium low",
Q94&lt;128,"medium high",
Q94&gt;=128,"high"
)</f>
        <v>medium low</v>
      </c>
      <c r="S94" t="str" cm="1">
        <f t="array" ref="S94">_xlfn.IFS(J94&lt;700,"low",J94&lt;1600,"medium low",J94&lt;2200,"medium high",J94&gt;=2200,"high")</f>
        <v>low</v>
      </c>
      <c r="T94" t="str" cm="1">
        <f t="array" ref="T94">_xlfn.IFS(
J94&lt;630,"Low",
J94&lt;1287,"Medium",
J94&lt;1495,"Intermediate",
J94&lt;1668,"Moderately",
J94&lt;1843,"Transition",
J94&lt;2477,"High",
J94&lt;2996,"Refractory I",
TRUE,"Refractory II"
)</f>
        <v>Low</v>
      </c>
      <c r="U94">
        <f t="shared" si="4"/>
        <v>1.4501454829323683</v>
      </c>
      <c r="V94" t="str" cm="1">
        <f t="array" ref="V94">_xlfn.IFS(U94&lt;0.25,"shallow condution",
U94&lt;0.5,"transition",
U94&lt;1,"conduction",
U94&lt;1.5,"transition",U94&lt;3,"keyholeⅠ",3&lt;=U94,"keyhole Ⅱ"
)</f>
        <v>transition</v>
      </c>
      <c r="X94">
        <f t="shared" si="5"/>
        <v>0.68958598414407357</v>
      </c>
    </row>
    <row r="95" spans="1:24" ht="14.45" thickBot="1">
      <c r="A95" s="3" t="s">
        <v>44</v>
      </c>
      <c r="B95" s="7">
        <v>300</v>
      </c>
      <c r="C95" s="7">
        <v>900</v>
      </c>
      <c r="D95" s="7">
        <v>7.14</v>
      </c>
      <c r="E95" s="7">
        <v>7.35</v>
      </c>
      <c r="F95" s="7">
        <v>115.3</v>
      </c>
      <c r="G95" s="16" t="s">
        <v>86</v>
      </c>
      <c r="H95" s="7">
        <v>0.38800000000000001</v>
      </c>
      <c r="I95" s="7">
        <v>116</v>
      </c>
      <c r="J95" s="7">
        <v>420</v>
      </c>
      <c r="K95" s="7">
        <v>907</v>
      </c>
      <c r="L95" s="7">
        <v>0.65</v>
      </c>
      <c r="M95" s="9">
        <v>220.7</v>
      </c>
      <c r="N95" s="10">
        <v>296.97000000000003</v>
      </c>
      <c r="O95" s="20"/>
      <c r="P95" s="20"/>
      <c r="Q95" s="1">
        <f t="shared" si="3"/>
        <v>85.470085470085465</v>
      </c>
      <c r="R95" t="str" cm="1">
        <f t="array" ref="R95">_xlfn.IFS(Q95&lt;42.7, "low",
Q95&lt;85.4,"medium low",
Q95&lt;128,"medium high",
Q95&gt;=128,"high"
)</f>
        <v>medium high</v>
      </c>
      <c r="S95" t="str" cm="1">
        <f t="array" ref="S95">_xlfn.IFS(J95&lt;700,"low",J95&lt;1600,"medium low",J95&lt;2200,"medium high",J95&gt;=2200,"high")</f>
        <v>low</v>
      </c>
      <c r="T95" t="str" cm="1">
        <f t="array" ref="T95">_xlfn.IFS(
J95&lt;630,"Low",
J95&lt;1287,"Medium",
J95&lt;1495,"Intermediate",
J95&lt;1668,"Moderately",
J95&lt;1843,"Transition",
J95&lt;2477,"High",
J95&lt;2996,"Refractory I",
TRUE,"Refractory II"
)</f>
        <v>Low</v>
      </c>
      <c r="U95">
        <f t="shared" si="4"/>
        <v>1.3455822383325784</v>
      </c>
      <c r="V95" t="str" cm="1">
        <f t="array" ref="V95">_xlfn.IFS(U95&lt;0.25,"shallow condution",
U95&lt;0.5,"transition",
U95&lt;1,"conduction",
U95&lt;1.5,"transition",U95&lt;3,"keyholeⅠ",3&lt;=U95,"keyhole Ⅱ"
)</f>
        <v>transition</v>
      </c>
      <c r="X95">
        <f t="shared" si="5"/>
        <v>0.74317271104825389</v>
      </c>
    </row>
    <row r="96" spans="1:24">
      <c r="A96" s="19" t="s">
        <v>45</v>
      </c>
      <c r="B96" s="16">
        <v>200</v>
      </c>
      <c r="C96" s="16">
        <v>200</v>
      </c>
      <c r="D96" s="16">
        <v>1.85</v>
      </c>
      <c r="E96" s="16">
        <v>12.2</v>
      </c>
      <c r="F96" s="16">
        <v>292.39999999999998</v>
      </c>
      <c r="G96" s="16" t="s">
        <v>87</v>
      </c>
      <c r="H96" s="16">
        <v>1.825</v>
      </c>
      <c r="I96" s="16">
        <v>200</v>
      </c>
      <c r="J96" s="16">
        <v>1287</v>
      </c>
      <c r="K96" s="16">
        <v>2471</v>
      </c>
      <c r="L96" s="16">
        <v>0.5</v>
      </c>
      <c r="M96" s="16">
        <v>219.3</v>
      </c>
      <c r="N96" s="17">
        <v>321.99</v>
      </c>
      <c r="Q96" s="1">
        <f t="shared" si="3"/>
        <v>256.41025641025641</v>
      </c>
      <c r="R96" t="str" cm="1">
        <f t="array" ref="R96">_xlfn.IFS(Q96&lt;42.7, "low",
Q96&lt;85.4,"medium low",
Q96&lt;128,"medium high",
Q96&gt;=128,"high"
)</f>
        <v>high</v>
      </c>
      <c r="S96" t="str" cm="1">
        <f t="array" ref="S96">_xlfn.IFS(J96&lt;700,"low",J96&lt;1600,"medium low",J96&lt;2200,"medium high",J96&gt;=2200,"high")</f>
        <v>medium low</v>
      </c>
      <c r="T96" t="str" cm="1">
        <f t="array" ref="T96">_xlfn.IFS(
J96&lt;630,"Low",
J96&lt;1287,"Medium",
J96&lt;1495,"Intermediate",
J96&lt;1668,"Moderately",
J96&lt;1843,"Transition",
J96&lt;2477,"High",
J96&lt;2996,"Refractory I",
TRUE,"Refractory II"
)</f>
        <v>Intermediate</v>
      </c>
      <c r="U96">
        <f t="shared" si="4"/>
        <v>1.4682626538987689</v>
      </c>
      <c r="V96" t="str" cm="1">
        <f t="array" ref="V96">_xlfn.IFS(U96&lt;0.25,"shallow condution",
U96&lt;0.5,"transition",
U96&lt;1,"conduction",
U96&lt;1.5,"transition",U96&lt;3,"keyholeⅠ",3&lt;=U96,"keyhole Ⅱ"
)</f>
        <v>transition</v>
      </c>
      <c r="X96">
        <f t="shared" si="5"/>
        <v>0.6810770520823628</v>
      </c>
    </row>
    <row r="97" spans="1:24">
      <c r="A97" s="2" t="s">
        <v>45</v>
      </c>
      <c r="B97" s="4">
        <v>200</v>
      </c>
      <c r="C97" s="4">
        <v>400</v>
      </c>
      <c r="D97" s="4">
        <v>1.85</v>
      </c>
      <c r="E97" s="4">
        <v>12.2</v>
      </c>
      <c r="F97" s="4">
        <v>292.39999999999998</v>
      </c>
      <c r="G97" s="16" t="s">
        <v>87</v>
      </c>
      <c r="H97" s="4">
        <v>1.825</v>
      </c>
      <c r="I97" s="4">
        <v>200</v>
      </c>
      <c r="J97" s="4">
        <v>1287</v>
      </c>
      <c r="K97" s="4">
        <v>2471</v>
      </c>
      <c r="L97" s="4">
        <v>0.5</v>
      </c>
      <c r="M97" s="4">
        <v>182.86</v>
      </c>
      <c r="N97" s="5">
        <v>238.89</v>
      </c>
      <c r="Q97" s="1">
        <f t="shared" si="3"/>
        <v>128.2051282051282</v>
      </c>
      <c r="R97" t="str" cm="1">
        <f t="array" ref="R97">_xlfn.IFS(Q97&lt;42.7, "low",
Q97&lt;85.4,"medium low",
Q97&lt;128,"medium high",
Q97&gt;=128,"high"
)</f>
        <v>high</v>
      </c>
      <c r="S97" t="str" cm="1">
        <f t="array" ref="S97">_xlfn.IFS(J97&lt;700,"low",J97&lt;1600,"medium low",J97&lt;2200,"medium high",J97&gt;=2200,"high")</f>
        <v>medium low</v>
      </c>
      <c r="T97" t="str" cm="1">
        <f t="array" ref="T97">_xlfn.IFS(
J97&lt;630,"Low",
J97&lt;1287,"Medium",
J97&lt;1495,"Intermediate",
J97&lt;1668,"Moderately",
J97&lt;1843,"Transition",
J97&lt;2477,"High",
J97&lt;2996,"Refractory I",
TRUE,"Refractory II"
)</f>
        <v>Intermediate</v>
      </c>
      <c r="U97">
        <f t="shared" si="4"/>
        <v>1.3064092748550802</v>
      </c>
      <c r="V97" t="str" cm="1">
        <f t="array" ref="V97">_xlfn.IFS(U97&lt;0.25,"shallow condution",
U97&lt;0.5,"transition",
U97&lt;1,"conduction",
U97&lt;1.5,"transition",U97&lt;3,"keyholeⅠ",3&lt;=U97,"keyhole Ⅱ"
)</f>
        <v>transition</v>
      </c>
      <c r="X97">
        <f t="shared" si="5"/>
        <v>0.76545690485160545</v>
      </c>
    </row>
    <row r="98" spans="1:24">
      <c r="A98" s="2" t="s">
        <v>45</v>
      </c>
      <c r="B98" s="4">
        <v>200</v>
      </c>
      <c r="C98" s="4">
        <v>600</v>
      </c>
      <c r="D98" s="4">
        <v>1.85</v>
      </c>
      <c r="E98" s="4">
        <v>12.2</v>
      </c>
      <c r="F98" s="4">
        <v>292.39999999999998</v>
      </c>
      <c r="G98" s="16" t="s">
        <v>87</v>
      </c>
      <c r="H98" s="4">
        <v>1.825</v>
      </c>
      <c r="I98" s="4">
        <v>200</v>
      </c>
      <c r="J98" s="4">
        <v>1287</v>
      </c>
      <c r="K98" s="4">
        <v>2471</v>
      </c>
      <c r="L98" s="4">
        <v>0.5</v>
      </c>
      <c r="M98" s="4">
        <v>141.77000000000001</v>
      </c>
      <c r="N98" s="5">
        <v>164.52</v>
      </c>
      <c r="Q98" s="1">
        <f t="shared" si="3"/>
        <v>85.470085470085465</v>
      </c>
      <c r="R98" t="str" cm="1">
        <f t="array" ref="R98">_xlfn.IFS(Q98&lt;42.7, "low",
Q98&lt;85.4,"medium low",
Q98&lt;128,"medium high",
Q98&gt;=128,"high"
)</f>
        <v>medium high</v>
      </c>
      <c r="S98" t="str" cm="1">
        <f t="array" ref="S98">_xlfn.IFS(J98&lt;700,"low",J98&lt;1600,"medium low",J98&lt;2200,"medium high",J98&gt;=2200,"high")</f>
        <v>medium low</v>
      </c>
      <c r="T98" t="str" cm="1">
        <f t="array" ref="T98">_xlfn.IFS(
J98&lt;630,"Low",
J98&lt;1287,"Medium",
J98&lt;1495,"Intermediate",
J98&lt;1668,"Moderately",
J98&lt;1843,"Transition",
J98&lt;2477,"High",
J98&lt;2996,"Refractory I",
TRUE,"Refractory II"
)</f>
        <v>Intermediate</v>
      </c>
      <c r="U98">
        <f t="shared" si="4"/>
        <v>1.1604711857233547</v>
      </c>
      <c r="V98" t="str" cm="1">
        <f t="array" ref="V98">_xlfn.IFS(U98&lt;0.25,"shallow condution",
U98&lt;0.5,"transition",
U98&lt;1,"conduction",
U98&lt;1.5,"transition",U98&lt;3,"keyholeⅠ",3&lt;=U98,"keyhole Ⅱ"
)</f>
        <v>transition</v>
      </c>
      <c r="X98">
        <f t="shared" si="5"/>
        <v>0.86171893994651105</v>
      </c>
    </row>
    <row r="99" spans="1:24">
      <c r="A99" s="2" t="s">
        <v>45</v>
      </c>
      <c r="B99" s="4">
        <v>200</v>
      </c>
      <c r="C99" s="4">
        <v>800</v>
      </c>
      <c r="D99" s="4">
        <v>1.85</v>
      </c>
      <c r="E99" s="4">
        <v>12.2</v>
      </c>
      <c r="F99" s="4">
        <v>292.39999999999998</v>
      </c>
      <c r="G99" s="16" t="s">
        <v>87</v>
      </c>
      <c r="H99" s="4">
        <v>1.825</v>
      </c>
      <c r="I99" s="4">
        <v>200</v>
      </c>
      <c r="J99" s="4">
        <v>1287</v>
      </c>
      <c r="K99" s="4">
        <v>2471</v>
      </c>
      <c r="L99" s="4">
        <v>0.5</v>
      </c>
      <c r="M99" s="4">
        <v>139.31</v>
      </c>
      <c r="N99" s="5">
        <v>101.62</v>
      </c>
      <c r="Q99" s="1">
        <f t="shared" si="3"/>
        <v>64.102564102564102</v>
      </c>
      <c r="R99" t="str" cm="1">
        <f t="array" ref="R99">_xlfn.IFS(Q99&lt;42.7, "low",
Q99&lt;85.4,"medium low",
Q99&lt;128,"medium high",
Q99&gt;=128,"high"
)</f>
        <v>medium low</v>
      </c>
      <c r="S99" t="str" cm="1">
        <f t="array" ref="S99">_xlfn.IFS(J99&lt;700,"low",J99&lt;1600,"medium low",J99&lt;2200,"medium high",J99&gt;=2200,"high")</f>
        <v>medium low</v>
      </c>
      <c r="T99" t="str" cm="1">
        <f t="array" ref="T99">_xlfn.IFS(
J99&lt;630,"Low",
J99&lt;1287,"Medium",
J99&lt;1495,"Intermediate",
J99&lt;1668,"Moderately",
J99&lt;1843,"Transition",
J99&lt;2477,"High",
J99&lt;2996,"Refractory I",
TRUE,"Refractory II"
)</f>
        <v>Intermediate</v>
      </c>
      <c r="U99">
        <f t="shared" si="4"/>
        <v>0.7294523006245065</v>
      </c>
      <c r="V99" t="str" cm="1">
        <f t="array" ref="V99">_xlfn.IFS(U99&lt;0.25,"shallow condution",
U99&lt;0.5,"transition",
U99&lt;1,"conduction",
U99&lt;1.5,"transition",U99&lt;3,"keyholeⅠ",3&lt;=U99,"keyhole Ⅱ"
)</f>
        <v>conduction</v>
      </c>
      <c r="X99">
        <f t="shared" si="5"/>
        <v>1.3708915567801614</v>
      </c>
    </row>
    <row r="100" spans="1:24">
      <c r="A100" s="2" t="s">
        <v>45</v>
      </c>
      <c r="B100" s="4">
        <v>200</v>
      </c>
      <c r="C100" s="4">
        <v>1200</v>
      </c>
      <c r="D100" s="4">
        <v>1.85</v>
      </c>
      <c r="E100" s="4">
        <v>12.2</v>
      </c>
      <c r="F100" s="4">
        <v>292.39999999999998</v>
      </c>
      <c r="G100" s="16" t="s">
        <v>87</v>
      </c>
      <c r="H100" s="4">
        <v>1.825</v>
      </c>
      <c r="I100" s="4">
        <v>200</v>
      </c>
      <c r="J100" s="4">
        <v>1287</v>
      </c>
      <c r="K100" s="4">
        <v>2471</v>
      </c>
      <c r="L100" s="4">
        <v>0.5</v>
      </c>
      <c r="M100" s="4">
        <v>100.18</v>
      </c>
      <c r="N100" s="5">
        <v>53.88</v>
      </c>
      <c r="Q100" s="1">
        <f t="shared" si="3"/>
        <v>42.735042735042732</v>
      </c>
      <c r="R100" t="str" cm="1">
        <f t="array" ref="R100">_xlfn.IFS(Q100&lt;42.7, "low",
Q100&lt;85.4,"medium low",
Q100&lt;128,"medium high",
Q100&gt;=128,"high"
)</f>
        <v>medium low</v>
      </c>
      <c r="S100" t="str" cm="1">
        <f t="array" ref="S100">_xlfn.IFS(J100&lt;700,"low",J100&lt;1600,"medium low",J100&lt;2200,"medium high",J100&gt;=2200,"high")</f>
        <v>medium low</v>
      </c>
      <c r="T100" t="str" cm="1">
        <f t="array" ref="T100">_xlfn.IFS(
J100&lt;630,"Low",
J100&lt;1287,"Medium",
J100&lt;1495,"Intermediate",
J100&lt;1668,"Moderately",
J100&lt;1843,"Transition",
J100&lt;2477,"High",
J100&lt;2996,"Refractory I",
TRUE,"Refractory II"
)</f>
        <v>Intermediate</v>
      </c>
      <c r="U100">
        <f t="shared" si="4"/>
        <v>0.53783190257536428</v>
      </c>
      <c r="V100" t="str" cm="1">
        <f t="array" ref="V100">_xlfn.IFS(U100&lt;0.25,"shallow condution",
U100&lt;0.5,"transition",
U100&lt;1,"conduction",
U100&lt;1.5,"transition",U100&lt;3,"keyholeⅠ",3&lt;=U100,"keyhole Ⅱ"
)</f>
        <v>conduction</v>
      </c>
      <c r="X100">
        <f t="shared" si="5"/>
        <v>1.8593170007423905</v>
      </c>
    </row>
    <row r="101" spans="1:24">
      <c r="A101" s="2" t="s">
        <v>45</v>
      </c>
      <c r="B101" s="4">
        <v>200</v>
      </c>
      <c r="C101" s="4">
        <v>1600</v>
      </c>
      <c r="D101" s="4">
        <v>1.85</v>
      </c>
      <c r="E101" s="4">
        <v>12.2</v>
      </c>
      <c r="F101" s="4">
        <v>292.39999999999998</v>
      </c>
      <c r="G101" s="16" t="s">
        <v>87</v>
      </c>
      <c r="H101" s="4">
        <v>1.825</v>
      </c>
      <c r="I101" s="4">
        <v>200</v>
      </c>
      <c r="J101" s="4">
        <v>1287</v>
      </c>
      <c r="K101" s="4">
        <v>2471</v>
      </c>
      <c r="L101" s="4">
        <v>0.5</v>
      </c>
      <c r="M101" s="4">
        <v>57.98</v>
      </c>
      <c r="N101" s="5">
        <v>31.56</v>
      </c>
      <c r="Q101" s="1">
        <f t="shared" si="3"/>
        <v>32.051282051282051</v>
      </c>
      <c r="R101" t="str" cm="1">
        <f t="array" ref="R101">_xlfn.IFS(Q101&lt;42.7, "low",
Q101&lt;85.4,"medium low",
Q101&lt;128,"medium high",
Q101&gt;=128,"high"
)</f>
        <v>low</v>
      </c>
      <c r="S101" t="str" cm="1">
        <f t="array" ref="S101">_xlfn.IFS(J101&lt;700,"low",J101&lt;1600,"medium low",J101&lt;2200,"medium high",J101&gt;=2200,"high")</f>
        <v>medium low</v>
      </c>
      <c r="T101" t="str" cm="1">
        <f t="array" ref="T101">_xlfn.IFS(
J101&lt;630,"Low",
J101&lt;1287,"Medium",
J101&lt;1495,"Intermediate",
J101&lt;1668,"Moderately",
J101&lt;1843,"Transition",
J101&lt;2477,"High",
J101&lt;2996,"Refractory I",
TRUE,"Refractory II"
)</f>
        <v>Intermediate</v>
      </c>
      <c r="U101">
        <f t="shared" si="4"/>
        <v>0.54432562952742325</v>
      </c>
      <c r="V101" t="str" cm="1">
        <f t="array" ref="V101">_xlfn.IFS(U101&lt;0.25,"shallow condution",
U101&lt;0.5,"transition",
U101&lt;1,"conduction",
U101&lt;1.5,"transition",U101&lt;3,"keyholeⅠ",3&lt;=U101,"keyhole Ⅱ"
)</f>
        <v>conduction</v>
      </c>
      <c r="X101">
        <f t="shared" si="5"/>
        <v>1.8371356147021547</v>
      </c>
    </row>
    <row r="102" spans="1:24">
      <c r="A102" s="2" t="s">
        <v>45</v>
      </c>
      <c r="B102" s="4">
        <v>200</v>
      </c>
      <c r="C102" s="4">
        <v>2000</v>
      </c>
      <c r="D102" s="4">
        <v>1.85</v>
      </c>
      <c r="E102" s="4">
        <v>12.2</v>
      </c>
      <c r="F102" s="4">
        <v>292.39999999999998</v>
      </c>
      <c r="G102" s="16" t="s">
        <v>87</v>
      </c>
      <c r="H102" s="4">
        <v>1.825</v>
      </c>
      <c r="I102" s="4">
        <v>200</v>
      </c>
      <c r="J102" s="4">
        <v>1287</v>
      </c>
      <c r="K102" s="4">
        <v>2471</v>
      </c>
      <c r="L102" s="4">
        <v>0.5</v>
      </c>
      <c r="M102" s="4">
        <v>42.84</v>
      </c>
      <c r="N102" s="5">
        <v>18.8</v>
      </c>
      <c r="Q102" s="1">
        <f t="shared" si="3"/>
        <v>25.641025641025642</v>
      </c>
      <c r="R102" t="str" cm="1">
        <f t="array" ref="R102">_xlfn.IFS(Q102&lt;42.7, "low",
Q102&lt;85.4,"medium low",
Q102&lt;128,"medium high",
Q102&gt;=128,"high"
)</f>
        <v>low</v>
      </c>
      <c r="S102" t="str" cm="1">
        <f t="array" ref="S102">_xlfn.IFS(J102&lt;700,"low",J102&lt;1600,"medium low",J102&lt;2200,"medium high",J102&gt;=2200,"high")</f>
        <v>medium low</v>
      </c>
      <c r="T102" t="str" cm="1">
        <f t="array" ref="T102">_xlfn.IFS(
J102&lt;630,"Low",
J102&lt;1287,"Medium",
J102&lt;1495,"Intermediate",
J102&lt;1668,"Moderately",
J102&lt;1843,"Transition",
J102&lt;2477,"High",
J102&lt;2996,"Refractory I",
TRUE,"Refractory II"
)</f>
        <v>Intermediate</v>
      </c>
      <c r="U102">
        <f t="shared" si="4"/>
        <v>0.4388422035480859</v>
      </c>
      <c r="V102" t="str" cm="1">
        <f t="array" ref="V102">_xlfn.IFS(U102&lt;0.25,"shallow condution",
U102&lt;0.5,"transition",
U102&lt;1,"conduction",
U102&lt;1.5,"transition",U102&lt;3,"keyholeⅠ",3&lt;=U102,"keyhole Ⅱ"
)</f>
        <v>transition</v>
      </c>
      <c r="X102">
        <f t="shared" si="5"/>
        <v>2.2787234042553193</v>
      </c>
    </row>
    <row r="103" spans="1:24">
      <c r="A103" s="2" t="s">
        <v>45</v>
      </c>
      <c r="B103" s="4">
        <v>200</v>
      </c>
      <c r="C103" s="4">
        <v>2400</v>
      </c>
      <c r="D103" s="4">
        <v>1.85</v>
      </c>
      <c r="E103" s="4">
        <v>12.2</v>
      </c>
      <c r="F103" s="4">
        <v>292.39999999999998</v>
      </c>
      <c r="G103" s="16" t="s">
        <v>87</v>
      </c>
      <c r="H103" s="4">
        <v>1.825</v>
      </c>
      <c r="I103" s="4">
        <v>200</v>
      </c>
      <c r="J103" s="4">
        <v>1287</v>
      </c>
      <c r="K103" s="4">
        <v>2471</v>
      </c>
      <c r="L103" s="4">
        <v>0.5</v>
      </c>
      <c r="M103" s="4">
        <v>38.53</v>
      </c>
      <c r="N103" s="5">
        <v>10.9</v>
      </c>
      <c r="Q103" s="1">
        <f t="shared" si="3"/>
        <v>21.367521367521366</v>
      </c>
      <c r="R103" t="str" cm="1">
        <f t="array" ref="R103">_xlfn.IFS(Q103&lt;42.7, "low",
Q103&lt;85.4,"medium low",
Q103&lt;128,"medium high",
Q103&gt;=128,"high"
)</f>
        <v>low</v>
      </c>
      <c r="S103" t="str" cm="1">
        <f t="array" ref="S103">_xlfn.IFS(J103&lt;700,"low",J103&lt;1600,"medium low",J103&lt;2200,"medium high",J103&gt;=2200,"high")</f>
        <v>medium low</v>
      </c>
      <c r="T103" t="str" cm="1">
        <f t="array" ref="T103">_xlfn.IFS(
J103&lt;630,"Low",
J103&lt;1287,"Medium",
J103&lt;1495,"Intermediate",
J103&lt;1668,"Moderately",
J103&lt;1843,"Transition",
J103&lt;2477,"High",
J103&lt;2996,"Refractory I",
TRUE,"Refractory II"
)</f>
        <v>Intermediate</v>
      </c>
      <c r="U103">
        <f t="shared" si="4"/>
        <v>0.28289644432909422</v>
      </c>
      <c r="V103" t="str" cm="1">
        <f t="array" ref="V103">_xlfn.IFS(U103&lt;0.25,"shallow condution",
U103&lt;0.5,"transition",
U103&lt;1,"conduction",
U103&lt;1.5,"transition",U103&lt;3,"keyholeⅠ",3&lt;=U103,"keyhole Ⅱ"
)</f>
        <v>transition</v>
      </c>
      <c r="X103">
        <f t="shared" si="5"/>
        <v>3.5348623853211008</v>
      </c>
    </row>
    <row r="104" spans="1:24">
      <c r="A104" s="2" t="s">
        <v>45</v>
      </c>
      <c r="B104" s="4">
        <v>350</v>
      </c>
      <c r="C104" s="4">
        <v>400</v>
      </c>
      <c r="D104" s="4">
        <v>1.85</v>
      </c>
      <c r="E104" s="4">
        <v>12.2</v>
      </c>
      <c r="F104" s="4">
        <v>292.39999999999998</v>
      </c>
      <c r="G104" s="16" t="s">
        <v>87</v>
      </c>
      <c r="H104" s="4">
        <v>1.825</v>
      </c>
      <c r="I104" s="4">
        <v>200</v>
      </c>
      <c r="J104" s="4">
        <v>1287</v>
      </c>
      <c r="K104" s="4">
        <v>2471</v>
      </c>
      <c r="L104" s="4">
        <v>0.5</v>
      </c>
      <c r="M104" s="4">
        <v>160.82</v>
      </c>
      <c r="N104" s="5">
        <v>236</v>
      </c>
      <c r="Q104" s="1">
        <f t="shared" si="3"/>
        <v>224.35897435897436</v>
      </c>
      <c r="R104" t="str" cm="1">
        <f t="array" ref="R104">_xlfn.IFS(Q104&lt;42.7, "low",
Q104&lt;85.4,"medium low",
Q104&lt;128,"medium high",
Q104&gt;=128,"high"
)</f>
        <v>high</v>
      </c>
      <c r="S104" t="str" cm="1">
        <f t="array" ref="S104">_xlfn.IFS(J104&lt;700,"low",J104&lt;1600,"medium low",J104&lt;2200,"medium high",J104&gt;=2200,"high")</f>
        <v>medium low</v>
      </c>
      <c r="T104" t="str" cm="1">
        <f t="array" ref="T104">_xlfn.IFS(
J104&lt;630,"Low",
J104&lt;1287,"Medium",
J104&lt;1495,"Intermediate",
J104&lt;1668,"Moderately",
J104&lt;1843,"Transition",
J104&lt;2477,"High",
J104&lt;2996,"Refractory I",
TRUE,"Refractory II"
)</f>
        <v>Intermediate</v>
      </c>
      <c r="U104">
        <f t="shared" si="4"/>
        <v>1.4674791692575551</v>
      </c>
      <c r="V104" t="str" cm="1">
        <f t="array" ref="V104">_xlfn.IFS(U104&lt;0.25,"shallow condution",
U104&lt;0.5,"transition",
U104&lt;1,"conduction",
U104&lt;1.5,"transition",U104&lt;3,"keyholeⅠ",3&lt;=U104,"keyhole Ⅱ"
)</f>
        <v>transition</v>
      </c>
      <c r="X104">
        <f t="shared" si="5"/>
        <v>0.68144067796610164</v>
      </c>
    </row>
    <row r="105" spans="1:24">
      <c r="A105" s="2" t="s">
        <v>45</v>
      </c>
      <c r="B105" s="4">
        <v>350</v>
      </c>
      <c r="C105" s="4">
        <v>600</v>
      </c>
      <c r="D105" s="4">
        <v>1.85</v>
      </c>
      <c r="E105" s="4">
        <v>12.2</v>
      </c>
      <c r="F105" s="4">
        <v>292.39999999999998</v>
      </c>
      <c r="G105" s="16" t="s">
        <v>87</v>
      </c>
      <c r="H105" s="4">
        <v>1.825</v>
      </c>
      <c r="I105" s="4">
        <v>200</v>
      </c>
      <c r="J105" s="4">
        <v>1287</v>
      </c>
      <c r="K105" s="4">
        <v>2471</v>
      </c>
      <c r="L105" s="4">
        <v>0.5</v>
      </c>
      <c r="M105" s="4">
        <v>135.04</v>
      </c>
      <c r="N105" s="5">
        <v>139.11000000000001</v>
      </c>
      <c r="Q105" s="1">
        <f t="shared" si="3"/>
        <v>149.57264957264957</v>
      </c>
      <c r="R105" t="str" cm="1">
        <f t="array" ref="R105">_xlfn.IFS(Q105&lt;42.7, "low",
Q105&lt;85.4,"medium low",
Q105&lt;128,"medium high",
Q105&gt;=128,"high"
)</f>
        <v>high</v>
      </c>
      <c r="S105" t="str" cm="1">
        <f t="array" ref="S105">_xlfn.IFS(J105&lt;700,"low",J105&lt;1600,"medium low",J105&lt;2200,"medium high",J105&gt;=2200,"high")</f>
        <v>medium low</v>
      </c>
      <c r="T105" t="str" cm="1">
        <f t="array" ref="T105">_xlfn.IFS(
J105&lt;630,"Low",
J105&lt;1287,"Medium",
J105&lt;1495,"Intermediate",
J105&lt;1668,"Moderately",
J105&lt;1843,"Transition",
J105&lt;2477,"High",
J105&lt;2996,"Refractory I",
TRUE,"Refractory II"
)</f>
        <v>Intermediate</v>
      </c>
      <c r="U105">
        <f t="shared" si="4"/>
        <v>1.0301392180094788</v>
      </c>
      <c r="V105" t="str" cm="1">
        <f t="array" ref="V105">_xlfn.IFS(U105&lt;0.25,"shallow condution",
U105&lt;0.5,"transition",
U105&lt;1,"conduction",
U105&lt;1.5,"transition",U105&lt;3,"keyholeⅠ",3&lt;=U105,"keyhole Ⅱ"
)</f>
        <v>transition</v>
      </c>
      <c r="X105">
        <f t="shared" si="5"/>
        <v>0.97074257781611661</v>
      </c>
    </row>
    <row r="106" spans="1:24">
      <c r="A106" s="2" t="s">
        <v>45</v>
      </c>
      <c r="B106" s="4">
        <v>350</v>
      </c>
      <c r="C106" s="4">
        <v>800</v>
      </c>
      <c r="D106" s="4">
        <v>1.85</v>
      </c>
      <c r="E106" s="4">
        <v>12.2</v>
      </c>
      <c r="F106" s="4">
        <v>292.39999999999998</v>
      </c>
      <c r="G106" s="16" t="s">
        <v>87</v>
      </c>
      <c r="H106" s="4">
        <v>1.825</v>
      </c>
      <c r="I106" s="4">
        <v>200</v>
      </c>
      <c r="J106" s="4">
        <v>1287</v>
      </c>
      <c r="K106" s="4">
        <v>2471</v>
      </c>
      <c r="L106" s="4">
        <v>0.5</v>
      </c>
      <c r="M106" s="4">
        <v>166.91</v>
      </c>
      <c r="N106" s="5">
        <v>104.25</v>
      </c>
      <c r="Q106" s="1">
        <f t="shared" si="3"/>
        <v>112.17948717948718</v>
      </c>
      <c r="R106" t="str" cm="1">
        <f t="array" ref="R106">_xlfn.IFS(Q106&lt;42.7, "low",
Q106&lt;85.4,"medium low",
Q106&lt;128,"medium high",
Q106&gt;=128,"high"
)</f>
        <v>medium high</v>
      </c>
      <c r="S106" t="str" cm="1">
        <f t="array" ref="S106">_xlfn.IFS(J106&lt;700,"low",J106&lt;1600,"medium low",J106&lt;2200,"medium high",J106&gt;=2200,"high")</f>
        <v>medium low</v>
      </c>
      <c r="T106" t="str" cm="1">
        <f t="array" ref="T106">_xlfn.IFS(
J106&lt;630,"Low",
J106&lt;1287,"Medium",
J106&lt;1495,"Intermediate",
J106&lt;1668,"Moderately",
J106&lt;1843,"Transition",
J106&lt;2477,"High",
J106&lt;2996,"Refractory I",
TRUE,"Refractory II"
)</f>
        <v>Intermediate</v>
      </c>
      <c r="U106">
        <f t="shared" si="4"/>
        <v>0.62458810137199694</v>
      </c>
      <c r="V106" t="str" cm="1">
        <f t="array" ref="V106">_xlfn.IFS(U106&lt;0.25,"shallow condution",
U106&lt;0.5,"transition",
U106&lt;1,"conduction",
U106&lt;1.5,"transition",U106&lt;3,"keyholeⅠ",3&lt;=U106,"keyhole Ⅱ"
)</f>
        <v>conduction</v>
      </c>
      <c r="X106">
        <f t="shared" si="5"/>
        <v>1.6010551558752997</v>
      </c>
    </row>
    <row r="107" spans="1:24">
      <c r="A107" s="2" t="s">
        <v>45</v>
      </c>
      <c r="B107" s="4">
        <v>350</v>
      </c>
      <c r="C107" s="4">
        <v>1000</v>
      </c>
      <c r="D107" s="4">
        <v>1.85</v>
      </c>
      <c r="E107" s="4">
        <v>12.2</v>
      </c>
      <c r="F107" s="4">
        <v>292.39999999999998</v>
      </c>
      <c r="G107" s="16" t="s">
        <v>87</v>
      </c>
      <c r="H107" s="4">
        <v>1.825</v>
      </c>
      <c r="I107" s="4">
        <v>200</v>
      </c>
      <c r="J107" s="4">
        <v>1287</v>
      </c>
      <c r="K107" s="4">
        <v>2471</v>
      </c>
      <c r="L107" s="4">
        <v>0.5</v>
      </c>
      <c r="M107" s="4">
        <v>133.63999999999999</v>
      </c>
      <c r="N107" s="5">
        <v>69.2</v>
      </c>
      <c r="Q107" s="1">
        <f t="shared" si="3"/>
        <v>89.743589743589737</v>
      </c>
      <c r="R107" t="str" cm="1">
        <f t="array" ref="R107">_xlfn.IFS(Q107&lt;42.7, "low",
Q107&lt;85.4,"medium low",
Q107&lt;128,"medium high",
Q107&gt;=128,"high"
)</f>
        <v>medium high</v>
      </c>
      <c r="S107" t="str" cm="1">
        <f t="array" ref="S107">_xlfn.IFS(J107&lt;700,"low",J107&lt;1600,"medium low",J107&lt;2200,"medium high",J107&gt;=2200,"high")</f>
        <v>medium low</v>
      </c>
      <c r="T107" t="str" cm="1">
        <f t="array" ref="T107">_xlfn.IFS(
J107&lt;630,"Low",
J107&lt;1287,"Medium",
J107&lt;1495,"Intermediate",
J107&lt;1668,"Moderately",
J107&lt;1843,"Transition",
J107&lt;2477,"High",
J107&lt;2996,"Refractory I",
TRUE,"Refractory II"
)</f>
        <v>Intermediate</v>
      </c>
      <c r="U107">
        <f t="shared" si="4"/>
        <v>0.51780903920981747</v>
      </c>
      <c r="V107" t="str" cm="1">
        <f t="array" ref="V107">_xlfn.IFS(U107&lt;0.25,"shallow condution",
U107&lt;0.5,"transition",
U107&lt;1,"conduction",
U107&lt;1.5,"transition",U107&lt;3,"keyholeⅠ",3&lt;=U107,"keyhole Ⅱ"
)</f>
        <v>conduction</v>
      </c>
      <c r="X107">
        <f t="shared" si="5"/>
        <v>1.9312138728323696</v>
      </c>
    </row>
    <row r="108" spans="1:24">
      <c r="A108" s="2" t="s">
        <v>45</v>
      </c>
      <c r="B108" s="4">
        <v>350</v>
      </c>
      <c r="C108" s="4">
        <v>1200</v>
      </c>
      <c r="D108" s="4">
        <v>1.85</v>
      </c>
      <c r="E108" s="4">
        <v>12.2</v>
      </c>
      <c r="F108" s="4">
        <v>292.39999999999998</v>
      </c>
      <c r="G108" s="16" t="s">
        <v>87</v>
      </c>
      <c r="H108" s="4">
        <v>1.825</v>
      </c>
      <c r="I108" s="4">
        <v>200</v>
      </c>
      <c r="J108" s="4">
        <v>1287</v>
      </c>
      <c r="K108" s="4">
        <v>2471</v>
      </c>
      <c r="L108" s="4">
        <v>0.5</v>
      </c>
      <c r="M108" s="4">
        <v>115.47</v>
      </c>
      <c r="N108" s="5">
        <v>44.65</v>
      </c>
      <c r="Q108" s="1">
        <f t="shared" si="3"/>
        <v>74.786324786324784</v>
      </c>
      <c r="R108" t="str" cm="1">
        <f t="array" ref="R108">_xlfn.IFS(Q108&lt;42.7, "low",
Q108&lt;85.4,"medium low",
Q108&lt;128,"medium high",
Q108&gt;=128,"high"
)</f>
        <v>medium low</v>
      </c>
      <c r="S108" t="str" cm="1">
        <f t="array" ref="S108">_xlfn.IFS(J108&lt;700,"low",J108&lt;1600,"medium low",J108&lt;2200,"medium high",J108&gt;=2200,"high")</f>
        <v>medium low</v>
      </c>
      <c r="T108" t="str" cm="1">
        <f t="array" ref="T108">_xlfn.IFS(
J108&lt;630,"Low",
J108&lt;1287,"Medium",
J108&lt;1495,"Intermediate",
J108&lt;1668,"Moderately",
J108&lt;1843,"Transition",
J108&lt;2477,"High",
J108&lt;2996,"Refractory I",
TRUE,"Refractory II"
)</f>
        <v>Intermediate</v>
      </c>
      <c r="U108">
        <f t="shared" si="4"/>
        <v>0.38668052307958778</v>
      </c>
      <c r="V108" t="str" cm="1">
        <f t="array" ref="V108">_xlfn.IFS(U108&lt;0.25,"shallow condution",
U108&lt;0.5,"transition",
U108&lt;1,"conduction",
U108&lt;1.5,"transition",U108&lt;3,"keyholeⅠ",3&lt;=U108,"keyhole Ⅱ"
)</f>
        <v>transition</v>
      </c>
      <c r="X108">
        <f t="shared" si="5"/>
        <v>2.5861142217245243</v>
      </c>
    </row>
    <row r="109" spans="1:24">
      <c r="A109" s="2" t="s">
        <v>45</v>
      </c>
      <c r="B109" s="4">
        <v>350</v>
      </c>
      <c r="C109" s="4">
        <v>1600</v>
      </c>
      <c r="D109" s="4">
        <v>1.85</v>
      </c>
      <c r="E109" s="4">
        <v>12.2</v>
      </c>
      <c r="F109" s="4">
        <v>292.39999999999998</v>
      </c>
      <c r="G109" s="16" t="s">
        <v>87</v>
      </c>
      <c r="H109" s="4">
        <v>1.825</v>
      </c>
      <c r="I109" s="4">
        <v>200</v>
      </c>
      <c r="J109" s="4">
        <v>1287</v>
      </c>
      <c r="K109" s="4">
        <v>2471</v>
      </c>
      <c r="L109" s="4">
        <v>0.5</v>
      </c>
      <c r="M109" s="4">
        <v>104.91</v>
      </c>
      <c r="N109" s="5">
        <v>30</v>
      </c>
      <c r="Q109" s="1">
        <f t="shared" si="3"/>
        <v>56.089743589743591</v>
      </c>
      <c r="R109" t="str" cm="1">
        <f t="array" ref="R109">_xlfn.IFS(Q109&lt;42.7, "low",
Q109&lt;85.4,"medium low",
Q109&lt;128,"medium high",
Q109&gt;=128,"high"
)</f>
        <v>medium low</v>
      </c>
      <c r="S109" t="str" cm="1">
        <f t="array" ref="S109">_xlfn.IFS(J109&lt;700,"low",J109&lt;1600,"medium low",J109&lt;2200,"medium high",J109&gt;=2200,"high")</f>
        <v>medium low</v>
      </c>
      <c r="T109" t="str" cm="1">
        <f t="array" ref="T109">_xlfn.IFS(
J109&lt;630,"Low",
J109&lt;1287,"Medium",
J109&lt;1495,"Intermediate",
J109&lt;1668,"Moderately",
J109&lt;1843,"Transition",
J109&lt;2477,"High",
J109&lt;2996,"Refractory I",
TRUE,"Refractory II"
)</f>
        <v>Intermediate</v>
      </c>
      <c r="U109">
        <f t="shared" si="4"/>
        <v>0.2859593937660852</v>
      </c>
      <c r="V109" t="str" cm="1">
        <f t="array" ref="V109">_xlfn.IFS(U109&lt;0.25,"shallow condution",
U109&lt;0.5,"transition",
U109&lt;1,"conduction",
U109&lt;1.5,"transition",U109&lt;3,"keyholeⅠ",3&lt;=U109,"keyhole Ⅱ"
)</f>
        <v>transition</v>
      </c>
      <c r="X109">
        <f t="shared" si="5"/>
        <v>3.4969999999999999</v>
      </c>
    </row>
    <row r="110" spans="1:24">
      <c r="A110" s="2" t="s">
        <v>45</v>
      </c>
      <c r="B110" s="4">
        <v>350</v>
      </c>
      <c r="C110" s="4">
        <v>2000</v>
      </c>
      <c r="D110" s="4">
        <v>1.85</v>
      </c>
      <c r="E110" s="4">
        <v>12.2</v>
      </c>
      <c r="F110" s="4">
        <v>292.39999999999998</v>
      </c>
      <c r="G110" s="16" t="s">
        <v>87</v>
      </c>
      <c r="H110" s="4">
        <v>1.825</v>
      </c>
      <c r="I110" s="4">
        <v>200</v>
      </c>
      <c r="J110" s="4">
        <v>1287</v>
      </c>
      <c r="K110" s="4">
        <v>2471</v>
      </c>
      <c r="L110" s="4">
        <v>0.5</v>
      </c>
      <c r="M110" s="4">
        <v>99.67</v>
      </c>
      <c r="N110" s="5">
        <v>21.17</v>
      </c>
      <c r="Q110" s="1">
        <f t="shared" si="3"/>
        <v>44.871794871794869</v>
      </c>
      <c r="R110" t="str" cm="1">
        <f t="array" ref="R110">_xlfn.IFS(Q110&lt;42.7, "low",
Q110&lt;85.4,"medium low",
Q110&lt;128,"medium high",
Q110&gt;=128,"high"
)</f>
        <v>medium low</v>
      </c>
      <c r="S110" t="str" cm="1">
        <f t="array" ref="S110">_xlfn.IFS(J110&lt;700,"low",J110&lt;1600,"medium low",J110&lt;2200,"medium high",J110&gt;=2200,"high")</f>
        <v>medium low</v>
      </c>
      <c r="T110" t="str" cm="1">
        <f t="array" ref="T110">_xlfn.IFS(
J110&lt;630,"Low",
J110&lt;1287,"Medium",
J110&lt;1495,"Intermediate",
J110&lt;1668,"Moderately",
J110&lt;1843,"Transition",
J110&lt;2477,"High",
J110&lt;2996,"Refractory I",
TRUE,"Refractory II"
)</f>
        <v>Intermediate</v>
      </c>
      <c r="U110">
        <f t="shared" si="4"/>
        <v>0.21240092304605199</v>
      </c>
      <c r="V110" t="str" cm="1">
        <f t="array" ref="V110">_xlfn.IFS(U110&lt;0.25,"shallow condution",
U110&lt;0.5,"transition",
U110&lt;1,"conduction",
U110&lt;1.5,"transition",U110&lt;3,"keyholeⅠ",3&lt;=U110,"keyhole Ⅱ"
)</f>
        <v>shallow condution</v>
      </c>
      <c r="X110">
        <f t="shared" si="5"/>
        <v>4.7080774681152571</v>
      </c>
    </row>
    <row r="111" spans="1:24">
      <c r="A111" s="2" t="s">
        <v>45</v>
      </c>
      <c r="B111" s="4">
        <v>350</v>
      </c>
      <c r="C111" s="4">
        <v>2400</v>
      </c>
      <c r="D111" s="4">
        <v>1.85</v>
      </c>
      <c r="E111" s="4">
        <v>12.2</v>
      </c>
      <c r="F111" s="4">
        <v>292.39999999999998</v>
      </c>
      <c r="G111" s="16" t="s">
        <v>87</v>
      </c>
      <c r="H111" s="4">
        <v>1.825</v>
      </c>
      <c r="I111" s="4">
        <v>200</v>
      </c>
      <c r="J111" s="4">
        <v>1287</v>
      </c>
      <c r="K111" s="4">
        <v>2471</v>
      </c>
      <c r="L111" s="4">
        <v>0.5</v>
      </c>
      <c r="M111" s="4">
        <v>58.77</v>
      </c>
      <c r="N111" s="5">
        <v>12.95</v>
      </c>
      <c r="Q111" s="1">
        <f t="shared" si="3"/>
        <v>37.393162393162392</v>
      </c>
      <c r="R111" t="str" cm="1">
        <f t="array" ref="R111">_xlfn.IFS(Q111&lt;42.7, "low",
Q111&lt;85.4,"medium low",
Q111&lt;128,"medium high",
Q111&gt;=128,"high"
)</f>
        <v>low</v>
      </c>
      <c r="S111" t="str" cm="1">
        <f t="array" ref="S111">_xlfn.IFS(J111&lt;700,"low",J111&lt;1600,"medium low",J111&lt;2200,"medium high",J111&gt;=2200,"high")</f>
        <v>medium low</v>
      </c>
      <c r="T111" t="str" cm="1">
        <f t="array" ref="T111">_xlfn.IFS(
J111&lt;630,"Low",
J111&lt;1287,"Medium",
J111&lt;1495,"Intermediate",
J111&lt;1668,"Moderately",
J111&lt;1843,"Transition",
J111&lt;2477,"High",
J111&lt;2996,"Refractory I",
TRUE,"Refractory II"
)</f>
        <v>Intermediate</v>
      </c>
      <c r="U111">
        <f t="shared" si="4"/>
        <v>0.22035051897226474</v>
      </c>
      <c r="V111" t="str" cm="1">
        <f t="array" ref="V111">_xlfn.IFS(U111&lt;0.25,"shallow condution",
U111&lt;0.5,"transition",
U111&lt;1,"conduction",
U111&lt;1.5,"transition",U111&lt;3,"keyholeⅠ",3&lt;=U111,"keyhole Ⅱ"
)</f>
        <v>shallow condution</v>
      </c>
      <c r="X111">
        <f t="shared" si="5"/>
        <v>4.5382239382239389</v>
      </c>
    </row>
    <row r="112" spans="1:24">
      <c r="A112" s="2" t="s">
        <v>45</v>
      </c>
      <c r="B112" s="4">
        <v>100</v>
      </c>
      <c r="C112" s="4">
        <v>300</v>
      </c>
      <c r="D112" s="4">
        <v>1.85</v>
      </c>
      <c r="E112" s="4">
        <v>12.2</v>
      </c>
      <c r="F112" s="4">
        <v>292.39999999999998</v>
      </c>
      <c r="G112" s="16" t="s">
        <v>87</v>
      </c>
      <c r="H112" s="4">
        <v>1.825</v>
      </c>
      <c r="I112" s="4">
        <v>200</v>
      </c>
      <c r="J112" s="4">
        <v>1287</v>
      </c>
      <c r="K112" s="4">
        <v>2471</v>
      </c>
      <c r="L112" s="4">
        <v>0.5</v>
      </c>
      <c r="M112" s="4">
        <v>87.9</v>
      </c>
      <c r="N112" s="5">
        <v>69.78</v>
      </c>
      <c r="Q112" s="1">
        <f t="shared" si="3"/>
        <v>85.470085470085465</v>
      </c>
      <c r="R112" t="str" cm="1">
        <f t="array" ref="R112">_xlfn.IFS(Q112&lt;42.7, "low",
Q112&lt;85.4,"medium low",
Q112&lt;128,"medium high",
Q112&gt;=128,"high"
)</f>
        <v>medium high</v>
      </c>
      <c r="S112" t="str" cm="1">
        <f t="array" ref="S112">_xlfn.IFS(J112&lt;700,"low",J112&lt;1600,"medium low",J112&lt;2200,"medium high",J112&gt;=2200,"high")</f>
        <v>medium low</v>
      </c>
      <c r="T112" t="str" cm="1">
        <f t="array" ref="T112">_xlfn.IFS(
J112&lt;630,"Low",
J112&lt;1287,"Medium",
J112&lt;1495,"Intermediate",
J112&lt;1668,"Moderately",
J112&lt;1843,"Transition",
J112&lt;2477,"High",
J112&lt;2996,"Refractory I",
TRUE,"Refractory II"
)</f>
        <v>Intermediate</v>
      </c>
      <c r="U112">
        <f t="shared" si="4"/>
        <v>0.7938566552901023</v>
      </c>
      <c r="V112" t="str" cm="1">
        <f t="array" ref="V112">_xlfn.IFS(U112&lt;0.25,"shallow condution",
U112&lt;0.5,"transition",
U112&lt;1,"conduction",
U112&lt;1.5,"transition",U112&lt;3,"keyholeⅠ",3&lt;=U112,"keyhole Ⅱ"
)</f>
        <v>conduction</v>
      </c>
      <c r="X112">
        <f t="shared" si="5"/>
        <v>1.2596732588134136</v>
      </c>
    </row>
    <row r="113" spans="1:24">
      <c r="A113" s="2" t="s">
        <v>45</v>
      </c>
      <c r="B113" s="4">
        <v>150</v>
      </c>
      <c r="C113" s="4">
        <v>300</v>
      </c>
      <c r="D113" s="4">
        <v>1.85</v>
      </c>
      <c r="E113" s="4">
        <v>12.2</v>
      </c>
      <c r="F113" s="4">
        <v>292.39999999999998</v>
      </c>
      <c r="G113" s="16" t="s">
        <v>87</v>
      </c>
      <c r="H113" s="4">
        <v>1.825</v>
      </c>
      <c r="I113" s="4">
        <v>200</v>
      </c>
      <c r="J113" s="4">
        <v>1287</v>
      </c>
      <c r="K113" s="4">
        <v>2471</v>
      </c>
      <c r="L113" s="4">
        <v>0.5</v>
      </c>
      <c r="M113" s="4">
        <v>107.14</v>
      </c>
      <c r="N113" s="5">
        <v>141.35</v>
      </c>
      <c r="Q113" s="1">
        <f t="shared" si="3"/>
        <v>128.2051282051282</v>
      </c>
      <c r="R113" t="str" cm="1">
        <f t="array" ref="R113">_xlfn.IFS(Q113&lt;42.7, "low",
Q113&lt;85.4,"medium low",
Q113&lt;128,"medium high",
Q113&gt;=128,"high"
)</f>
        <v>high</v>
      </c>
      <c r="S113" t="str" cm="1">
        <f t="array" ref="S113">_xlfn.IFS(J113&lt;700,"low",J113&lt;1600,"medium low",J113&lt;2200,"medium high",J113&gt;=2200,"high")</f>
        <v>medium low</v>
      </c>
      <c r="T113" t="str" cm="1">
        <f t="array" ref="T113">_xlfn.IFS(
J113&lt;630,"Low",
J113&lt;1287,"Medium",
J113&lt;1495,"Intermediate",
J113&lt;1668,"Moderately",
J113&lt;1843,"Transition",
J113&lt;2477,"High",
J113&lt;2996,"Refractory I",
TRUE,"Refractory II"
)</f>
        <v>Intermediate</v>
      </c>
      <c r="U113">
        <f t="shared" si="4"/>
        <v>1.3193018480492813</v>
      </c>
      <c r="V113" t="str" cm="1">
        <f t="array" ref="V113">_xlfn.IFS(U113&lt;0.25,"shallow condution",
U113&lt;0.5,"transition",
U113&lt;1,"conduction",
U113&lt;1.5,"transition",U113&lt;3,"keyholeⅠ",3&lt;=U113,"keyhole Ⅱ"
)</f>
        <v>transition</v>
      </c>
      <c r="X113">
        <f t="shared" si="5"/>
        <v>0.75797665369649814</v>
      </c>
    </row>
    <row r="114" spans="1:24">
      <c r="A114" s="2" t="s">
        <v>45</v>
      </c>
      <c r="B114" s="4">
        <v>200</v>
      </c>
      <c r="C114" s="4">
        <v>300</v>
      </c>
      <c r="D114" s="4">
        <v>1.85</v>
      </c>
      <c r="E114" s="4">
        <v>12.2</v>
      </c>
      <c r="F114" s="4">
        <v>292.39999999999998</v>
      </c>
      <c r="G114" s="16" t="s">
        <v>87</v>
      </c>
      <c r="H114" s="4">
        <v>1.825</v>
      </c>
      <c r="I114" s="4">
        <v>200</v>
      </c>
      <c r="J114" s="4">
        <v>1287</v>
      </c>
      <c r="K114" s="4">
        <v>2471</v>
      </c>
      <c r="L114" s="4">
        <v>0.5</v>
      </c>
      <c r="M114" s="4">
        <v>142.58000000000001</v>
      </c>
      <c r="N114" s="5">
        <v>248.74</v>
      </c>
      <c r="Q114" s="1">
        <f t="shared" si="3"/>
        <v>170.94017094017093</v>
      </c>
      <c r="R114" t="str" cm="1">
        <f t="array" ref="R114">_xlfn.IFS(Q114&lt;42.7, "low",
Q114&lt;85.4,"medium low",
Q114&lt;128,"medium high",
Q114&gt;=128,"high"
)</f>
        <v>high</v>
      </c>
      <c r="S114" t="str" cm="1">
        <f t="array" ref="S114">_xlfn.IFS(J114&lt;700,"low",J114&lt;1600,"medium low",J114&lt;2200,"medium high",J114&gt;=2200,"high")</f>
        <v>medium low</v>
      </c>
      <c r="T114" t="str" cm="1">
        <f t="array" ref="T114">_xlfn.IFS(
J114&lt;630,"Low",
J114&lt;1287,"Medium",
J114&lt;1495,"Intermediate",
J114&lt;1668,"Moderately",
J114&lt;1843,"Transition",
J114&lt;2477,"High",
J114&lt;2996,"Refractory I",
TRUE,"Refractory II"
)</f>
        <v>Intermediate</v>
      </c>
      <c r="U114">
        <f t="shared" si="4"/>
        <v>1.744564455042783</v>
      </c>
      <c r="V114" t="str" cm="1">
        <f t="array" ref="V114">_xlfn.IFS(U114&lt;0.25,"shallow condution",
U114&lt;0.5,"transition",
U114&lt;1,"conduction",
U114&lt;1.5,"transition",U114&lt;3,"keyholeⅠ",3&lt;=U114,"keyhole Ⅱ"
)</f>
        <v>keyholeⅠ</v>
      </c>
      <c r="X114">
        <f t="shared" si="5"/>
        <v>0.57320897322505426</v>
      </c>
    </row>
    <row r="115" spans="1:24">
      <c r="A115" s="2" t="s">
        <v>45</v>
      </c>
      <c r="B115" s="4">
        <v>250</v>
      </c>
      <c r="C115" s="4">
        <v>300</v>
      </c>
      <c r="D115" s="4">
        <v>1.85</v>
      </c>
      <c r="E115" s="4">
        <v>12.2</v>
      </c>
      <c r="F115" s="4">
        <v>292.39999999999998</v>
      </c>
      <c r="G115" s="16" t="s">
        <v>87</v>
      </c>
      <c r="H115" s="4">
        <v>1.825</v>
      </c>
      <c r="I115" s="4">
        <v>200</v>
      </c>
      <c r="J115" s="4">
        <v>1287</v>
      </c>
      <c r="K115" s="4">
        <v>2471</v>
      </c>
      <c r="L115" s="4">
        <v>0.5</v>
      </c>
      <c r="M115" s="4">
        <v>161.22999999999999</v>
      </c>
      <c r="N115" s="5">
        <v>319.27999999999997</v>
      </c>
      <c r="Q115" s="1">
        <f t="shared" si="3"/>
        <v>213.67521367521368</v>
      </c>
      <c r="R115" t="str" cm="1">
        <f t="array" ref="R115">_xlfn.IFS(Q115&lt;42.7, "low",
Q115&lt;85.4,"medium low",
Q115&lt;128,"medium high",
Q115&gt;=128,"high"
)</f>
        <v>high</v>
      </c>
      <c r="S115" t="str" cm="1">
        <f t="array" ref="S115">_xlfn.IFS(J115&lt;700,"low",J115&lt;1600,"medium low",J115&lt;2200,"medium high",J115&gt;=2200,"high")</f>
        <v>medium low</v>
      </c>
      <c r="T115" t="str" cm="1">
        <f t="array" ref="T115">_xlfn.IFS(
J115&lt;630,"Low",
J115&lt;1287,"Medium",
J115&lt;1495,"Intermediate",
J115&lt;1668,"Moderately",
J115&lt;1843,"Transition",
J115&lt;2477,"High",
J115&lt;2996,"Refractory I",
TRUE,"Refractory II"
)</f>
        <v>Intermediate</v>
      </c>
      <c r="U115">
        <f t="shared" si="4"/>
        <v>1.9802766234571729</v>
      </c>
      <c r="V115" t="str" cm="1">
        <f t="array" ref="V115">_xlfn.IFS(U115&lt;0.25,"shallow condution",
U115&lt;0.5,"transition",
U115&lt;1,"conduction",
U115&lt;1.5,"transition",U115&lt;3,"keyholeⅠ",3&lt;=U115,"keyhole Ⅱ"
)</f>
        <v>keyholeⅠ</v>
      </c>
      <c r="X115">
        <f t="shared" si="5"/>
        <v>0.50497995489852165</v>
      </c>
    </row>
    <row r="116" spans="1:24">
      <c r="A116" s="2" t="s">
        <v>45</v>
      </c>
      <c r="B116" s="4">
        <v>300</v>
      </c>
      <c r="C116" s="4">
        <v>300</v>
      </c>
      <c r="D116" s="4">
        <v>1.85</v>
      </c>
      <c r="E116" s="4">
        <v>12.2</v>
      </c>
      <c r="F116" s="4">
        <v>292.39999999999998</v>
      </c>
      <c r="G116" s="16" t="s">
        <v>87</v>
      </c>
      <c r="H116" s="4">
        <v>1.825</v>
      </c>
      <c r="I116" s="4">
        <v>200</v>
      </c>
      <c r="J116" s="4">
        <v>1287</v>
      </c>
      <c r="K116" s="4">
        <v>2471</v>
      </c>
      <c r="L116" s="4">
        <v>0.5</v>
      </c>
      <c r="M116" s="4">
        <v>165.32</v>
      </c>
      <c r="N116" s="5">
        <v>360</v>
      </c>
      <c r="Q116" s="1">
        <f t="shared" si="3"/>
        <v>256.41025641025641</v>
      </c>
      <c r="R116" t="str" cm="1">
        <f t="array" ref="R116">_xlfn.IFS(Q116&lt;42.7, "low",
Q116&lt;85.4,"medium low",
Q116&lt;128,"medium high",
Q116&gt;=128,"high"
)</f>
        <v>high</v>
      </c>
      <c r="S116" t="str" cm="1">
        <f t="array" ref="S116">_xlfn.IFS(J116&lt;700,"low",J116&lt;1600,"medium low",J116&lt;2200,"medium high",J116&gt;=2200,"high")</f>
        <v>medium low</v>
      </c>
      <c r="T116" t="str" cm="1">
        <f t="array" ref="T116">_xlfn.IFS(
J116&lt;630,"Low",
J116&lt;1287,"Medium",
J116&lt;1495,"Intermediate",
J116&lt;1668,"Moderately",
J116&lt;1843,"Transition",
J116&lt;2477,"High",
J116&lt;2996,"Refractory I",
TRUE,"Refractory II"
)</f>
        <v>Intermediate</v>
      </c>
      <c r="U116">
        <f t="shared" si="4"/>
        <v>2.1775949673360757</v>
      </c>
      <c r="V116" t="str" cm="1">
        <f t="array" ref="V116">_xlfn.IFS(U116&lt;0.25,"shallow condution",
U116&lt;0.5,"transition",
U116&lt;1,"conduction",
U116&lt;1.5,"transition",U116&lt;3,"keyholeⅠ",3&lt;=U116,"keyhole Ⅱ"
)</f>
        <v>keyholeⅠ</v>
      </c>
      <c r="X116">
        <f t="shared" si="5"/>
        <v>0.4592222222222222</v>
      </c>
    </row>
    <row r="117" spans="1:24">
      <c r="A117" s="2" t="s">
        <v>45</v>
      </c>
      <c r="B117" s="4">
        <v>100</v>
      </c>
      <c r="C117" s="4">
        <v>600</v>
      </c>
      <c r="D117" s="4">
        <v>1.85</v>
      </c>
      <c r="E117" s="4">
        <v>12.2</v>
      </c>
      <c r="F117" s="4">
        <v>292.39999999999998</v>
      </c>
      <c r="G117" s="16" t="s">
        <v>87</v>
      </c>
      <c r="H117" s="4">
        <v>1.825</v>
      </c>
      <c r="I117" s="4">
        <v>200</v>
      </c>
      <c r="J117" s="4">
        <v>1287</v>
      </c>
      <c r="K117" s="4">
        <v>2471</v>
      </c>
      <c r="L117" s="4">
        <v>0.5</v>
      </c>
      <c r="M117" s="4">
        <v>62.2</v>
      </c>
      <c r="N117" s="5">
        <v>28.8</v>
      </c>
      <c r="Q117" s="1">
        <f t="shared" si="3"/>
        <v>42.735042735042732</v>
      </c>
      <c r="R117" t="str" cm="1">
        <f t="array" ref="R117">_xlfn.IFS(Q117&lt;42.7, "low",
Q117&lt;85.4,"medium low",
Q117&lt;128,"medium high",
Q117&gt;=128,"high"
)</f>
        <v>medium low</v>
      </c>
      <c r="S117" t="str" cm="1">
        <f t="array" ref="S117">_xlfn.IFS(J117&lt;700,"low",J117&lt;1600,"medium low",J117&lt;2200,"medium high",J117&gt;=2200,"high")</f>
        <v>medium low</v>
      </c>
      <c r="T117" t="str" cm="1">
        <f t="array" ref="T117">_xlfn.IFS(
J117&lt;630,"Low",
J117&lt;1287,"Medium",
J117&lt;1495,"Intermediate",
J117&lt;1668,"Moderately",
J117&lt;1843,"Transition",
J117&lt;2477,"High",
J117&lt;2996,"Refractory I",
TRUE,"Refractory II"
)</f>
        <v>Intermediate</v>
      </c>
      <c r="U117">
        <f t="shared" si="4"/>
        <v>0.46302250803858519</v>
      </c>
      <c r="V117" t="str" cm="1">
        <f t="array" ref="V117">_xlfn.IFS(U117&lt;0.25,"shallow condution",
U117&lt;0.5,"transition",
U117&lt;1,"conduction",
U117&lt;1.5,"transition",U117&lt;3,"keyholeⅠ",3&lt;=U117,"keyhole Ⅱ"
)</f>
        <v>transition</v>
      </c>
      <c r="X117">
        <f t="shared" si="5"/>
        <v>2.1597222222222223</v>
      </c>
    </row>
    <row r="118" spans="1:24">
      <c r="A118" s="2" t="s">
        <v>45</v>
      </c>
      <c r="B118" s="4">
        <v>150</v>
      </c>
      <c r="C118" s="4">
        <v>600</v>
      </c>
      <c r="D118" s="4">
        <v>1.85</v>
      </c>
      <c r="E118" s="4">
        <v>12.2</v>
      </c>
      <c r="F118" s="4">
        <v>292.39999999999998</v>
      </c>
      <c r="G118" s="16" t="s">
        <v>87</v>
      </c>
      <c r="H118" s="4">
        <v>1.825</v>
      </c>
      <c r="I118" s="4">
        <v>200</v>
      </c>
      <c r="J118" s="4">
        <v>1287</v>
      </c>
      <c r="K118" s="4">
        <v>2471</v>
      </c>
      <c r="L118" s="4">
        <v>0.5</v>
      </c>
      <c r="M118" s="4">
        <v>76.45</v>
      </c>
      <c r="N118" s="5">
        <v>41.88</v>
      </c>
      <c r="Q118" s="1">
        <f t="shared" si="3"/>
        <v>64.102564102564102</v>
      </c>
      <c r="R118" t="str" cm="1">
        <f t="array" ref="R118">_xlfn.IFS(Q118&lt;42.7, "low",
Q118&lt;85.4,"medium low",
Q118&lt;128,"medium high",
Q118&gt;=128,"high"
)</f>
        <v>medium low</v>
      </c>
      <c r="S118" t="str" cm="1">
        <f t="array" ref="S118">_xlfn.IFS(J118&lt;700,"low",J118&lt;1600,"medium low",J118&lt;2200,"medium high",J118&gt;=2200,"high")</f>
        <v>medium low</v>
      </c>
      <c r="T118" t="str" cm="1">
        <f t="array" ref="T118">_xlfn.IFS(
J118&lt;630,"Low",
J118&lt;1287,"Medium",
J118&lt;1495,"Intermediate",
J118&lt;1668,"Moderately",
J118&lt;1843,"Transition",
J118&lt;2477,"High",
J118&lt;2996,"Refractory I",
TRUE,"Refractory II"
)</f>
        <v>Intermediate</v>
      </c>
      <c r="U118">
        <f t="shared" si="4"/>
        <v>0.54780902550686728</v>
      </c>
      <c r="V118" t="str" cm="1">
        <f t="array" ref="V118">_xlfn.IFS(U118&lt;0.25,"shallow condution",
U118&lt;0.5,"transition",
U118&lt;1,"conduction",
U118&lt;1.5,"transition",U118&lt;3,"keyholeⅠ",3&lt;=U118,"keyhole Ⅱ"
)</f>
        <v>conduction</v>
      </c>
      <c r="X118">
        <f t="shared" si="5"/>
        <v>1.8254536771728749</v>
      </c>
    </row>
    <row r="119" spans="1:24">
      <c r="A119" s="2" t="s">
        <v>45</v>
      </c>
      <c r="B119" s="4">
        <v>200</v>
      </c>
      <c r="C119" s="4">
        <v>600</v>
      </c>
      <c r="D119" s="4">
        <v>1.85</v>
      </c>
      <c r="E119" s="4">
        <v>12.2</v>
      </c>
      <c r="F119" s="4">
        <v>292.39999999999998</v>
      </c>
      <c r="G119" s="16" t="s">
        <v>87</v>
      </c>
      <c r="H119" s="4">
        <v>1.825</v>
      </c>
      <c r="I119" s="4">
        <v>200</v>
      </c>
      <c r="J119" s="4">
        <v>1287</v>
      </c>
      <c r="K119" s="4">
        <v>2471</v>
      </c>
      <c r="L119" s="4">
        <v>0.5</v>
      </c>
      <c r="M119" s="4">
        <v>102.34</v>
      </c>
      <c r="N119" s="5">
        <v>107.16</v>
      </c>
      <c r="Q119" s="1">
        <f t="shared" si="3"/>
        <v>85.470085470085465</v>
      </c>
      <c r="R119" t="str" cm="1">
        <f t="array" ref="R119">_xlfn.IFS(Q119&lt;42.7, "low",
Q119&lt;85.4,"medium low",
Q119&lt;128,"medium high",
Q119&gt;=128,"high"
)</f>
        <v>medium high</v>
      </c>
      <c r="S119" t="str" cm="1">
        <f t="array" ref="S119">_xlfn.IFS(J119&lt;700,"low",J119&lt;1600,"medium low",J119&lt;2200,"medium high",J119&gt;=2200,"high")</f>
        <v>medium low</v>
      </c>
      <c r="T119" t="str" cm="1">
        <f t="array" ref="T119">_xlfn.IFS(
J119&lt;630,"Low",
J119&lt;1287,"Medium",
J119&lt;1495,"Intermediate",
J119&lt;1668,"Moderately",
J119&lt;1843,"Transition",
J119&lt;2477,"High",
J119&lt;2996,"Refractory I",
TRUE,"Refractory II"
)</f>
        <v>Intermediate</v>
      </c>
      <c r="U119">
        <f t="shared" si="4"/>
        <v>1.0470979089310142</v>
      </c>
      <c r="V119" t="str" cm="1">
        <f t="array" ref="V119">_xlfn.IFS(U119&lt;0.25,"shallow condution",
U119&lt;0.5,"transition",
U119&lt;1,"conduction",
U119&lt;1.5,"transition",U119&lt;3,"keyholeⅠ",3&lt;=U119,"keyhole Ⅱ"
)</f>
        <v>transition</v>
      </c>
      <c r="X119">
        <f t="shared" si="5"/>
        <v>0.95502053004852561</v>
      </c>
    </row>
    <row r="120" spans="1:24">
      <c r="A120" s="2" t="s">
        <v>45</v>
      </c>
      <c r="B120" s="4">
        <v>250</v>
      </c>
      <c r="C120" s="4">
        <v>600</v>
      </c>
      <c r="D120" s="4">
        <v>1.85</v>
      </c>
      <c r="E120" s="4">
        <v>12.2</v>
      </c>
      <c r="F120" s="4">
        <v>292.39999999999998</v>
      </c>
      <c r="G120" s="16" t="s">
        <v>87</v>
      </c>
      <c r="H120" s="4">
        <v>1.825</v>
      </c>
      <c r="I120" s="4">
        <v>200</v>
      </c>
      <c r="J120" s="4">
        <v>1287</v>
      </c>
      <c r="K120" s="4">
        <v>2471</v>
      </c>
      <c r="L120" s="4">
        <v>0.5</v>
      </c>
      <c r="M120" s="4">
        <v>101</v>
      </c>
      <c r="N120" s="5">
        <v>146</v>
      </c>
      <c r="Q120" s="1">
        <f t="shared" si="3"/>
        <v>106.83760683760684</v>
      </c>
      <c r="R120" t="str" cm="1">
        <f t="array" ref="R120">_xlfn.IFS(Q120&lt;42.7, "low",
Q120&lt;85.4,"medium low",
Q120&lt;128,"medium high",
Q120&gt;=128,"high"
)</f>
        <v>medium high</v>
      </c>
      <c r="S120" t="str" cm="1">
        <f t="array" ref="S120">_xlfn.IFS(J120&lt;700,"low",J120&lt;1600,"medium low",J120&lt;2200,"medium high",J120&gt;=2200,"high")</f>
        <v>medium low</v>
      </c>
      <c r="T120" t="str" cm="1">
        <f t="array" ref="T120">_xlfn.IFS(
J120&lt;630,"Low",
J120&lt;1287,"Medium",
J120&lt;1495,"Intermediate",
J120&lt;1668,"Moderately",
J120&lt;1843,"Transition",
J120&lt;2477,"High",
J120&lt;2996,"Refractory I",
TRUE,"Refractory II"
)</f>
        <v>Intermediate</v>
      </c>
      <c r="U120">
        <f t="shared" si="4"/>
        <v>1.4455445544554455</v>
      </c>
      <c r="V120" t="str" cm="1">
        <f t="array" ref="V120">_xlfn.IFS(U120&lt;0.25,"shallow condution",
U120&lt;0.5,"transition",
U120&lt;1,"conduction",
U120&lt;1.5,"transition",U120&lt;3,"keyholeⅠ",3&lt;=U120,"keyhole Ⅱ"
)</f>
        <v>transition</v>
      </c>
      <c r="X120">
        <f t="shared" si="5"/>
        <v>0.69178082191780821</v>
      </c>
    </row>
    <row r="121" spans="1:24">
      <c r="A121" s="2" t="s">
        <v>45</v>
      </c>
      <c r="B121" s="4">
        <v>300</v>
      </c>
      <c r="C121" s="4">
        <v>600</v>
      </c>
      <c r="D121" s="4">
        <v>1.85</v>
      </c>
      <c r="E121" s="4">
        <v>12.2</v>
      </c>
      <c r="F121" s="4">
        <v>292.39999999999998</v>
      </c>
      <c r="G121" s="16" t="s">
        <v>87</v>
      </c>
      <c r="H121" s="4">
        <v>1.825</v>
      </c>
      <c r="I121" s="4">
        <v>200</v>
      </c>
      <c r="J121" s="4">
        <v>1287</v>
      </c>
      <c r="K121" s="4">
        <v>2471</v>
      </c>
      <c r="L121" s="4">
        <v>0.5</v>
      </c>
      <c r="M121" s="4">
        <v>105</v>
      </c>
      <c r="N121" s="5">
        <v>168.98</v>
      </c>
      <c r="Q121" s="1">
        <f t="shared" si="3"/>
        <v>128.2051282051282</v>
      </c>
      <c r="R121" t="str" cm="1">
        <f t="array" ref="R121">_xlfn.IFS(Q121&lt;42.7, "low",
Q121&lt;85.4,"medium low",
Q121&lt;128,"medium high",
Q121&gt;=128,"high"
)</f>
        <v>high</v>
      </c>
      <c r="S121" t="str" cm="1">
        <f t="array" ref="S121">_xlfn.IFS(J121&lt;700,"low",J121&lt;1600,"medium low",J121&lt;2200,"medium high",J121&gt;=2200,"high")</f>
        <v>medium low</v>
      </c>
      <c r="T121" t="str" cm="1">
        <f t="array" ref="T121">_xlfn.IFS(
J121&lt;630,"Low",
J121&lt;1287,"Medium",
J121&lt;1495,"Intermediate",
J121&lt;1668,"Moderately",
J121&lt;1843,"Transition",
J121&lt;2477,"High",
J121&lt;2996,"Refractory I",
TRUE,"Refractory II"
)</f>
        <v>Intermediate</v>
      </c>
      <c r="U121">
        <f t="shared" si="4"/>
        <v>1.6093333333333333</v>
      </c>
      <c r="V121" t="str" cm="1">
        <f t="array" ref="V121">_xlfn.IFS(U121&lt;0.25,"shallow condution",
U121&lt;0.5,"transition",
U121&lt;1,"conduction",
U121&lt;1.5,"transition",U121&lt;3,"keyholeⅠ",3&lt;=U121,"keyhole Ⅱ"
)</f>
        <v>keyholeⅠ</v>
      </c>
      <c r="X121">
        <f t="shared" si="5"/>
        <v>0.62137531068765539</v>
      </c>
    </row>
    <row r="122" spans="1:24">
      <c r="A122" s="2" t="s">
        <v>45</v>
      </c>
      <c r="B122" s="4">
        <v>100</v>
      </c>
      <c r="C122" s="4">
        <v>900</v>
      </c>
      <c r="D122" s="4">
        <v>1.85</v>
      </c>
      <c r="E122" s="4">
        <v>12.2</v>
      </c>
      <c r="F122" s="4">
        <v>292.39999999999998</v>
      </c>
      <c r="G122" s="16" t="s">
        <v>87</v>
      </c>
      <c r="H122" s="4">
        <v>1.825</v>
      </c>
      <c r="I122" s="4">
        <v>200</v>
      </c>
      <c r="J122" s="4">
        <v>1287</v>
      </c>
      <c r="K122" s="4">
        <v>2471</v>
      </c>
      <c r="L122" s="4">
        <v>0.5</v>
      </c>
      <c r="M122" s="4">
        <v>99.97</v>
      </c>
      <c r="N122" s="5">
        <v>19.22</v>
      </c>
      <c r="Q122" s="1">
        <f t="shared" si="3"/>
        <v>28.490028490028489</v>
      </c>
      <c r="R122" t="str" cm="1">
        <f t="array" ref="R122">_xlfn.IFS(Q122&lt;42.7, "low",
Q122&lt;85.4,"medium low",
Q122&lt;128,"medium high",
Q122&gt;=128,"high"
)</f>
        <v>low</v>
      </c>
      <c r="S122" t="str" cm="1">
        <f t="array" ref="S122">_xlfn.IFS(J122&lt;700,"low",J122&lt;1600,"medium low",J122&lt;2200,"medium high",J122&gt;=2200,"high")</f>
        <v>medium low</v>
      </c>
      <c r="T122" t="str" cm="1">
        <f t="array" ref="T122">_xlfn.IFS(
J122&lt;630,"Low",
J122&lt;1287,"Medium",
J122&lt;1495,"Intermediate",
J122&lt;1668,"Moderately",
J122&lt;1843,"Transition",
J122&lt;2477,"High",
J122&lt;2996,"Refractory I",
TRUE,"Refractory II"
)</f>
        <v>Intermediate</v>
      </c>
      <c r="U122">
        <f t="shared" si="4"/>
        <v>0.19225767730319096</v>
      </c>
      <c r="V122" t="str" cm="1">
        <f t="array" ref="V122">_xlfn.IFS(U122&lt;0.25,"shallow condution",
U122&lt;0.5,"transition",
U122&lt;1,"conduction",
U122&lt;1.5,"transition",U122&lt;3,"keyholeⅠ",3&lt;=U122,"keyhole Ⅱ"
)</f>
        <v>shallow condution</v>
      </c>
      <c r="X122">
        <f t="shared" si="5"/>
        <v>5.2013527575442247</v>
      </c>
    </row>
    <row r="123" spans="1:24">
      <c r="A123" s="2" t="s">
        <v>45</v>
      </c>
      <c r="B123" s="4">
        <v>150</v>
      </c>
      <c r="C123" s="4">
        <v>900</v>
      </c>
      <c r="D123" s="4">
        <v>1.85</v>
      </c>
      <c r="E123" s="4">
        <v>12.2</v>
      </c>
      <c r="F123" s="4">
        <v>292.39999999999998</v>
      </c>
      <c r="G123" s="16" t="s">
        <v>87</v>
      </c>
      <c r="H123" s="4">
        <v>1.825</v>
      </c>
      <c r="I123" s="4">
        <v>200</v>
      </c>
      <c r="J123" s="4">
        <v>1287</v>
      </c>
      <c r="K123" s="4">
        <v>2471</v>
      </c>
      <c r="L123" s="4">
        <v>0.5</v>
      </c>
      <c r="M123" s="4">
        <v>78.209999999999994</v>
      </c>
      <c r="N123" s="5">
        <v>42.15</v>
      </c>
      <c r="Q123" s="1">
        <f t="shared" si="3"/>
        <v>42.735042735042732</v>
      </c>
      <c r="R123" t="str" cm="1">
        <f t="array" ref="R123">_xlfn.IFS(Q123&lt;42.7, "low",
Q123&lt;85.4,"medium low",
Q123&lt;128,"medium high",
Q123&gt;=128,"high"
)</f>
        <v>medium low</v>
      </c>
      <c r="S123" t="str" cm="1">
        <f t="array" ref="S123">_xlfn.IFS(J123&lt;700,"low",J123&lt;1600,"medium low",J123&lt;2200,"medium high",J123&gt;=2200,"high")</f>
        <v>medium low</v>
      </c>
      <c r="T123" t="str" cm="1">
        <f t="array" ref="T123">_xlfn.IFS(
J123&lt;630,"Low",
J123&lt;1287,"Medium",
J123&lt;1495,"Intermediate",
J123&lt;1668,"Moderately",
J123&lt;1843,"Transition",
J123&lt;2477,"High",
J123&lt;2996,"Refractory I",
TRUE,"Refractory II"
)</f>
        <v>Intermediate</v>
      </c>
      <c r="U123">
        <f t="shared" si="4"/>
        <v>0.53893364019946299</v>
      </c>
      <c r="V123" t="str" cm="1">
        <f t="array" ref="V123">_xlfn.IFS(U123&lt;0.25,"shallow condution",
U123&lt;0.5,"transition",
U123&lt;1,"conduction",
U123&lt;1.5,"transition",U123&lt;3,"keyholeⅠ",3&lt;=U123,"keyhole Ⅱ"
)</f>
        <v>conduction</v>
      </c>
      <c r="X123">
        <f t="shared" si="5"/>
        <v>1.8555160142348754</v>
      </c>
    </row>
    <row r="124" spans="1:24">
      <c r="A124" s="2" t="s">
        <v>45</v>
      </c>
      <c r="B124" s="4">
        <v>200</v>
      </c>
      <c r="C124" s="4">
        <v>900</v>
      </c>
      <c r="D124" s="4">
        <v>1.85</v>
      </c>
      <c r="E124" s="4">
        <v>12.2</v>
      </c>
      <c r="F124" s="4">
        <v>292.39999999999998</v>
      </c>
      <c r="G124" s="16" t="s">
        <v>87</v>
      </c>
      <c r="H124" s="4">
        <v>1.825</v>
      </c>
      <c r="I124" s="4">
        <v>200</v>
      </c>
      <c r="J124" s="4">
        <v>1287</v>
      </c>
      <c r="K124" s="4">
        <v>2471</v>
      </c>
      <c r="L124" s="4">
        <v>0.5</v>
      </c>
      <c r="M124" s="4">
        <v>101.56</v>
      </c>
      <c r="N124" s="5">
        <v>58.4</v>
      </c>
      <c r="Q124" s="1">
        <f t="shared" si="3"/>
        <v>56.980056980056979</v>
      </c>
      <c r="R124" t="str" cm="1">
        <f t="array" ref="R124">_xlfn.IFS(Q124&lt;42.7, "low",
Q124&lt;85.4,"medium low",
Q124&lt;128,"medium high",
Q124&gt;=128,"high"
)</f>
        <v>medium low</v>
      </c>
      <c r="S124" t="str" cm="1">
        <f t="array" ref="S124">_xlfn.IFS(J124&lt;700,"low",J124&lt;1600,"medium low",J124&lt;2200,"medium high",J124&gt;=2200,"high")</f>
        <v>medium low</v>
      </c>
      <c r="T124" t="str" cm="1">
        <f t="array" ref="T124">_xlfn.IFS(
J124&lt;630,"Low",
J124&lt;1287,"Medium",
J124&lt;1495,"Intermediate",
J124&lt;1668,"Moderately",
J124&lt;1843,"Transition",
J124&lt;2477,"High",
J124&lt;2996,"Refractory I",
TRUE,"Refractory II"
)</f>
        <v>Intermediate</v>
      </c>
      <c r="U124">
        <f t="shared" si="4"/>
        <v>0.57502953918865696</v>
      </c>
      <c r="V124" t="str" cm="1">
        <f t="array" ref="V124">_xlfn.IFS(U124&lt;0.25,"shallow condution",
U124&lt;0.5,"transition",
U124&lt;1,"conduction",
U124&lt;1.5,"transition",U124&lt;3,"keyholeⅠ",3&lt;=U124,"keyhole Ⅱ"
)</f>
        <v>conduction</v>
      </c>
      <c r="X124">
        <f t="shared" si="5"/>
        <v>1.739041095890411</v>
      </c>
    </row>
    <row r="125" spans="1:24">
      <c r="A125" s="2" t="s">
        <v>45</v>
      </c>
      <c r="B125" s="4">
        <v>250</v>
      </c>
      <c r="C125" s="4">
        <v>900</v>
      </c>
      <c r="D125" s="4">
        <v>1.85</v>
      </c>
      <c r="E125" s="4">
        <v>12.2</v>
      </c>
      <c r="F125" s="4">
        <v>292.39999999999998</v>
      </c>
      <c r="G125" s="16" t="s">
        <v>87</v>
      </c>
      <c r="H125" s="4">
        <v>1.825</v>
      </c>
      <c r="I125" s="4">
        <v>200</v>
      </c>
      <c r="J125" s="4">
        <v>1287</v>
      </c>
      <c r="K125" s="4">
        <v>2471</v>
      </c>
      <c r="L125" s="4">
        <v>0.5</v>
      </c>
      <c r="M125" s="4">
        <v>107.64</v>
      </c>
      <c r="N125" s="5">
        <v>83.8</v>
      </c>
      <c r="Q125" s="1">
        <f t="shared" si="3"/>
        <v>71.225071225071218</v>
      </c>
      <c r="R125" t="str" cm="1">
        <f t="array" ref="R125">_xlfn.IFS(Q125&lt;42.7, "low",
Q125&lt;85.4,"medium low",
Q125&lt;128,"medium high",
Q125&gt;=128,"high"
)</f>
        <v>medium low</v>
      </c>
      <c r="S125" t="str" cm="1">
        <f t="array" ref="S125">_xlfn.IFS(J125&lt;700,"low",J125&lt;1600,"medium low",J125&lt;2200,"medium high",J125&gt;=2200,"high")</f>
        <v>medium low</v>
      </c>
      <c r="T125" t="str" cm="1">
        <f t="array" ref="T125">_xlfn.IFS(
J125&lt;630,"Low",
J125&lt;1287,"Medium",
J125&lt;1495,"Intermediate",
J125&lt;1668,"Moderately",
J125&lt;1843,"Transition",
J125&lt;2477,"High",
J125&lt;2996,"Refractory I",
TRUE,"Refractory II"
)</f>
        <v>Intermediate</v>
      </c>
      <c r="U125">
        <f t="shared" si="4"/>
        <v>0.77852099591230028</v>
      </c>
      <c r="V125" t="str" cm="1">
        <f t="array" ref="V125">_xlfn.IFS(U125&lt;0.25,"shallow condution",
U125&lt;0.5,"transition",
U125&lt;1,"conduction",
U125&lt;1.5,"transition",U125&lt;3,"keyholeⅠ",3&lt;=U125,"keyhole Ⅱ"
)</f>
        <v>conduction</v>
      </c>
      <c r="X125">
        <f t="shared" si="5"/>
        <v>1.2844868735083532</v>
      </c>
    </row>
    <row r="126" spans="1:24" ht="14.45" thickBot="1">
      <c r="A126" s="3" t="s">
        <v>45</v>
      </c>
      <c r="B126" s="7">
        <v>300</v>
      </c>
      <c r="C126" s="7">
        <v>900</v>
      </c>
      <c r="D126" s="7">
        <v>1.85</v>
      </c>
      <c r="E126" s="7">
        <v>12.2</v>
      </c>
      <c r="F126" s="7">
        <v>292.39999999999998</v>
      </c>
      <c r="G126" s="16" t="s">
        <v>87</v>
      </c>
      <c r="H126" s="7">
        <v>1.825</v>
      </c>
      <c r="I126" s="7">
        <v>200</v>
      </c>
      <c r="J126" s="7">
        <v>1287</v>
      </c>
      <c r="K126" s="7">
        <v>2471</v>
      </c>
      <c r="L126" s="7">
        <v>0.5</v>
      </c>
      <c r="M126" s="7">
        <v>107.48</v>
      </c>
      <c r="N126" s="15">
        <v>107.25</v>
      </c>
      <c r="Q126" s="1">
        <f t="shared" si="3"/>
        <v>85.470085470085465</v>
      </c>
      <c r="R126" t="str" cm="1">
        <f t="array" ref="R126">_xlfn.IFS(Q126&lt;42.7, "low",
Q126&lt;85.4,"medium low",
Q126&lt;128,"medium high",
Q126&gt;=128,"high"
)</f>
        <v>medium high</v>
      </c>
      <c r="S126" t="str" cm="1">
        <f t="array" ref="S126">_xlfn.IFS(J126&lt;700,"low",J126&lt;1600,"medium low",J126&lt;2200,"medium high",J126&gt;=2200,"high")</f>
        <v>medium low</v>
      </c>
      <c r="T126" t="str" cm="1">
        <f t="array" ref="T126">_xlfn.IFS(
J126&lt;630,"Low",
J126&lt;1287,"Medium",
J126&lt;1495,"Intermediate",
J126&lt;1668,"Moderately",
J126&lt;1843,"Transition",
J126&lt;2477,"High",
J126&lt;2996,"Refractory I",
TRUE,"Refractory II"
)</f>
        <v>Intermediate</v>
      </c>
      <c r="U126">
        <f t="shared" si="4"/>
        <v>0.99786006698920726</v>
      </c>
      <c r="V126" t="str" cm="1">
        <f t="array" ref="V126">_xlfn.IFS(U126&lt;0.25,"shallow condution",
U126&lt;0.5,"transition",
U126&lt;1,"conduction",
U126&lt;1.5,"transition",U126&lt;3,"keyholeⅠ",3&lt;=U126,"keyhole Ⅱ"
)</f>
        <v>conduction</v>
      </c>
      <c r="X126">
        <f t="shared" si="5"/>
        <v>1.0021445221445222</v>
      </c>
    </row>
    <row r="127" spans="1:24">
      <c r="A127" s="19" t="s">
        <v>46</v>
      </c>
      <c r="B127" s="16">
        <v>200</v>
      </c>
      <c r="C127" s="16">
        <v>200</v>
      </c>
      <c r="D127" s="16">
        <v>4.5060000000000002</v>
      </c>
      <c r="E127" s="16">
        <v>14.15</v>
      </c>
      <c r="F127" s="16">
        <v>425</v>
      </c>
      <c r="G127" s="16" t="s">
        <v>88</v>
      </c>
      <c r="H127" s="16">
        <v>0.52300000000000002</v>
      </c>
      <c r="I127" s="16">
        <v>21.9</v>
      </c>
      <c r="J127" s="16">
        <v>1668</v>
      </c>
      <c r="K127" s="16">
        <v>3287</v>
      </c>
      <c r="L127" s="16">
        <v>0.55000000000000004</v>
      </c>
      <c r="M127" s="16">
        <v>492.85</v>
      </c>
      <c r="N127" s="17">
        <v>559.5</v>
      </c>
      <c r="Q127" s="1">
        <f t="shared" si="3"/>
        <v>256.41025641025641</v>
      </c>
      <c r="R127" t="str" cm="1">
        <f t="array" ref="R127">_xlfn.IFS(Q127&lt;42.7, "low",
Q127&lt;85.4,"medium low",
Q127&lt;128,"medium high",
Q127&gt;=128,"high"
)</f>
        <v>high</v>
      </c>
      <c r="S127" t="str" cm="1">
        <f t="array" ref="S127">_xlfn.IFS(J127&lt;700,"low",J127&lt;1600,"medium low",J127&lt;2200,"medium high",J127&gt;=2200,"high")</f>
        <v>medium high</v>
      </c>
      <c r="T127" t="str" cm="1">
        <f t="array" ref="T127">_xlfn.IFS(
J127&lt;630,"Low",
J127&lt;1287,"Medium",
J127&lt;1495,"Intermediate",
J127&lt;1668,"Moderately",
J127&lt;1843,"Transition",
J127&lt;2477,"High",
J127&lt;2996,"Refractory I",
TRUE,"Refractory II"
)</f>
        <v>Transition</v>
      </c>
      <c r="U127">
        <f t="shared" si="4"/>
        <v>1.135233843968753</v>
      </c>
      <c r="V127" t="str" cm="1">
        <f t="array" ref="V127">_xlfn.IFS(U127&lt;0.25,"shallow condution",
U127&lt;0.5,"transition",
U127&lt;1,"conduction",
U127&lt;1.5,"transition",U127&lt;3,"keyholeⅠ",3&lt;=U127,"keyhole Ⅱ"
)</f>
        <v>transition</v>
      </c>
      <c r="X127">
        <f t="shared" si="5"/>
        <v>0.88087578194816807</v>
      </c>
    </row>
    <row r="128" spans="1:24">
      <c r="A128" s="2" t="s">
        <v>46</v>
      </c>
      <c r="B128" s="4">
        <v>200</v>
      </c>
      <c r="C128" s="4">
        <v>400</v>
      </c>
      <c r="D128" s="4">
        <v>4.5060000000000002</v>
      </c>
      <c r="E128" s="4">
        <v>14.15</v>
      </c>
      <c r="F128" s="4">
        <v>425</v>
      </c>
      <c r="G128" s="16" t="s">
        <v>88</v>
      </c>
      <c r="H128" s="4">
        <v>0.52300000000000002</v>
      </c>
      <c r="I128" s="4">
        <v>21.9</v>
      </c>
      <c r="J128" s="4">
        <v>1668</v>
      </c>
      <c r="K128" s="4">
        <v>3287</v>
      </c>
      <c r="L128" s="4">
        <v>0.55000000000000004</v>
      </c>
      <c r="M128" s="4">
        <v>374.11</v>
      </c>
      <c r="N128" s="5">
        <v>256.64</v>
      </c>
      <c r="Q128" s="1">
        <f t="shared" si="3"/>
        <v>128.2051282051282</v>
      </c>
      <c r="R128" t="str" cm="1">
        <f t="array" ref="R128">_xlfn.IFS(Q128&lt;42.7, "low",
Q128&lt;85.4,"medium low",
Q128&lt;128,"medium high",
Q128&gt;=128,"high"
)</f>
        <v>high</v>
      </c>
      <c r="S128" t="str" cm="1">
        <f t="array" ref="S128">_xlfn.IFS(J128&lt;700,"low",J128&lt;1600,"medium low",J128&lt;2200,"medium high",J128&gt;=2200,"high")</f>
        <v>medium high</v>
      </c>
      <c r="T128" t="str" cm="1">
        <f t="array" ref="T128">_xlfn.IFS(
J128&lt;630,"Low",
J128&lt;1287,"Medium",
J128&lt;1495,"Intermediate",
J128&lt;1668,"Moderately",
J128&lt;1843,"Transition",
J128&lt;2477,"High",
J128&lt;2996,"Refractory I",
TRUE,"Refractory II"
)</f>
        <v>Transition</v>
      </c>
      <c r="U128">
        <f t="shared" si="4"/>
        <v>0.68600144342573033</v>
      </c>
      <c r="V128" t="str" cm="1">
        <f t="array" ref="V128">_xlfn.IFS(U128&lt;0.25,"shallow condution",
U128&lt;0.5,"transition",
U128&lt;1,"conduction",
U128&lt;1.5,"transition",U128&lt;3,"keyholeⅠ",3&lt;=U128,"keyhole Ⅱ"
)</f>
        <v>conduction</v>
      </c>
      <c r="X128">
        <f t="shared" si="5"/>
        <v>1.4577228802992519</v>
      </c>
    </row>
    <row r="129" spans="1:24">
      <c r="A129" s="2" t="s">
        <v>46</v>
      </c>
      <c r="B129" s="4">
        <v>200</v>
      </c>
      <c r="C129" s="4">
        <v>600</v>
      </c>
      <c r="D129" s="4">
        <v>4.5060000000000002</v>
      </c>
      <c r="E129" s="4">
        <v>14.15</v>
      </c>
      <c r="F129" s="4">
        <v>425</v>
      </c>
      <c r="G129" s="16" t="s">
        <v>88</v>
      </c>
      <c r="H129" s="4">
        <v>0.52300000000000002</v>
      </c>
      <c r="I129" s="4">
        <v>21.9</v>
      </c>
      <c r="J129" s="4">
        <v>1668</v>
      </c>
      <c r="K129" s="4">
        <v>3287</v>
      </c>
      <c r="L129" s="4">
        <v>0.55000000000000004</v>
      </c>
      <c r="M129" s="4">
        <v>251.34</v>
      </c>
      <c r="N129" s="5">
        <v>225.42</v>
      </c>
      <c r="Q129" s="1">
        <f t="shared" si="3"/>
        <v>85.470085470085465</v>
      </c>
      <c r="R129" t="str" cm="1">
        <f t="array" ref="R129">_xlfn.IFS(Q129&lt;42.7, "low",
Q129&lt;85.4,"medium low",
Q129&lt;128,"medium high",
Q129&gt;=128,"high"
)</f>
        <v>medium high</v>
      </c>
      <c r="S129" t="str" cm="1">
        <f t="array" ref="S129">_xlfn.IFS(J129&lt;700,"low",J129&lt;1600,"medium low",J129&lt;2200,"medium high",J129&gt;=2200,"high")</f>
        <v>medium high</v>
      </c>
      <c r="T129" t="str" cm="1">
        <f t="array" ref="T129">_xlfn.IFS(
J129&lt;630,"Low",
J129&lt;1287,"Medium",
J129&lt;1495,"Intermediate",
J129&lt;1668,"Moderately",
J129&lt;1843,"Transition",
J129&lt;2477,"High",
J129&lt;2996,"Refractory I",
TRUE,"Refractory II"
)</f>
        <v>Transition</v>
      </c>
      <c r="U129">
        <f t="shared" si="4"/>
        <v>0.89687276199570298</v>
      </c>
      <c r="V129" t="str" cm="1">
        <f t="array" ref="V129">_xlfn.IFS(U129&lt;0.25,"shallow condution",
U129&lt;0.5,"transition",
U129&lt;1,"conduction",
U129&lt;1.5,"transition",U129&lt;3,"keyholeⅠ",3&lt;=U129,"keyhole Ⅱ"
)</f>
        <v>conduction</v>
      </c>
      <c r="X129">
        <f t="shared" si="5"/>
        <v>1.1149853606601012</v>
      </c>
    </row>
    <row r="130" spans="1:24">
      <c r="A130" s="2" t="s">
        <v>46</v>
      </c>
      <c r="B130" s="4">
        <v>200</v>
      </c>
      <c r="C130" s="4">
        <v>800</v>
      </c>
      <c r="D130" s="4">
        <v>4.5060000000000002</v>
      </c>
      <c r="E130" s="4">
        <v>14.15</v>
      </c>
      <c r="F130" s="4">
        <v>425</v>
      </c>
      <c r="G130" s="16" t="s">
        <v>88</v>
      </c>
      <c r="H130" s="4">
        <v>0.52300000000000002</v>
      </c>
      <c r="I130" s="4">
        <v>21.9</v>
      </c>
      <c r="J130" s="4">
        <v>1668</v>
      </c>
      <c r="K130" s="4">
        <v>3287</v>
      </c>
      <c r="L130" s="4">
        <v>0.55000000000000004</v>
      </c>
      <c r="M130" s="4">
        <v>220.3</v>
      </c>
      <c r="N130" s="5">
        <v>116.85</v>
      </c>
      <c r="Q130" s="1">
        <f t="shared" si="3"/>
        <v>64.102564102564102</v>
      </c>
      <c r="R130" t="str" cm="1">
        <f t="array" ref="R130">_xlfn.IFS(Q130&lt;42.7, "low",
Q130&lt;85.4,"medium low",
Q130&lt;128,"medium high",
Q130&gt;=128,"high"
)</f>
        <v>medium low</v>
      </c>
      <c r="S130" t="str" cm="1">
        <f t="array" ref="S130">_xlfn.IFS(J130&lt;700,"low",J130&lt;1600,"medium low",J130&lt;2200,"medium high",J130&gt;=2200,"high")</f>
        <v>medium high</v>
      </c>
      <c r="T130" t="str" cm="1">
        <f t="array" ref="T130">_xlfn.IFS(
J130&lt;630,"Low",
J130&lt;1287,"Medium",
J130&lt;1495,"Intermediate",
J130&lt;1668,"Moderately",
J130&lt;1843,"Transition",
J130&lt;2477,"High",
J130&lt;2996,"Refractory I",
TRUE,"Refractory II"
)</f>
        <v>Transition</v>
      </c>
      <c r="U130">
        <f t="shared" si="4"/>
        <v>0.53041307308216068</v>
      </c>
      <c r="V130" t="str" cm="1">
        <f t="array" ref="V130">_xlfn.IFS(U130&lt;0.25,"shallow condution",
U130&lt;0.5,"transition",
U130&lt;1,"conduction",
U130&lt;1.5,"transition",U130&lt;3,"keyholeⅠ",3&lt;=U130,"keyhole Ⅱ"
)</f>
        <v>conduction</v>
      </c>
      <c r="X130">
        <f t="shared" si="5"/>
        <v>1.8853230637569536</v>
      </c>
    </row>
    <row r="131" spans="1:24">
      <c r="A131" s="2" t="s">
        <v>46</v>
      </c>
      <c r="B131" s="4">
        <v>200</v>
      </c>
      <c r="C131" s="4">
        <v>1200</v>
      </c>
      <c r="D131" s="4">
        <v>4.5060000000000002</v>
      </c>
      <c r="E131" s="4">
        <v>14.15</v>
      </c>
      <c r="F131" s="4">
        <v>425</v>
      </c>
      <c r="G131" s="16" t="s">
        <v>88</v>
      </c>
      <c r="H131" s="4">
        <v>0.52300000000000002</v>
      </c>
      <c r="I131" s="4">
        <v>21.9</v>
      </c>
      <c r="J131" s="4">
        <v>1668</v>
      </c>
      <c r="K131" s="4">
        <v>3287</v>
      </c>
      <c r="L131" s="4">
        <v>0.55000000000000004</v>
      </c>
      <c r="M131" s="4">
        <v>202.09</v>
      </c>
      <c r="N131" s="5">
        <v>61.06</v>
      </c>
      <c r="Q131" s="1">
        <f t="shared" si="3"/>
        <v>42.735042735042732</v>
      </c>
      <c r="R131" t="str" cm="1">
        <f t="array" ref="R131">_xlfn.IFS(Q131&lt;42.7, "low",
Q131&lt;85.4,"medium low",
Q131&lt;128,"medium high",
Q131&gt;=128,"high"
)</f>
        <v>medium low</v>
      </c>
      <c r="S131" t="str" cm="1">
        <f t="array" ref="S131">_xlfn.IFS(J131&lt;700,"low",J131&lt;1600,"medium low",J131&lt;2200,"medium high",J131&gt;=2200,"high")</f>
        <v>medium high</v>
      </c>
      <c r="T131" t="str" cm="1">
        <f t="array" ref="T131">_xlfn.IFS(
J131&lt;630,"Low",
J131&lt;1287,"Medium",
J131&lt;1495,"Intermediate",
J131&lt;1668,"Moderately",
J131&lt;1843,"Transition",
J131&lt;2477,"High",
J131&lt;2996,"Refractory I",
TRUE,"Refractory II"
)</f>
        <v>Transition</v>
      </c>
      <c r="U131">
        <f t="shared" si="4"/>
        <v>0.30214260972833884</v>
      </c>
      <c r="V131" t="str" cm="1">
        <f t="array" ref="V131">_xlfn.IFS(U131&lt;0.25,"shallow condution",
U131&lt;0.5,"transition",
U131&lt;1,"conduction",
U131&lt;1.5,"transition",U131&lt;3,"keyholeⅠ",3&lt;=U131,"keyhole Ⅱ"
)</f>
        <v>transition</v>
      </c>
      <c r="X131">
        <f t="shared" si="5"/>
        <v>3.3096953815918768</v>
      </c>
    </row>
    <row r="132" spans="1:24">
      <c r="A132" s="2" t="s">
        <v>46</v>
      </c>
      <c r="B132" s="4">
        <v>200</v>
      </c>
      <c r="C132" s="4">
        <v>1600</v>
      </c>
      <c r="D132" s="4">
        <v>4.5060000000000002</v>
      </c>
      <c r="E132" s="4">
        <v>14.15</v>
      </c>
      <c r="F132" s="4">
        <v>425</v>
      </c>
      <c r="G132" s="16" t="s">
        <v>88</v>
      </c>
      <c r="H132" s="4">
        <v>0.52300000000000002</v>
      </c>
      <c r="I132" s="4">
        <v>21.9</v>
      </c>
      <c r="J132" s="4">
        <v>1668</v>
      </c>
      <c r="K132" s="4">
        <v>3287</v>
      </c>
      <c r="L132" s="4">
        <v>0.55000000000000004</v>
      </c>
      <c r="M132" s="4">
        <v>141.06</v>
      </c>
      <c r="N132" s="5">
        <v>50.86</v>
      </c>
      <c r="Q132" s="1">
        <f t="shared" ref="Q132:Q195" si="6">B132*10^6/(C132*130*30)</f>
        <v>32.051282051282051</v>
      </c>
      <c r="R132" t="str" cm="1">
        <f t="array" ref="R132">_xlfn.IFS(Q132&lt;42.7, "low",
Q132&lt;85.4,"medium low",
Q132&lt;128,"medium high",
Q132&gt;=128,"high"
)</f>
        <v>low</v>
      </c>
      <c r="S132" t="str" cm="1">
        <f t="array" ref="S132">_xlfn.IFS(J132&lt;700,"low",J132&lt;1600,"medium low",J132&lt;2200,"medium high",J132&gt;=2200,"high")</f>
        <v>medium high</v>
      </c>
      <c r="T132" t="str" cm="1">
        <f t="array" ref="T132">_xlfn.IFS(
J132&lt;630,"Low",
J132&lt;1287,"Medium",
J132&lt;1495,"Intermediate",
J132&lt;1668,"Moderately",
J132&lt;1843,"Transition",
J132&lt;2477,"High",
J132&lt;2996,"Refractory I",
TRUE,"Refractory II"
)</f>
        <v>Transition</v>
      </c>
      <c r="U132">
        <f t="shared" ref="U132:U195" si="7">N132/M132</f>
        <v>0.36055579186161918</v>
      </c>
      <c r="V132" t="str" cm="1">
        <f t="array" ref="V132">_xlfn.IFS(U132&lt;0.25,"shallow condution",
U132&lt;0.5,"transition",
U132&lt;1,"conduction",
U132&lt;1.5,"transition",U132&lt;3,"keyholeⅠ",3&lt;=U132,"keyhole Ⅱ"
)</f>
        <v>transition</v>
      </c>
      <c r="X132">
        <f t="shared" ref="X132:X195" si="8">M132/N132</f>
        <v>2.7734958710184823</v>
      </c>
    </row>
    <row r="133" spans="1:24">
      <c r="A133" s="2" t="s">
        <v>46</v>
      </c>
      <c r="B133" s="4">
        <v>200</v>
      </c>
      <c r="C133" s="4">
        <v>2000</v>
      </c>
      <c r="D133" s="4">
        <v>4.5060000000000002</v>
      </c>
      <c r="E133" s="4">
        <v>14.15</v>
      </c>
      <c r="F133" s="4">
        <v>425</v>
      </c>
      <c r="G133" s="16" t="s">
        <v>88</v>
      </c>
      <c r="H133" s="4">
        <v>0.52300000000000002</v>
      </c>
      <c r="I133" s="4">
        <v>21.9</v>
      </c>
      <c r="J133" s="4">
        <v>1668</v>
      </c>
      <c r="K133" s="4">
        <v>3287</v>
      </c>
      <c r="L133" s="4">
        <v>0.55000000000000004</v>
      </c>
      <c r="M133" s="4">
        <v>125.88</v>
      </c>
      <c r="N133" s="5">
        <v>44.94</v>
      </c>
      <c r="Q133" s="1">
        <f t="shared" si="6"/>
        <v>25.641025641025642</v>
      </c>
      <c r="R133" t="str" cm="1">
        <f t="array" ref="R133">_xlfn.IFS(Q133&lt;42.7, "low",
Q133&lt;85.4,"medium low",
Q133&lt;128,"medium high",
Q133&gt;=128,"high"
)</f>
        <v>low</v>
      </c>
      <c r="S133" t="str" cm="1">
        <f t="array" ref="S133">_xlfn.IFS(J133&lt;700,"low",J133&lt;1600,"medium low",J133&lt;2200,"medium high",J133&gt;=2200,"high")</f>
        <v>medium high</v>
      </c>
      <c r="T133" t="str" cm="1">
        <f t="array" ref="T133">_xlfn.IFS(
J133&lt;630,"Low",
J133&lt;1287,"Medium",
J133&lt;1495,"Intermediate",
J133&lt;1668,"Moderately",
J133&lt;1843,"Transition",
J133&lt;2477,"High",
J133&lt;2996,"Refractory I",
TRUE,"Refractory II"
)</f>
        <v>Transition</v>
      </c>
      <c r="U133">
        <f t="shared" si="7"/>
        <v>0.35700667302192562</v>
      </c>
      <c r="V133" t="str" cm="1">
        <f t="array" ref="V133">_xlfn.IFS(U133&lt;0.25,"shallow condution",
U133&lt;0.5,"transition",
U133&lt;1,"conduction",
U133&lt;1.5,"transition",U133&lt;3,"keyholeⅠ",3&lt;=U133,"keyhole Ⅱ"
)</f>
        <v>transition</v>
      </c>
      <c r="X133">
        <f t="shared" si="8"/>
        <v>2.8010680907877168</v>
      </c>
    </row>
    <row r="134" spans="1:24">
      <c r="A134" s="2" t="s">
        <v>46</v>
      </c>
      <c r="B134" s="4">
        <v>200</v>
      </c>
      <c r="C134" s="4">
        <v>2400</v>
      </c>
      <c r="D134" s="4">
        <v>4.5060000000000002</v>
      </c>
      <c r="E134" s="4">
        <v>14.15</v>
      </c>
      <c r="F134" s="4">
        <v>425</v>
      </c>
      <c r="G134" s="16" t="s">
        <v>88</v>
      </c>
      <c r="H134" s="4">
        <v>0.52300000000000002</v>
      </c>
      <c r="I134" s="4">
        <v>21.9</v>
      </c>
      <c r="J134" s="4">
        <v>1668</v>
      </c>
      <c r="K134" s="4">
        <v>3287</v>
      </c>
      <c r="L134" s="4">
        <v>0.55000000000000004</v>
      </c>
      <c r="M134" s="4">
        <v>115.29</v>
      </c>
      <c r="N134" s="5">
        <v>37.49</v>
      </c>
      <c r="Q134" s="1">
        <f t="shared" si="6"/>
        <v>21.367521367521366</v>
      </c>
      <c r="R134" t="str" cm="1">
        <f t="array" ref="R134">_xlfn.IFS(Q134&lt;42.7, "low",
Q134&lt;85.4,"medium low",
Q134&lt;128,"medium high",
Q134&gt;=128,"high"
)</f>
        <v>low</v>
      </c>
      <c r="S134" t="str" cm="1">
        <f t="array" ref="S134">_xlfn.IFS(J134&lt;700,"low",J134&lt;1600,"medium low",J134&lt;2200,"medium high",J134&gt;=2200,"high")</f>
        <v>medium high</v>
      </c>
      <c r="T134" t="str" cm="1">
        <f t="array" ref="T134">_xlfn.IFS(
J134&lt;630,"Low",
J134&lt;1287,"Medium",
J134&lt;1495,"Intermediate",
J134&lt;1668,"Moderately",
J134&lt;1843,"Transition",
J134&lt;2477,"High",
J134&lt;2996,"Refractory I",
TRUE,"Refractory II"
)</f>
        <v>Transition</v>
      </c>
      <c r="U134">
        <f t="shared" si="7"/>
        <v>0.32517998091768585</v>
      </c>
      <c r="V134" t="str" cm="1">
        <f t="array" ref="V134">_xlfn.IFS(U134&lt;0.25,"shallow condution",
U134&lt;0.5,"transition",
U134&lt;1,"conduction",
U134&lt;1.5,"transition",U134&lt;3,"keyholeⅠ",3&lt;=U134,"keyhole Ⅱ"
)</f>
        <v>transition</v>
      </c>
      <c r="X134">
        <f t="shared" si="8"/>
        <v>3.0752200586823153</v>
      </c>
    </row>
    <row r="135" spans="1:24">
      <c r="A135" s="2" t="s">
        <v>46</v>
      </c>
      <c r="B135" s="4">
        <v>350</v>
      </c>
      <c r="C135" s="4">
        <v>400</v>
      </c>
      <c r="D135" s="4">
        <v>4.5060000000000002</v>
      </c>
      <c r="E135" s="4">
        <v>14.15</v>
      </c>
      <c r="F135" s="4">
        <v>425</v>
      </c>
      <c r="G135" s="16" t="s">
        <v>88</v>
      </c>
      <c r="H135" s="4">
        <v>0.52300000000000002</v>
      </c>
      <c r="I135" s="4">
        <v>21.9</v>
      </c>
      <c r="J135" s="4">
        <v>1668</v>
      </c>
      <c r="K135" s="4">
        <v>3287</v>
      </c>
      <c r="L135" s="4">
        <v>0.55000000000000004</v>
      </c>
      <c r="M135" s="4">
        <v>309.16000000000003</v>
      </c>
      <c r="N135" s="5">
        <v>260.31</v>
      </c>
      <c r="Q135" s="1">
        <f t="shared" si="6"/>
        <v>224.35897435897436</v>
      </c>
      <c r="R135" t="str" cm="1">
        <f t="array" ref="R135">_xlfn.IFS(Q135&lt;42.7, "low",
Q135&lt;85.4,"medium low",
Q135&lt;128,"medium high",
Q135&gt;=128,"high"
)</f>
        <v>high</v>
      </c>
      <c r="S135" t="str" cm="1">
        <f t="array" ref="S135">_xlfn.IFS(J135&lt;700,"low",J135&lt;1600,"medium low",J135&lt;2200,"medium high",J135&gt;=2200,"high")</f>
        <v>medium high</v>
      </c>
      <c r="T135" t="str" cm="1">
        <f t="array" ref="T135">_xlfn.IFS(
J135&lt;630,"Low",
J135&lt;1287,"Medium",
J135&lt;1495,"Intermediate",
J135&lt;1668,"Moderately",
J135&lt;1843,"Transition",
J135&lt;2477,"High",
J135&lt;2996,"Refractory I",
TRUE,"Refractory II"
)</f>
        <v>Transition</v>
      </c>
      <c r="U135">
        <f t="shared" si="7"/>
        <v>0.84199120196661914</v>
      </c>
      <c r="V135" t="str" cm="1">
        <f t="array" ref="V135">_xlfn.IFS(U135&lt;0.25,"shallow condution",
U135&lt;0.5,"transition",
U135&lt;1,"conduction",
U135&lt;1.5,"transition",U135&lt;3,"keyholeⅠ",3&lt;=U135,"keyhole Ⅱ"
)</f>
        <v>conduction</v>
      </c>
      <c r="X135">
        <f t="shared" si="8"/>
        <v>1.1876608658906689</v>
      </c>
    </row>
    <row r="136" spans="1:24">
      <c r="A136" s="2" t="s">
        <v>46</v>
      </c>
      <c r="B136" s="4">
        <v>350</v>
      </c>
      <c r="C136" s="4">
        <v>600</v>
      </c>
      <c r="D136" s="4">
        <v>4.5060000000000002</v>
      </c>
      <c r="E136" s="4">
        <v>14.15</v>
      </c>
      <c r="F136" s="4">
        <v>425</v>
      </c>
      <c r="G136" s="16" t="s">
        <v>88</v>
      </c>
      <c r="H136" s="4">
        <v>0.52300000000000002</v>
      </c>
      <c r="I136" s="4">
        <v>21.9</v>
      </c>
      <c r="J136" s="4">
        <v>1668</v>
      </c>
      <c r="K136" s="4">
        <v>3287</v>
      </c>
      <c r="L136" s="4">
        <v>0.55000000000000004</v>
      </c>
      <c r="M136" s="4">
        <v>282.58</v>
      </c>
      <c r="N136" s="5">
        <v>188.77</v>
      </c>
      <c r="Q136" s="1">
        <f t="shared" si="6"/>
        <v>149.57264957264957</v>
      </c>
      <c r="R136" t="str" cm="1">
        <f t="array" ref="R136">_xlfn.IFS(Q136&lt;42.7, "low",
Q136&lt;85.4,"medium low",
Q136&lt;128,"medium high",
Q136&gt;=128,"high"
)</f>
        <v>high</v>
      </c>
      <c r="S136" t="str" cm="1">
        <f t="array" ref="S136">_xlfn.IFS(J136&lt;700,"low",J136&lt;1600,"medium low",J136&lt;2200,"medium high",J136&gt;=2200,"high")</f>
        <v>medium high</v>
      </c>
      <c r="T136" t="str" cm="1">
        <f t="array" ref="T136">_xlfn.IFS(
J136&lt;630,"Low",
J136&lt;1287,"Medium",
J136&lt;1495,"Intermediate",
J136&lt;1668,"Moderately",
J136&lt;1843,"Transition",
J136&lt;2477,"High",
J136&lt;2996,"Refractory I",
TRUE,"Refractory II"
)</f>
        <v>Transition</v>
      </c>
      <c r="U136">
        <f t="shared" si="7"/>
        <v>0.66802321466487369</v>
      </c>
      <c r="V136" t="str" cm="1">
        <f t="array" ref="V136">_xlfn.IFS(U136&lt;0.25,"shallow condution",
U136&lt;0.5,"transition",
U136&lt;1,"conduction",
U136&lt;1.5,"transition",U136&lt;3,"keyholeⅠ",3&lt;=U136,"keyhole Ⅱ"
)</f>
        <v>conduction</v>
      </c>
      <c r="X136">
        <f t="shared" si="8"/>
        <v>1.4969539651427661</v>
      </c>
    </row>
    <row r="137" spans="1:24">
      <c r="A137" s="2" t="s">
        <v>46</v>
      </c>
      <c r="B137" s="4">
        <v>350</v>
      </c>
      <c r="C137" s="4">
        <v>800</v>
      </c>
      <c r="D137" s="4">
        <v>4.5060000000000002</v>
      </c>
      <c r="E137" s="4">
        <v>14.15</v>
      </c>
      <c r="F137" s="4">
        <v>425</v>
      </c>
      <c r="G137" s="16" t="s">
        <v>88</v>
      </c>
      <c r="H137" s="4">
        <v>0.52300000000000002</v>
      </c>
      <c r="I137" s="4">
        <v>21.9</v>
      </c>
      <c r="J137" s="4">
        <v>1668</v>
      </c>
      <c r="K137" s="4">
        <v>3287</v>
      </c>
      <c r="L137" s="4">
        <v>0.55000000000000004</v>
      </c>
      <c r="M137" s="4">
        <v>241.1</v>
      </c>
      <c r="N137" s="5">
        <v>157.91</v>
      </c>
      <c r="Q137" s="1">
        <f t="shared" si="6"/>
        <v>112.17948717948718</v>
      </c>
      <c r="R137" t="str" cm="1">
        <f t="array" ref="R137">_xlfn.IFS(Q137&lt;42.7, "low",
Q137&lt;85.4,"medium low",
Q137&lt;128,"medium high",
Q137&gt;=128,"high"
)</f>
        <v>medium high</v>
      </c>
      <c r="S137" t="str" cm="1">
        <f t="array" ref="S137">_xlfn.IFS(J137&lt;700,"low",J137&lt;1600,"medium low",J137&lt;2200,"medium high",J137&gt;=2200,"high")</f>
        <v>medium high</v>
      </c>
      <c r="T137" t="str" cm="1">
        <f t="array" ref="T137">_xlfn.IFS(
J137&lt;630,"Low",
J137&lt;1287,"Medium",
J137&lt;1495,"Intermediate",
J137&lt;1668,"Moderately",
J137&lt;1843,"Transition",
J137&lt;2477,"High",
J137&lt;2996,"Refractory I",
TRUE,"Refractory II"
)</f>
        <v>Transition</v>
      </c>
      <c r="U137">
        <f t="shared" si="7"/>
        <v>0.65495644960597266</v>
      </c>
      <c r="V137" t="str" cm="1">
        <f t="array" ref="V137">_xlfn.IFS(U137&lt;0.25,"shallow condution",
U137&lt;0.5,"transition",
U137&lt;1,"conduction",
U137&lt;1.5,"transition",U137&lt;3,"keyholeⅠ",3&lt;=U137,"keyhole Ⅱ"
)</f>
        <v>conduction</v>
      </c>
      <c r="X137">
        <f t="shared" si="8"/>
        <v>1.5268190741561649</v>
      </c>
    </row>
    <row r="138" spans="1:24">
      <c r="A138" s="2" t="s">
        <v>46</v>
      </c>
      <c r="B138" s="4">
        <v>350</v>
      </c>
      <c r="C138" s="4">
        <v>1000</v>
      </c>
      <c r="D138" s="4">
        <v>4.5060000000000002</v>
      </c>
      <c r="E138" s="4">
        <v>14.15</v>
      </c>
      <c r="F138" s="4">
        <v>425</v>
      </c>
      <c r="G138" s="16" t="s">
        <v>88</v>
      </c>
      <c r="H138" s="4">
        <v>0.52300000000000002</v>
      </c>
      <c r="I138" s="4">
        <v>21.9</v>
      </c>
      <c r="J138" s="4">
        <v>1668</v>
      </c>
      <c r="K138" s="4">
        <v>3287</v>
      </c>
      <c r="L138" s="4">
        <v>0.55000000000000004</v>
      </c>
      <c r="M138" s="4">
        <v>187.6</v>
      </c>
      <c r="N138" s="5">
        <v>131.65</v>
      </c>
      <c r="Q138" s="1">
        <f t="shared" si="6"/>
        <v>89.743589743589737</v>
      </c>
      <c r="R138" t="str" cm="1">
        <f t="array" ref="R138">_xlfn.IFS(Q138&lt;42.7, "low",
Q138&lt;85.4,"medium low",
Q138&lt;128,"medium high",
Q138&gt;=128,"high"
)</f>
        <v>medium high</v>
      </c>
      <c r="S138" t="str" cm="1">
        <f t="array" ref="S138">_xlfn.IFS(J138&lt;700,"low",J138&lt;1600,"medium low",J138&lt;2200,"medium high",J138&gt;=2200,"high")</f>
        <v>medium high</v>
      </c>
      <c r="T138" t="str" cm="1">
        <f t="array" ref="T138">_xlfn.IFS(
J138&lt;630,"Low",
J138&lt;1287,"Medium",
J138&lt;1495,"Intermediate",
J138&lt;1668,"Moderately",
J138&lt;1843,"Transition",
J138&lt;2477,"High",
J138&lt;2996,"Refractory I",
TRUE,"Refractory II"
)</f>
        <v>Transition</v>
      </c>
      <c r="U138">
        <f t="shared" si="7"/>
        <v>0.70175906183368875</v>
      </c>
      <c r="V138" t="str" cm="1">
        <f t="array" ref="V138">_xlfn.IFS(U138&lt;0.25,"shallow condution",
U138&lt;0.5,"transition",
U138&lt;1,"conduction",
U138&lt;1.5,"transition",U138&lt;3,"keyholeⅠ",3&lt;=U138,"keyhole Ⅱ"
)</f>
        <v>conduction</v>
      </c>
      <c r="X138">
        <f t="shared" si="8"/>
        <v>1.4249905051272311</v>
      </c>
    </row>
    <row r="139" spans="1:24">
      <c r="A139" s="2" t="s">
        <v>46</v>
      </c>
      <c r="B139" s="4">
        <v>350</v>
      </c>
      <c r="C139" s="4">
        <v>1200</v>
      </c>
      <c r="D139" s="4">
        <v>4.5060000000000002</v>
      </c>
      <c r="E139" s="4">
        <v>14.15</v>
      </c>
      <c r="F139" s="4">
        <v>425</v>
      </c>
      <c r="G139" s="16" t="s">
        <v>88</v>
      </c>
      <c r="H139" s="4">
        <v>0.52300000000000002</v>
      </c>
      <c r="I139" s="4">
        <v>21.9</v>
      </c>
      <c r="J139" s="4">
        <v>1668</v>
      </c>
      <c r="K139" s="4">
        <v>3287</v>
      </c>
      <c r="L139" s="4">
        <v>0.55000000000000004</v>
      </c>
      <c r="M139" s="4">
        <v>166.03</v>
      </c>
      <c r="N139" s="5">
        <v>110.32</v>
      </c>
      <c r="Q139" s="1">
        <f t="shared" si="6"/>
        <v>74.786324786324784</v>
      </c>
      <c r="R139" t="str" cm="1">
        <f t="array" ref="R139">_xlfn.IFS(Q139&lt;42.7, "low",
Q139&lt;85.4,"medium low",
Q139&lt;128,"medium high",
Q139&gt;=128,"high"
)</f>
        <v>medium low</v>
      </c>
      <c r="S139" t="str" cm="1">
        <f t="array" ref="S139">_xlfn.IFS(J139&lt;700,"low",J139&lt;1600,"medium low",J139&lt;2200,"medium high",J139&gt;=2200,"high")</f>
        <v>medium high</v>
      </c>
      <c r="T139" t="str" cm="1">
        <f t="array" ref="T139">_xlfn.IFS(
J139&lt;630,"Low",
J139&lt;1287,"Medium",
J139&lt;1495,"Intermediate",
J139&lt;1668,"Moderately",
J139&lt;1843,"Transition",
J139&lt;2477,"High",
J139&lt;2996,"Refractory I",
TRUE,"Refractory II"
)</f>
        <v>Transition</v>
      </c>
      <c r="U139">
        <f t="shared" si="7"/>
        <v>0.66445823044028185</v>
      </c>
      <c r="V139" t="str" cm="1">
        <f t="array" ref="V139">_xlfn.IFS(U139&lt;0.25,"shallow condution",
U139&lt;0.5,"transition",
U139&lt;1,"conduction",
U139&lt;1.5,"transition",U139&lt;3,"keyholeⅠ",3&lt;=U139,"keyhole Ⅱ"
)</f>
        <v>conduction</v>
      </c>
      <c r="X139">
        <f t="shared" si="8"/>
        <v>1.504985496736766</v>
      </c>
    </row>
    <row r="140" spans="1:24">
      <c r="A140" s="2" t="s">
        <v>46</v>
      </c>
      <c r="B140" s="4">
        <v>350</v>
      </c>
      <c r="C140" s="4">
        <v>1600</v>
      </c>
      <c r="D140" s="4">
        <v>4.5060000000000002</v>
      </c>
      <c r="E140" s="4">
        <v>14.15</v>
      </c>
      <c r="F140" s="4">
        <v>425</v>
      </c>
      <c r="G140" s="16" t="s">
        <v>88</v>
      </c>
      <c r="H140" s="4">
        <v>0.52300000000000002</v>
      </c>
      <c r="I140" s="4">
        <v>21.9</v>
      </c>
      <c r="J140" s="4">
        <v>1668</v>
      </c>
      <c r="K140" s="4">
        <v>3287</v>
      </c>
      <c r="L140" s="4">
        <v>0.55000000000000004</v>
      </c>
      <c r="M140" s="4">
        <v>149.76</v>
      </c>
      <c r="N140" s="5">
        <v>92.84</v>
      </c>
      <c r="Q140" s="1">
        <f t="shared" si="6"/>
        <v>56.089743589743591</v>
      </c>
      <c r="R140" t="str" cm="1">
        <f t="array" ref="R140">_xlfn.IFS(Q140&lt;42.7, "low",
Q140&lt;85.4,"medium low",
Q140&lt;128,"medium high",
Q140&gt;=128,"high"
)</f>
        <v>medium low</v>
      </c>
      <c r="S140" t="str" cm="1">
        <f t="array" ref="S140">_xlfn.IFS(J140&lt;700,"low",J140&lt;1600,"medium low",J140&lt;2200,"medium high",J140&gt;=2200,"high")</f>
        <v>medium high</v>
      </c>
      <c r="T140" t="str" cm="1">
        <f t="array" ref="T140">_xlfn.IFS(
J140&lt;630,"Low",
J140&lt;1287,"Medium",
J140&lt;1495,"Intermediate",
J140&lt;1668,"Moderately",
J140&lt;1843,"Transition",
J140&lt;2477,"High",
J140&lt;2996,"Refractory I",
TRUE,"Refractory II"
)</f>
        <v>Transition</v>
      </c>
      <c r="U140">
        <f t="shared" si="7"/>
        <v>0.61992521367521369</v>
      </c>
      <c r="V140" t="str" cm="1">
        <f t="array" ref="V140">_xlfn.IFS(U140&lt;0.25,"shallow condution",
U140&lt;0.5,"transition",
U140&lt;1,"conduction",
U140&lt;1.5,"transition",U140&lt;3,"keyholeⅠ",3&lt;=U140,"keyhole Ⅱ"
)</f>
        <v>conduction</v>
      </c>
      <c r="X140">
        <f t="shared" si="8"/>
        <v>1.6130978026712621</v>
      </c>
    </row>
    <row r="141" spans="1:24">
      <c r="A141" s="2" t="s">
        <v>46</v>
      </c>
      <c r="B141" s="4">
        <v>350</v>
      </c>
      <c r="C141" s="4">
        <v>2000</v>
      </c>
      <c r="D141" s="4">
        <v>4.5060000000000002</v>
      </c>
      <c r="E141" s="4">
        <v>14.15</v>
      </c>
      <c r="F141" s="4">
        <v>425</v>
      </c>
      <c r="G141" s="16" t="s">
        <v>88</v>
      </c>
      <c r="H141" s="4">
        <v>0.52300000000000002</v>
      </c>
      <c r="I141" s="4">
        <v>21.9</v>
      </c>
      <c r="J141" s="4">
        <v>1668</v>
      </c>
      <c r="K141" s="4">
        <v>3287</v>
      </c>
      <c r="L141" s="4">
        <v>0.55000000000000004</v>
      </c>
      <c r="M141" s="4">
        <v>147.4</v>
      </c>
      <c r="N141" s="5">
        <v>77.22</v>
      </c>
      <c r="Q141" s="1">
        <f t="shared" si="6"/>
        <v>44.871794871794869</v>
      </c>
      <c r="R141" t="str" cm="1">
        <f t="array" ref="R141">_xlfn.IFS(Q141&lt;42.7, "low",
Q141&lt;85.4,"medium low",
Q141&lt;128,"medium high",
Q141&gt;=128,"high"
)</f>
        <v>medium low</v>
      </c>
      <c r="S141" t="str" cm="1">
        <f t="array" ref="S141">_xlfn.IFS(J141&lt;700,"low",J141&lt;1600,"medium low",J141&lt;2200,"medium high",J141&gt;=2200,"high")</f>
        <v>medium high</v>
      </c>
      <c r="T141" t="str" cm="1">
        <f t="array" ref="T141">_xlfn.IFS(
J141&lt;630,"Low",
J141&lt;1287,"Medium",
J141&lt;1495,"Intermediate",
J141&lt;1668,"Moderately",
J141&lt;1843,"Transition",
J141&lt;2477,"High",
J141&lt;2996,"Refractory I",
TRUE,"Refractory II"
)</f>
        <v>Transition</v>
      </c>
      <c r="U141">
        <f t="shared" si="7"/>
        <v>0.5238805970149254</v>
      </c>
      <c r="V141" t="str" cm="1">
        <f t="array" ref="V141">_xlfn.IFS(U141&lt;0.25,"shallow condution",
U141&lt;0.5,"transition",
U141&lt;1,"conduction",
U141&lt;1.5,"transition",U141&lt;3,"keyholeⅠ",3&lt;=U141,"keyhole Ⅱ"
)</f>
        <v>conduction</v>
      </c>
      <c r="X141">
        <f t="shared" si="8"/>
        <v>1.908831908831909</v>
      </c>
    </row>
    <row r="142" spans="1:24">
      <c r="A142" s="2" t="s">
        <v>46</v>
      </c>
      <c r="B142" s="4">
        <v>350</v>
      </c>
      <c r="C142" s="4">
        <v>2400</v>
      </c>
      <c r="D142" s="4">
        <v>4.5060000000000002</v>
      </c>
      <c r="E142" s="4">
        <v>14.15</v>
      </c>
      <c r="F142" s="4">
        <v>425</v>
      </c>
      <c r="G142" s="16" t="s">
        <v>88</v>
      </c>
      <c r="H142" s="4">
        <v>0.52300000000000002</v>
      </c>
      <c r="I142" s="4">
        <v>21.9</v>
      </c>
      <c r="J142" s="4">
        <v>1668</v>
      </c>
      <c r="K142" s="4">
        <v>3287</v>
      </c>
      <c r="L142" s="4">
        <v>0.55000000000000004</v>
      </c>
      <c r="M142" s="4">
        <v>131.71</v>
      </c>
      <c r="N142" s="5">
        <v>46.13</v>
      </c>
      <c r="Q142" s="1">
        <f t="shared" si="6"/>
        <v>37.393162393162392</v>
      </c>
      <c r="R142" t="str" cm="1">
        <f t="array" ref="R142">_xlfn.IFS(Q142&lt;42.7, "low",
Q142&lt;85.4,"medium low",
Q142&lt;128,"medium high",
Q142&gt;=128,"high"
)</f>
        <v>low</v>
      </c>
      <c r="S142" t="str" cm="1">
        <f t="array" ref="S142">_xlfn.IFS(J142&lt;700,"low",J142&lt;1600,"medium low",J142&lt;2200,"medium high",J142&gt;=2200,"high")</f>
        <v>medium high</v>
      </c>
      <c r="T142" t="str" cm="1">
        <f t="array" ref="T142">_xlfn.IFS(
J142&lt;630,"Low",
J142&lt;1287,"Medium",
J142&lt;1495,"Intermediate",
J142&lt;1668,"Moderately",
J142&lt;1843,"Transition",
J142&lt;2477,"High",
J142&lt;2996,"Refractory I",
TRUE,"Refractory II"
)</f>
        <v>Transition</v>
      </c>
      <c r="U142">
        <f t="shared" si="7"/>
        <v>0.35023916179485232</v>
      </c>
      <c r="V142" t="str" cm="1">
        <f t="array" ref="V142">_xlfn.IFS(U142&lt;0.25,"shallow condution",
U142&lt;0.5,"transition",
U142&lt;1,"conduction",
U142&lt;1.5,"transition",U142&lt;3,"keyholeⅠ",3&lt;=U142,"keyhole Ⅱ"
)</f>
        <v>transition</v>
      </c>
      <c r="X142">
        <f t="shared" si="8"/>
        <v>2.8551918491220465</v>
      </c>
    </row>
    <row r="143" spans="1:24">
      <c r="A143" s="2" t="s">
        <v>46</v>
      </c>
      <c r="B143" s="4">
        <v>100</v>
      </c>
      <c r="C143" s="4">
        <v>300</v>
      </c>
      <c r="D143" s="4">
        <v>4.5060000000000002</v>
      </c>
      <c r="E143" s="4">
        <v>14.15</v>
      </c>
      <c r="F143" s="4">
        <v>425</v>
      </c>
      <c r="G143" s="16" t="s">
        <v>88</v>
      </c>
      <c r="H143" s="4">
        <v>0.52300000000000002</v>
      </c>
      <c r="I143" s="4">
        <v>21.9</v>
      </c>
      <c r="J143" s="4">
        <v>1668</v>
      </c>
      <c r="K143" s="4">
        <v>3287</v>
      </c>
      <c r="L143" s="4">
        <v>0.55000000000000004</v>
      </c>
      <c r="M143" s="4">
        <v>186.34</v>
      </c>
      <c r="N143" s="5">
        <v>47.93</v>
      </c>
      <c r="Q143" s="1">
        <f t="shared" si="6"/>
        <v>85.470085470085465</v>
      </c>
      <c r="R143" t="str" cm="1">
        <f t="array" ref="R143">_xlfn.IFS(Q143&lt;42.7, "low",
Q143&lt;85.4,"medium low",
Q143&lt;128,"medium high",
Q143&gt;=128,"high"
)</f>
        <v>medium high</v>
      </c>
      <c r="S143" t="str" cm="1">
        <f t="array" ref="S143">_xlfn.IFS(J143&lt;700,"low",J143&lt;1600,"medium low",J143&lt;2200,"medium high",J143&gt;=2200,"high")</f>
        <v>medium high</v>
      </c>
      <c r="T143" t="str" cm="1">
        <f t="array" ref="T143">_xlfn.IFS(
J143&lt;630,"Low",
J143&lt;1287,"Medium",
J143&lt;1495,"Intermediate",
J143&lt;1668,"Moderately",
J143&lt;1843,"Transition",
J143&lt;2477,"High",
J143&lt;2996,"Refractory I",
TRUE,"Refractory II"
)</f>
        <v>Transition</v>
      </c>
      <c r="U143">
        <f t="shared" si="7"/>
        <v>0.25721798862294731</v>
      </c>
      <c r="V143" t="str" cm="1">
        <f t="array" ref="V143">_xlfn.IFS(U143&lt;0.25,"shallow condution",
U143&lt;0.5,"transition",
U143&lt;1,"conduction",
U143&lt;1.5,"transition",U143&lt;3,"keyholeⅠ",3&lt;=U143,"keyhole Ⅱ"
)</f>
        <v>transition</v>
      </c>
      <c r="X143">
        <f t="shared" si="8"/>
        <v>3.8877529730857501</v>
      </c>
    </row>
    <row r="144" spans="1:24">
      <c r="A144" s="2" t="s">
        <v>46</v>
      </c>
      <c r="B144" s="4">
        <v>150</v>
      </c>
      <c r="C144" s="4">
        <v>300</v>
      </c>
      <c r="D144" s="4">
        <v>4.5060000000000002</v>
      </c>
      <c r="E144" s="4">
        <v>14.15</v>
      </c>
      <c r="F144" s="4">
        <v>425</v>
      </c>
      <c r="G144" s="16" t="s">
        <v>88</v>
      </c>
      <c r="H144" s="4">
        <v>0.52300000000000002</v>
      </c>
      <c r="I144" s="4">
        <v>21.9</v>
      </c>
      <c r="J144" s="4">
        <v>1668</v>
      </c>
      <c r="K144" s="4">
        <v>3287</v>
      </c>
      <c r="L144" s="4">
        <v>0.55000000000000004</v>
      </c>
      <c r="M144" s="4">
        <v>285.89999999999998</v>
      </c>
      <c r="N144" s="5">
        <v>280.7</v>
      </c>
      <c r="Q144" s="1">
        <f t="shared" si="6"/>
        <v>128.2051282051282</v>
      </c>
      <c r="R144" t="str" cm="1">
        <f t="array" ref="R144">_xlfn.IFS(Q144&lt;42.7, "low",
Q144&lt;85.4,"medium low",
Q144&lt;128,"medium high",
Q144&gt;=128,"high"
)</f>
        <v>high</v>
      </c>
      <c r="S144" t="str" cm="1">
        <f t="array" ref="S144">_xlfn.IFS(J144&lt;700,"low",J144&lt;1600,"medium low",J144&lt;2200,"medium high",J144&gt;=2200,"high")</f>
        <v>medium high</v>
      </c>
      <c r="T144" t="str" cm="1">
        <f t="array" ref="T144">_xlfn.IFS(
J144&lt;630,"Low",
J144&lt;1287,"Medium",
J144&lt;1495,"Intermediate",
J144&lt;1668,"Moderately",
J144&lt;1843,"Transition",
J144&lt;2477,"High",
J144&lt;2996,"Refractory I",
TRUE,"Refractory II"
)</f>
        <v>Transition</v>
      </c>
      <c r="U144">
        <f t="shared" si="7"/>
        <v>0.98181182231549502</v>
      </c>
      <c r="V144" t="str" cm="1">
        <f t="array" ref="V144">_xlfn.IFS(U144&lt;0.25,"shallow condution",
U144&lt;0.5,"transition",
U144&lt;1,"conduction",
U144&lt;1.5,"transition",U144&lt;3,"keyholeⅠ",3&lt;=U144,"keyhole Ⅱ"
)</f>
        <v>conduction</v>
      </c>
      <c r="X144">
        <f t="shared" si="8"/>
        <v>1.0185251157819737</v>
      </c>
    </row>
    <row r="145" spans="1:24">
      <c r="A145" s="2" t="s">
        <v>46</v>
      </c>
      <c r="B145" s="4">
        <v>200</v>
      </c>
      <c r="C145" s="4">
        <v>300</v>
      </c>
      <c r="D145" s="4">
        <v>4.5060000000000002</v>
      </c>
      <c r="E145" s="4">
        <v>14.15</v>
      </c>
      <c r="F145" s="4">
        <v>425</v>
      </c>
      <c r="G145" s="16" t="s">
        <v>88</v>
      </c>
      <c r="H145" s="4">
        <v>0.52300000000000002</v>
      </c>
      <c r="I145" s="4">
        <v>21.9</v>
      </c>
      <c r="J145" s="4">
        <v>1668</v>
      </c>
      <c r="K145" s="4">
        <v>3287</v>
      </c>
      <c r="L145" s="4">
        <v>0.55000000000000004</v>
      </c>
      <c r="M145" s="4">
        <v>250.64</v>
      </c>
      <c r="N145" s="5">
        <v>410.94</v>
      </c>
      <c r="Q145" s="1">
        <f t="shared" si="6"/>
        <v>170.94017094017093</v>
      </c>
      <c r="R145" t="str" cm="1">
        <f t="array" ref="R145">_xlfn.IFS(Q145&lt;42.7, "low",
Q145&lt;85.4,"medium low",
Q145&lt;128,"medium high",
Q145&gt;=128,"high"
)</f>
        <v>high</v>
      </c>
      <c r="S145" t="str" cm="1">
        <f t="array" ref="S145">_xlfn.IFS(J145&lt;700,"low",J145&lt;1600,"medium low",J145&lt;2200,"medium high",J145&gt;=2200,"high")</f>
        <v>medium high</v>
      </c>
      <c r="T145" t="str" cm="1">
        <f t="array" ref="T145">_xlfn.IFS(
J145&lt;630,"Low",
J145&lt;1287,"Medium",
J145&lt;1495,"Intermediate",
J145&lt;1668,"Moderately",
J145&lt;1843,"Transition",
J145&lt;2477,"High",
J145&lt;2996,"Refractory I",
TRUE,"Refractory II"
)</f>
        <v>Transition</v>
      </c>
      <c r="U145">
        <f t="shared" si="7"/>
        <v>1.6395627194382383</v>
      </c>
      <c r="V145" t="str" cm="1">
        <f t="array" ref="V145">_xlfn.IFS(U145&lt;0.25,"shallow condution",
U145&lt;0.5,"transition",
U145&lt;1,"conduction",
U145&lt;1.5,"transition",U145&lt;3,"keyholeⅠ",3&lt;=U145,"keyhole Ⅱ"
)</f>
        <v>keyholeⅠ</v>
      </c>
      <c r="X145">
        <f t="shared" si="8"/>
        <v>0.60991872292792138</v>
      </c>
    </row>
    <row r="146" spans="1:24">
      <c r="A146" s="2" t="s">
        <v>46</v>
      </c>
      <c r="B146" s="4">
        <v>250</v>
      </c>
      <c r="C146" s="4">
        <v>300</v>
      </c>
      <c r="D146" s="4">
        <v>4.5060000000000002</v>
      </c>
      <c r="E146" s="4">
        <v>14.15</v>
      </c>
      <c r="F146" s="4">
        <v>425</v>
      </c>
      <c r="G146" s="16" t="s">
        <v>88</v>
      </c>
      <c r="H146" s="4">
        <v>0.52300000000000002</v>
      </c>
      <c r="I146" s="4">
        <v>21.9</v>
      </c>
      <c r="J146" s="4">
        <v>1668</v>
      </c>
      <c r="K146" s="4">
        <v>3287</v>
      </c>
      <c r="L146" s="4">
        <v>0.55000000000000004</v>
      </c>
      <c r="M146" s="4">
        <v>304.93</v>
      </c>
      <c r="N146" s="5">
        <v>491.61</v>
      </c>
      <c r="Q146" s="1">
        <f t="shared" si="6"/>
        <v>213.67521367521368</v>
      </c>
      <c r="R146" t="str" cm="1">
        <f t="array" ref="R146">_xlfn.IFS(Q146&lt;42.7, "low",
Q146&lt;85.4,"medium low",
Q146&lt;128,"medium high",
Q146&gt;=128,"high"
)</f>
        <v>high</v>
      </c>
      <c r="S146" t="str" cm="1">
        <f t="array" ref="S146">_xlfn.IFS(J146&lt;700,"low",J146&lt;1600,"medium low",J146&lt;2200,"medium high",J146&gt;=2200,"high")</f>
        <v>medium high</v>
      </c>
      <c r="T146" t="str" cm="1">
        <f t="array" ref="T146">_xlfn.IFS(
J146&lt;630,"Low",
J146&lt;1287,"Medium",
J146&lt;1495,"Intermediate",
J146&lt;1668,"Moderately",
J146&lt;1843,"Transition",
J146&lt;2477,"High",
J146&lt;2996,"Refractory I",
TRUE,"Refractory II"
)</f>
        <v>Transition</v>
      </c>
      <c r="U146">
        <f t="shared" si="7"/>
        <v>1.6122060800839537</v>
      </c>
      <c r="V146" t="str" cm="1">
        <f t="array" ref="V146">_xlfn.IFS(U146&lt;0.25,"shallow condution",
U146&lt;0.5,"transition",
U146&lt;1,"conduction",
U146&lt;1.5,"transition",U146&lt;3,"keyholeⅠ",3&lt;=U146,"keyhole Ⅱ"
)</f>
        <v>keyholeⅠ</v>
      </c>
      <c r="X146">
        <f t="shared" si="8"/>
        <v>0.62026809869612087</v>
      </c>
    </row>
    <row r="147" spans="1:24">
      <c r="A147" s="2" t="s">
        <v>46</v>
      </c>
      <c r="B147" s="4">
        <v>300</v>
      </c>
      <c r="C147" s="4">
        <v>300</v>
      </c>
      <c r="D147" s="4">
        <v>4.5060000000000002</v>
      </c>
      <c r="E147" s="4">
        <v>14.15</v>
      </c>
      <c r="F147" s="4">
        <v>425</v>
      </c>
      <c r="G147" s="16" t="s">
        <v>88</v>
      </c>
      <c r="H147" s="4">
        <v>0.52300000000000002</v>
      </c>
      <c r="I147" s="4">
        <v>21.9</v>
      </c>
      <c r="J147" s="4">
        <v>1668</v>
      </c>
      <c r="K147" s="4">
        <v>3287</v>
      </c>
      <c r="L147" s="4">
        <v>0.55000000000000004</v>
      </c>
      <c r="M147" s="4">
        <v>357.14</v>
      </c>
      <c r="N147" s="5">
        <v>568.69000000000005</v>
      </c>
      <c r="Q147" s="1">
        <f t="shared" si="6"/>
        <v>256.41025641025641</v>
      </c>
      <c r="R147" t="str" cm="1">
        <f t="array" ref="R147">_xlfn.IFS(Q147&lt;42.7, "low",
Q147&lt;85.4,"medium low",
Q147&lt;128,"medium high",
Q147&gt;=128,"high"
)</f>
        <v>high</v>
      </c>
      <c r="S147" t="str" cm="1">
        <f t="array" ref="S147">_xlfn.IFS(J147&lt;700,"low",J147&lt;1600,"medium low",J147&lt;2200,"medium high",J147&gt;=2200,"high")</f>
        <v>medium high</v>
      </c>
      <c r="T147" t="str" cm="1">
        <f t="array" ref="T147">_xlfn.IFS(
J147&lt;630,"Low",
J147&lt;1287,"Medium",
J147&lt;1495,"Intermediate",
J147&lt;1668,"Moderately",
J147&lt;1843,"Transition",
J147&lt;2477,"High",
J147&lt;2996,"Refractory I",
TRUE,"Refractory II"
)</f>
        <v>Transition</v>
      </c>
      <c r="U147">
        <f t="shared" si="7"/>
        <v>1.5923447387579104</v>
      </c>
      <c r="V147" t="str" cm="1">
        <f t="array" ref="V147">_xlfn.IFS(U147&lt;0.25,"shallow condution",
U147&lt;0.5,"transition",
U147&lt;1,"conduction",
U147&lt;1.5,"transition",U147&lt;3,"keyholeⅠ",3&lt;=U147,"keyhole Ⅱ"
)</f>
        <v>keyholeⅠ</v>
      </c>
      <c r="X147">
        <f t="shared" si="8"/>
        <v>0.62800471258506385</v>
      </c>
    </row>
    <row r="148" spans="1:24">
      <c r="A148" s="2" t="s">
        <v>46</v>
      </c>
      <c r="B148" s="4">
        <v>100</v>
      </c>
      <c r="C148" s="4">
        <v>600</v>
      </c>
      <c r="D148" s="4">
        <v>4.5060000000000002</v>
      </c>
      <c r="E148" s="4">
        <v>14.15</v>
      </c>
      <c r="F148" s="4">
        <v>425</v>
      </c>
      <c r="G148" s="16" t="s">
        <v>88</v>
      </c>
      <c r="H148" s="4">
        <v>0.52300000000000002</v>
      </c>
      <c r="I148" s="4">
        <v>21.9</v>
      </c>
      <c r="J148" s="4">
        <v>1668</v>
      </c>
      <c r="K148" s="4">
        <v>3287</v>
      </c>
      <c r="L148" s="4">
        <v>0.55000000000000004</v>
      </c>
      <c r="M148" s="4">
        <v>126.88</v>
      </c>
      <c r="N148" s="5">
        <v>91.64</v>
      </c>
      <c r="Q148" s="1">
        <f t="shared" si="6"/>
        <v>42.735042735042732</v>
      </c>
      <c r="R148" t="str" cm="1">
        <f t="array" ref="R148">_xlfn.IFS(Q148&lt;42.7, "low",
Q148&lt;85.4,"medium low",
Q148&lt;128,"medium high",
Q148&gt;=128,"high"
)</f>
        <v>medium low</v>
      </c>
      <c r="S148" t="str" cm="1">
        <f t="array" ref="S148">_xlfn.IFS(J148&lt;700,"low",J148&lt;1600,"medium low",J148&lt;2200,"medium high",J148&gt;=2200,"high")</f>
        <v>medium high</v>
      </c>
      <c r="T148" t="str" cm="1">
        <f t="array" ref="T148">_xlfn.IFS(
J148&lt;630,"Low",
J148&lt;1287,"Medium",
J148&lt;1495,"Intermediate",
J148&lt;1668,"Moderately",
J148&lt;1843,"Transition",
J148&lt;2477,"High",
J148&lt;2996,"Refractory I",
TRUE,"Refractory II"
)</f>
        <v>Transition</v>
      </c>
      <c r="U148">
        <f t="shared" si="7"/>
        <v>0.72225725094577553</v>
      </c>
      <c r="V148" t="str" cm="1">
        <f t="array" ref="V148">_xlfn.IFS(U148&lt;0.25,"shallow condution",
U148&lt;0.5,"transition",
U148&lt;1,"conduction",
U148&lt;1.5,"transition",U148&lt;3,"keyholeⅠ",3&lt;=U148,"keyhole Ⅱ"
)</f>
        <v>conduction</v>
      </c>
      <c r="X148">
        <f t="shared" si="8"/>
        <v>1.3845482322130074</v>
      </c>
    </row>
    <row r="149" spans="1:24">
      <c r="A149" s="2" t="s">
        <v>46</v>
      </c>
      <c r="B149" s="4">
        <v>150</v>
      </c>
      <c r="C149" s="4">
        <v>600</v>
      </c>
      <c r="D149" s="4">
        <v>4.5060000000000002</v>
      </c>
      <c r="E149" s="4">
        <v>14.15</v>
      </c>
      <c r="F149" s="4">
        <v>425</v>
      </c>
      <c r="G149" s="16" t="s">
        <v>88</v>
      </c>
      <c r="H149" s="4">
        <v>0.52300000000000002</v>
      </c>
      <c r="I149" s="4">
        <v>21.9</v>
      </c>
      <c r="J149" s="4">
        <v>1668</v>
      </c>
      <c r="K149" s="4">
        <v>3287</v>
      </c>
      <c r="L149" s="4">
        <v>0.55000000000000004</v>
      </c>
      <c r="M149" s="4">
        <v>148.30000000000001</v>
      </c>
      <c r="N149" s="5">
        <v>158</v>
      </c>
      <c r="Q149" s="1">
        <f t="shared" si="6"/>
        <v>64.102564102564102</v>
      </c>
      <c r="R149" t="str" cm="1">
        <f t="array" ref="R149">_xlfn.IFS(Q149&lt;42.7, "low",
Q149&lt;85.4,"medium low",
Q149&lt;128,"medium high",
Q149&gt;=128,"high"
)</f>
        <v>medium low</v>
      </c>
      <c r="S149" t="str" cm="1">
        <f t="array" ref="S149">_xlfn.IFS(J149&lt;700,"low",J149&lt;1600,"medium low",J149&lt;2200,"medium high",J149&gt;=2200,"high")</f>
        <v>medium high</v>
      </c>
      <c r="T149" t="str" cm="1">
        <f t="array" ref="T149">_xlfn.IFS(
J149&lt;630,"Low",
J149&lt;1287,"Medium",
J149&lt;1495,"Intermediate",
J149&lt;1668,"Moderately",
J149&lt;1843,"Transition",
J149&lt;2477,"High",
J149&lt;2996,"Refractory I",
TRUE,"Refractory II"
)</f>
        <v>Transition</v>
      </c>
      <c r="U149">
        <f t="shared" si="7"/>
        <v>1.0654079568442345</v>
      </c>
      <c r="V149" t="str" cm="1">
        <f t="array" ref="V149">_xlfn.IFS(U149&lt;0.25,"shallow condution",
U149&lt;0.5,"transition",
U149&lt;1,"conduction",
U149&lt;1.5,"transition",U149&lt;3,"keyholeⅠ",3&lt;=U149,"keyhole Ⅱ"
)</f>
        <v>transition</v>
      </c>
      <c r="X149">
        <f t="shared" si="8"/>
        <v>0.93860759493670898</v>
      </c>
    </row>
    <row r="150" spans="1:24">
      <c r="A150" s="2" t="s">
        <v>46</v>
      </c>
      <c r="B150" s="4">
        <v>200</v>
      </c>
      <c r="C150" s="4">
        <v>600</v>
      </c>
      <c r="D150" s="4">
        <v>4.5060000000000002</v>
      </c>
      <c r="E150" s="4">
        <v>14.15</v>
      </c>
      <c r="F150" s="4">
        <v>425</v>
      </c>
      <c r="G150" s="16" t="s">
        <v>88</v>
      </c>
      <c r="H150" s="4">
        <v>0.52300000000000002</v>
      </c>
      <c r="I150" s="4">
        <v>21.9</v>
      </c>
      <c r="J150" s="4">
        <v>1668</v>
      </c>
      <c r="K150" s="4">
        <v>3287</v>
      </c>
      <c r="L150" s="4">
        <v>0.55000000000000004</v>
      </c>
      <c r="M150" s="4">
        <v>203.98</v>
      </c>
      <c r="N150" s="5">
        <v>228.88</v>
      </c>
      <c r="Q150" s="1">
        <f t="shared" si="6"/>
        <v>85.470085470085465</v>
      </c>
      <c r="R150" t="str" cm="1">
        <f t="array" ref="R150">_xlfn.IFS(Q150&lt;42.7, "low",
Q150&lt;85.4,"medium low",
Q150&lt;128,"medium high",
Q150&gt;=128,"high"
)</f>
        <v>medium high</v>
      </c>
      <c r="S150" t="str" cm="1">
        <f t="array" ref="S150">_xlfn.IFS(J150&lt;700,"low",J150&lt;1600,"medium low",J150&lt;2200,"medium high",J150&gt;=2200,"high")</f>
        <v>medium high</v>
      </c>
      <c r="T150" t="str" cm="1">
        <f t="array" ref="T150">_xlfn.IFS(
J150&lt;630,"Low",
J150&lt;1287,"Medium",
J150&lt;1495,"Intermediate",
J150&lt;1668,"Moderately",
J150&lt;1843,"Transition",
J150&lt;2477,"High",
J150&lt;2996,"Refractory I",
TRUE,"Refractory II"
)</f>
        <v>Transition</v>
      </c>
      <c r="U150">
        <f t="shared" si="7"/>
        <v>1.1220707912540446</v>
      </c>
      <c r="V150" t="str" cm="1">
        <f t="array" ref="V150">_xlfn.IFS(U150&lt;0.25,"shallow condution",
U150&lt;0.5,"transition",
U150&lt;1,"conduction",
U150&lt;1.5,"transition",U150&lt;3,"keyholeⅠ",3&lt;=U150,"keyhole Ⅱ"
)</f>
        <v>transition</v>
      </c>
      <c r="X150">
        <f t="shared" si="8"/>
        <v>0.89120936735407197</v>
      </c>
    </row>
    <row r="151" spans="1:24">
      <c r="A151" s="2" t="s">
        <v>46</v>
      </c>
      <c r="B151" s="4">
        <v>250</v>
      </c>
      <c r="C151" s="4">
        <v>600</v>
      </c>
      <c r="D151" s="4">
        <v>4.5060000000000002</v>
      </c>
      <c r="E151" s="4">
        <v>14.15</v>
      </c>
      <c r="F151" s="4">
        <v>425</v>
      </c>
      <c r="G151" s="16" t="s">
        <v>88</v>
      </c>
      <c r="H151" s="4">
        <v>0.52300000000000002</v>
      </c>
      <c r="I151" s="4">
        <v>21.9</v>
      </c>
      <c r="J151" s="4">
        <v>1668</v>
      </c>
      <c r="K151" s="4">
        <v>3287</v>
      </c>
      <c r="L151" s="4">
        <v>0.55000000000000004</v>
      </c>
      <c r="M151" s="4">
        <v>196</v>
      </c>
      <c r="N151" s="5">
        <v>312.77</v>
      </c>
      <c r="Q151" s="1">
        <f t="shared" si="6"/>
        <v>106.83760683760684</v>
      </c>
      <c r="R151" t="str" cm="1">
        <f t="array" ref="R151">_xlfn.IFS(Q151&lt;42.7, "low",
Q151&lt;85.4,"medium low",
Q151&lt;128,"medium high",
Q151&gt;=128,"high"
)</f>
        <v>medium high</v>
      </c>
      <c r="S151" t="str" cm="1">
        <f t="array" ref="S151">_xlfn.IFS(J151&lt;700,"low",J151&lt;1600,"medium low",J151&lt;2200,"medium high",J151&gt;=2200,"high")</f>
        <v>medium high</v>
      </c>
      <c r="T151" t="str" cm="1">
        <f t="array" ref="T151">_xlfn.IFS(
J151&lt;630,"Low",
J151&lt;1287,"Medium",
J151&lt;1495,"Intermediate",
J151&lt;1668,"Moderately",
J151&lt;1843,"Transition",
J151&lt;2477,"High",
J151&lt;2996,"Refractory I",
TRUE,"Refractory II"
)</f>
        <v>Transition</v>
      </c>
      <c r="U151">
        <f t="shared" si="7"/>
        <v>1.5957653061224488</v>
      </c>
      <c r="V151" t="str" cm="1">
        <f t="array" ref="V151">_xlfn.IFS(U151&lt;0.25,"shallow condution",
U151&lt;0.5,"transition",
U151&lt;1,"conduction",
U151&lt;1.5,"transition",U151&lt;3,"keyholeⅠ",3&lt;=U151,"keyhole Ⅱ"
)</f>
        <v>keyholeⅠ</v>
      </c>
      <c r="X151">
        <f t="shared" si="8"/>
        <v>0.62665856699811362</v>
      </c>
    </row>
    <row r="152" spans="1:24">
      <c r="A152" s="2" t="s">
        <v>46</v>
      </c>
      <c r="B152" s="4">
        <v>300</v>
      </c>
      <c r="C152" s="4">
        <v>600</v>
      </c>
      <c r="D152" s="4">
        <v>4.5060000000000002</v>
      </c>
      <c r="E152" s="4">
        <v>14.15</v>
      </c>
      <c r="F152" s="4">
        <v>425</v>
      </c>
      <c r="G152" s="16" t="s">
        <v>88</v>
      </c>
      <c r="H152" s="4">
        <v>0.52300000000000002</v>
      </c>
      <c r="I152" s="4">
        <v>21.9</v>
      </c>
      <c r="J152" s="4">
        <v>1668</v>
      </c>
      <c r="K152" s="4">
        <v>3287</v>
      </c>
      <c r="L152" s="4">
        <v>0.55000000000000004</v>
      </c>
      <c r="M152" s="4">
        <v>246.8</v>
      </c>
      <c r="N152" s="5">
        <v>362.69</v>
      </c>
      <c r="Q152" s="1">
        <f t="shared" si="6"/>
        <v>128.2051282051282</v>
      </c>
      <c r="R152" t="str" cm="1">
        <f t="array" ref="R152">_xlfn.IFS(Q152&lt;42.7, "low",
Q152&lt;85.4,"medium low",
Q152&lt;128,"medium high",
Q152&gt;=128,"high"
)</f>
        <v>high</v>
      </c>
      <c r="S152" t="str" cm="1">
        <f t="array" ref="S152">_xlfn.IFS(J152&lt;700,"low",J152&lt;1600,"medium low",J152&lt;2200,"medium high",J152&gt;=2200,"high")</f>
        <v>medium high</v>
      </c>
      <c r="T152" t="str" cm="1">
        <f t="array" ref="T152">_xlfn.IFS(
J152&lt;630,"Low",
J152&lt;1287,"Medium",
J152&lt;1495,"Intermediate",
J152&lt;1668,"Moderately",
J152&lt;1843,"Transition",
J152&lt;2477,"High",
J152&lt;2996,"Refractory I",
TRUE,"Refractory II"
)</f>
        <v>Transition</v>
      </c>
      <c r="U152">
        <f t="shared" si="7"/>
        <v>1.4695705024311183</v>
      </c>
      <c r="V152" t="str" cm="1">
        <f t="array" ref="V152">_xlfn.IFS(U152&lt;0.25,"shallow condution",
U152&lt;0.5,"transition",
U152&lt;1,"conduction",
U152&lt;1.5,"transition",U152&lt;3,"keyholeⅠ",3&lt;=U152,"keyhole Ⅱ"
)</f>
        <v>transition</v>
      </c>
      <c r="X152">
        <f t="shared" si="8"/>
        <v>0.68047092558383193</v>
      </c>
    </row>
    <row r="153" spans="1:24">
      <c r="A153" s="2" t="s">
        <v>46</v>
      </c>
      <c r="B153" s="4">
        <v>100</v>
      </c>
      <c r="C153" s="4">
        <v>900</v>
      </c>
      <c r="D153" s="4">
        <v>4.5060000000000002</v>
      </c>
      <c r="E153" s="4">
        <v>14.15</v>
      </c>
      <c r="F153" s="4">
        <v>425</v>
      </c>
      <c r="G153" s="16" t="s">
        <v>88</v>
      </c>
      <c r="H153" s="4">
        <v>0.52300000000000002</v>
      </c>
      <c r="I153" s="4">
        <v>21.9</v>
      </c>
      <c r="J153" s="4">
        <v>1668</v>
      </c>
      <c r="K153" s="4">
        <v>3287</v>
      </c>
      <c r="L153" s="4">
        <v>0.55000000000000004</v>
      </c>
      <c r="M153" s="4">
        <v>131.32</v>
      </c>
      <c r="N153" s="5">
        <v>47.53</v>
      </c>
      <c r="Q153" s="1">
        <f t="shared" si="6"/>
        <v>28.490028490028489</v>
      </c>
      <c r="R153" t="str" cm="1">
        <f t="array" ref="R153">_xlfn.IFS(Q153&lt;42.7, "low",
Q153&lt;85.4,"medium low",
Q153&lt;128,"medium high",
Q153&gt;=128,"high"
)</f>
        <v>low</v>
      </c>
      <c r="S153" t="str" cm="1">
        <f t="array" ref="S153">_xlfn.IFS(J153&lt;700,"low",J153&lt;1600,"medium low",J153&lt;2200,"medium high",J153&gt;=2200,"high")</f>
        <v>medium high</v>
      </c>
      <c r="T153" t="str" cm="1">
        <f t="array" ref="T153">_xlfn.IFS(
J153&lt;630,"Low",
J153&lt;1287,"Medium",
J153&lt;1495,"Intermediate",
J153&lt;1668,"Moderately",
J153&lt;1843,"Transition",
J153&lt;2477,"High",
J153&lt;2996,"Refractory I",
TRUE,"Refractory II"
)</f>
        <v>Transition</v>
      </c>
      <c r="U153">
        <f t="shared" si="7"/>
        <v>0.36194029850746273</v>
      </c>
      <c r="V153" t="str" cm="1">
        <f t="array" ref="V153">_xlfn.IFS(U153&lt;0.25,"shallow condution",
U153&lt;0.5,"transition",
U153&lt;1,"conduction",
U153&lt;1.5,"transition",U153&lt;3,"keyholeⅠ",3&lt;=U153,"keyhole Ⅱ"
)</f>
        <v>transition</v>
      </c>
      <c r="X153">
        <f t="shared" si="8"/>
        <v>2.7628865979381443</v>
      </c>
    </row>
    <row r="154" spans="1:24">
      <c r="A154" s="2" t="s">
        <v>46</v>
      </c>
      <c r="B154" s="4">
        <v>150</v>
      </c>
      <c r="C154" s="4">
        <v>900</v>
      </c>
      <c r="D154" s="4">
        <v>4.5060000000000002</v>
      </c>
      <c r="E154" s="4">
        <v>14.15</v>
      </c>
      <c r="F154" s="4">
        <v>425</v>
      </c>
      <c r="G154" s="16" t="s">
        <v>88</v>
      </c>
      <c r="H154" s="4">
        <v>0.52300000000000002</v>
      </c>
      <c r="I154" s="4">
        <v>21.9</v>
      </c>
      <c r="J154" s="4">
        <v>1668</v>
      </c>
      <c r="K154" s="4">
        <v>3287</v>
      </c>
      <c r="L154" s="4">
        <v>0.55000000000000004</v>
      </c>
      <c r="M154" s="4">
        <v>170.44</v>
      </c>
      <c r="N154" s="5">
        <v>71.81</v>
      </c>
      <c r="Q154" s="1">
        <f t="shared" si="6"/>
        <v>42.735042735042732</v>
      </c>
      <c r="R154" t="str" cm="1">
        <f t="array" ref="R154">_xlfn.IFS(Q154&lt;42.7, "low",
Q154&lt;85.4,"medium low",
Q154&lt;128,"medium high",
Q154&gt;=128,"high"
)</f>
        <v>medium low</v>
      </c>
      <c r="S154" t="str" cm="1">
        <f t="array" ref="S154">_xlfn.IFS(J154&lt;700,"low",J154&lt;1600,"medium low",J154&lt;2200,"medium high",J154&gt;=2200,"high")</f>
        <v>medium high</v>
      </c>
      <c r="T154" t="str" cm="1">
        <f t="array" ref="T154">_xlfn.IFS(
J154&lt;630,"Low",
J154&lt;1287,"Medium",
J154&lt;1495,"Intermediate",
J154&lt;1668,"Moderately",
J154&lt;1843,"Transition",
J154&lt;2477,"High",
J154&lt;2996,"Refractory I",
TRUE,"Refractory II"
)</f>
        <v>Transition</v>
      </c>
      <c r="U154">
        <f t="shared" si="7"/>
        <v>0.42132128608307912</v>
      </c>
      <c r="V154" t="str" cm="1">
        <f t="array" ref="V154">_xlfn.IFS(U154&lt;0.25,"shallow condution",
U154&lt;0.5,"transition",
U154&lt;1,"conduction",
U154&lt;1.5,"transition",U154&lt;3,"keyholeⅠ",3&lt;=U154,"keyhole Ⅱ"
)</f>
        <v>transition</v>
      </c>
      <c r="X154">
        <f t="shared" si="8"/>
        <v>2.3734855869656037</v>
      </c>
    </row>
    <row r="155" spans="1:24">
      <c r="A155" s="2" t="s">
        <v>46</v>
      </c>
      <c r="B155" s="4">
        <v>200</v>
      </c>
      <c r="C155" s="4">
        <v>900</v>
      </c>
      <c r="D155" s="4">
        <v>4.5060000000000002</v>
      </c>
      <c r="E155" s="4">
        <v>14.15</v>
      </c>
      <c r="F155" s="4">
        <v>425</v>
      </c>
      <c r="G155" s="16" t="s">
        <v>88</v>
      </c>
      <c r="H155" s="4">
        <v>0.52300000000000002</v>
      </c>
      <c r="I155" s="4">
        <v>21.9</v>
      </c>
      <c r="J155" s="4">
        <v>1668</v>
      </c>
      <c r="K155" s="4">
        <v>3287</v>
      </c>
      <c r="L155" s="4">
        <v>0.55000000000000004</v>
      </c>
      <c r="M155" s="4">
        <v>170.65</v>
      </c>
      <c r="N155" s="5">
        <v>132.96</v>
      </c>
      <c r="Q155" s="1">
        <f t="shared" si="6"/>
        <v>56.980056980056979</v>
      </c>
      <c r="R155" t="str" cm="1">
        <f t="array" ref="R155">_xlfn.IFS(Q155&lt;42.7, "low",
Q155&lt;85.4,"medium low",
Q155&lt;128,"medium high",
Q155&gt;=128,"high"
)</f>
        <v>medium low</v>
      </c>
      <c r="S155" t="str" cm="1">
        <f t="array" ref="S155">_xlfn.IFS(J155&lt;700,"low",J155&lt;1600,"medium low",J155&lt;2200,"medium high",J155&gt;=2200,"high")</f>
        <v>medium high</v>
      </c>
      <c r="T155" t="str" cm="1">
        <f t="array" ref="T155">_xlfn.IFS(
J155&lt;630,"Low",
J155&lt;1287,"Medium",
J155&lt;1495,"Intermediate",
J155&lt;1668,"Moderately",
J155&lt;1843,"Transition",
J155&lt;2477,"High",
J155&lt;2996,"Refractory I",
TRUE,"Refractory II"
)</f>
        <v>Transition</v>
      </c>
      <c r="U155">
        <f t="shared" si="7"/>
        <v>0.77913858775271028</v>
      </c>
      <c r="V155" t="str" cm="1">
        <f t="array" ref="V155">_xlfn.IFS(U155&lt;0.25,"shallow condution",
U155&lt;0.5,"transition",
U155&lt;1,"conduction",
U155&lt;1.5,"transition",U155&lt;3,"keyholeⅠ",3&lt;=U155,"keyhole Ⅱ"
)</f>
        <v>conduction</v>
      </c>
      <c r="X155">
        <f t="shared" si="8"/>
        <v>1.2834687123947051</v>
      </c>
    </row>
    <row r="156" spans="1:24">
      <c r="A156" s="2" t="s">
        <v>46</v>
      </c>
      <c r="B156" s="4">
        <v>250</v>
      </c>
      <c r="C156" s="4">
        <v>900</v>
      </c>
      <c r="D156" s="4">
        <v>4.5060000000000002</v>
      </c>
      <c r="E156" s="4">
        <v>14.15</v>
      </c>
      <c r="F156" s="4">
        <v>425</v>
      </c>
      <c r="G156" s="16" t="s">
        <v>88</v>
      </c>
      <c r="H156" s="4">
        <v>0.52300000000000002</v>
      </c>
      <c r="I156" s="4">
        <v>21.9</v>
      </c>
      <c r="J156" s="4">
        <v>1668</v>
      </c>
      <c r="K156" s="4">
        <v>3287</v>
      </c>
      <c r="L156" s="4">
        <v>0.55000000000000004</v>
      </c>
      <c r="M156" s="4">
        <v>170.3</v>
      </c>
      <c r="N156" s="5">
        <v>168.38</v>
      </c>
      <c r="Q156" s="1">
        <f t="shared" si="6"/>
        <v>71.225071225071218</v>
      </c>
      <c r="R156" t="str" cm="1">
        <f t="array" ref="R156">_xlfn.IFS(Q156&lt;42.7, "low",
Q156&lt;85.4,"medium low",
Q156&lt;128,"medium high",
Q156&gt;=128,"high"
)</f>
        <v>medium low</v>
      </c>
      <c r="S156" t="str" cm="1">
        <f t="array" ref="S156">_xlfn.IFS(J156&lt;700,"low",J156&lt;1600,"medium low",J156&lt;2200,"medium high",J156&gt;=2200,"high")</f>
        <v>medium high</v>
      </c>
      <c r="T156" t="str" cm="1">
        <f t="array" ref="T156">_xlfn.IFS(
J156&lt;630,"Low",
J156&lt;1287,"Medium",
J156&lt;1495,"Intermediate",
J156&lt;1668,"Moderately",
J156&lt;1843,"Transition",
J156&lt;2477,"High",
J156&lt;2996,"Refractory I",
TRUE,"Refractory II"
)</f>
        <v>Transition</v>
      </c>
      <c r="U156">
        <f t="shared" si="7"/>
        <v>0.98872577803875505</v>
      </c>
      <c r="V156" t="str" cm="1">
        <f t="array" ref="V156">_xlfn.IFS(U156&lt;0.25,"shallow condution",
U156&lt;0.5,"transition",
U156&lt;1,"conduction",
U156&lt;1.5,"transition",U156&lt;3,"keyholeⅠ",3&lt;=U156,"keyhole Ⅱ"
)</f>
        <v>conduction</v>
      </c>
      <c r="X156">
        <f t="shared" si="8"/>
        <v>1.0114027794274856</v>
      </c>
    </row>
    <row r="157" spans="1:24" ht="14.45" thickBot="1">
      <c r="A157" s="3" t="s">
        <v>46</v>
      </c>
      <c r="B157" s="7">
        <v>300</v>
      </c>
      <c r="C157" s="7">
        <v>900</v>
      </c>
      <c r="D157" s="7">
        <v>4.5060000000000002</v>
      </c>
      <c r="E157" s="7">
        <v>14.15</v>
      </c>
      <c r="F157" s="7">
        <v>425</v>
      </c>
      <c r="G157" s="16" t="s">
        <v>88</v>
      </c>
      <c r="H157" s="7">
        <v>0.52300000000000002</v>
      </c>
      <c r="I157" s="7">
        <v>21.9</v>
      </c>
      <c r="J157" s="7">
        <v>1668</v>
      </c>
      <c r="K157" s="7">
        <v>3287</v>
      </c>
      <c r="L157" s="7">
        <v>0.55000000000000004</v>
      </c>
      <c r="M157" s="7">
        <v>170.9</v>
      </c>
      <c r="N157" s="15">
        <v>228.61</v>
      </c>
      <c r="Q157" s="1">
        <f t="shared" si="6"/>
        <v>85.470085470085465</v>
      </c>
      <c r="R157" t="str" cm="1">
        <f t="array" ref="R157">_xlfn.IFS(Q157&lt;42.7, "low",
Q157&lt;85.4,"medium low",
Q157&lt;128,"medium high",
Q157&gt;=128,"high"
)</f>
        <v>medium high</v>
      </c>
      <c r="S157" t="str" cm="1">
        <f t="array" ref="S157">_xlfn.IFS(J157&lt;700,"low",J157&lt;1600,"medium low",J157&lt;2200,"medium high",J157&gt;=2200,"high")</f>
        <v>medium high</v>
      </c>
      <c r="T157" t="str" cm="1">
        <f t="array" ref="T157">_xlfn.IFS(
J157&lt;630,"Low",
J157&lt;1287,"Medium",
J157&lt;1495,"Intermediate",
J157&lt;1668,"Moderately",
J157&lt;1843,"Transition",
J157&lt;2477,"High",
J157&lt;2996,"Refractory I",
TRUE,"Refractory II"
)</f>
        <v>Transition</v>
      </c>
      <c r="U157">
        <f t="shared" si="7"/>
        <v>1.3376828554710358</v>
      </c>
      <c r="V157" t="str" cm="1">
        <f t="array" ref="V157">_xlfn.IFS(U157&lt;0.25,"shallow condution",
U157&lt;0.5,"transition",
U157&lt;1,"conduction",
U157&lt;1.5,"transition",U157&lt;3,"keyholeⅠ",3&lt;=U157,"keyhole Ⅱ"
)</f>
        <v>transition</v>
      </c>
      <c r="X157">
        <f t="shared" si="8"/>
        <v>0.74756134902235249</v>
      </c>
    </row>
    <row r="158" spans="1:24">
      <c r="A158" s="19" t="s">
        <v>18</v>
      </c>
      <c r="B158" s="16">
        <v>200</v>
      </c>
      <c r="C158" s="16">
        <v>200</v>
      </c>
      <c r="D158" s="16">
        <v>6.11</v>
      </c>
      <c r="E158" s="16">
        <v>21.5</v>
      </c>
      <c r="F158" s="16">
        <v>459</v>
      </c>
      <c r="G158" s="16" t="s">
        <v>89</v>
      </c>
      <c r="H158" s="16">
        <v>0.48899999999999999</v>
      </c>
      <c r="I158" s="16">
        <v>30.7</v>
      </c>
      <c r="J158" s="16">
        <v>1910</v>
      </c>
      <c r="K158" s="16">
        <v>3407</v>
      </c>
      <c r="L158" s="16">
        <v>0.6</v>
      </c>
      <c r="M158" s="16">
        <v>393.07</v>
      </c>
      <c r="N158" s="17">
        <v>400.12</v>
      </c>
      <c r="Q158" s="1">
        <f t="shared" si="6"/>
        <v>256.41025641025641</v>
      </c>
      <c r="R158" t="str" cm="1">
        <f t="array" ref="R158">_xlfn.IFS(Q158&lt;42.7, "low",
Q158&lt;85.4,"medium low",
Q158&lt;128,"medium high",
Q158&gt;=128,"high"
)</f>
        <v>high</v>
      </c>
      <c r="S158" t="str" cm="1">
        <f t="array" ref="S158">_xlfn.IFS(J158&lt;700,"low",J158&lt;1600,"medium low",J158&lt;2200,"medium high",J158&gt;=2200,"high")</f>
        <v>medium high</v>
      </c>
      <c r="T158" t="str" cm="1">
        <f t="array" ref="T158">_xlfn.IFS(
J158&lt;630,"Low",
J158&lt;1287,"Medium",
J158&lt;1495,"Intermediate",
J158&lt;1668,"Moderately",
J158&lt;1843,"Transition",
J158&lt;2477,"High",
J158&lt;2996,"Refractory I",
TRUE,"Refractory II"
)</f>
        <v>High</v>
      </c>
      <c r="U158">
        <f t="shared" si="7"/>
        <v>1.0179357366372401</v>
      </c>
      <c r="V158" t="str" cm="1">
        <f t="array" ref="V158">_xlfn.IFS(U158&lt;0.25,"shallow condution",
U158&lt;0.5,"transition",
U158&lt;1,"conduction",
U158&lt;1.5,"transition",U158&lt;3,"keyholeⅠ",3&lt;=U158,"keyhole Ⅱ"
)</f>
        <v>transition</v>
      </c>
      <c r="X158">
        <f t="shared" si="8"/>
        <v>0.98238028591422566</v>
      </c>
    </row>
    <row r="159" spans="1:24">
      <c r="A159" s="2" t="s">
        <v>18</v>
      </c>
      <c r="B159" s="4">
        <v>200</v>
      </c>
      <c r="C159" s="4">
        <v>400</v>
      </c>
      <c r="D159" s="4">
        <v>6.11</v>
      </c>
      <c r="E159" s="4">
        <v>21.5</v>
      </c>
      <c r="F159" s="4">
        <v>459</v>
      </c>
      <c r="G159" s="16" t="s">
        <v>89</v>
      </c>
      <c r="H159" s="4">
        <v>0.48899999999999999</v>
      </c>
      <c r="I159" s="4">
        <v>30.7</v>
      </c>
      <c r="J159" s="4">
        <v>1910</v>
      </c>
      <c r="K159" s="4">
        <v>3407</v>
      </c>
      <c r="L159" s="4">
        <v>0.6</v>
      </c>
      <c r="M159" s="4">
        <v>280.91000000000003</v>
      </c>
      <c r="N159" s="5">
        <v>251.12</v>
      </c>
      <c r="Q159" s="1">
        <f t="shared" si="6"/>
        <v>128.2051282051282</v>
      </c>
      <c r="R159" t="str" cm="1">
        <f t="array" ref="R159">_xlfn.IFS(Q159&lt;42.7, "low",
Q159&lt;85.4,"medium low",
Q159&lt;128,"medium high",
Q159&gt;=128,"high"
)</f>
        <v>high</v>
      </c>
      <c r="S159" t="str" cm="1">
        <f t="array" ref="S159">_xlfn.IFS(J159&lt;700,"low",J159&lt;1600,"medium low",J159&lt;2200,"medium high",J159&gt;=2200,"high")</f>
        <v>medium high</v>
      </c>
      <c r="T159" t="str" cm="1">
        <f t="array" ref="T159">_xlfn.IFS(
J159&lt;630,"Low",
J159&lt;1287,"Medium",
J159&lt;1495,"Intermediate",
J159&lt;1668,"Moderately",
J159&lt;1843,"Transition",
J159&lt;2477,"High",
J159&lt;2996,"Refractory I",
TRUE,"Refractory II"
)</f>
        <v>High</v>
      </c>
      <c r="U159">
        <f t="shared" si="7"/>
        <v>0.89395179950873938</v>
      </c>
      <c r="V159" t="str" cm="1">
        <f t="array" ref="V159">_xlfn.IFS(U159&lt;0.25,"shallow condution",
U159&lt;0.5,"transition",
U159&lt;1,"conduction",
U159&lt;1.5,"transition",U159&lt;3,"keyholeⅠ",3&lt;=U159,"keyhole Ⅱ"
)</f>
        <v>conduction</v>
      </c>
      <c r="X159">
        <f t="shared" si="8"/>
        <v>1.118628544122332</v>
      </c>
    </row>
    <row r="160" spans="1:24">
      <c r="A160" s="2" t="s">
        <v>18</v>
      </c>
      <c r="B160" s="4">
        <v>200</v>
      </c>
      <c r="C160" s="4">
        <v>600</v>
      </c>
      <c r="D160" s="4">
        <v>6.11</v>
      </c>
      <c r="E160" s="4">
        <v>21.5</v>
      </c>
      <c r="F160" s="4">
        <v>459</v>
      </c>
      <c r="G160" s="16" t="s">
        <v>89</v>
      </c>
      <c r="H160" s="4">
        <v>0.48899999999999999</v>
      </c>
      <c r="I160" s="4">
        <v>30.7</v>
      </c>
      <c r="J160" s="4">
        <v>1910</v>
      </c>
      <c r="K160" s="4">
        <v>3407</v>
      </c>
      <c r="L160" s="4">
        <v>0.6</v>
      </c>
      <c r="M160" s="4">
        <v>188.99</v>
      </c>
      <c r="N160" s="5">
        <v>201.08</v>
      </c>
      <c r="Q160" s="1">
        <f t="shared" si="6"/>
        <v>85.470085470085465</v>
      </c>
      <c r="R160" t="str" cm="1">
        <f t="array" ref="R160">_xlfn.IFS(Q160&lt;42.7, "low",
Q160&lt;85.4,"medium low",
Q160&lt;128,"medium high",
Q160&gt;=128,"high"
)</f>
        <v>medium high</v>
      </c>
      <c r="S160" t="str" cm="1">
        <f t="array" ref="S160">_xlfn.IFS(J160&lt;700,"low",J160&lt;1600,"medium low",J160&lt;2200,"medium high",J160&gt;=2200,"high")</f>
        <v>medium high</v>
      </c>
      <c r="T160" t="str" cm="1">
        <f t="array" ref="T160">_xlfn.IFS(
J160&lt;630,"Low",
J160&lt;1287,"Medium",
J160&lt;1495,"Intermediate",
J160&lt;1668,"Moderately",
J160&lt;1843,"Transition",
J160&lt;2477,"High",
J160&lt;2996,"Refractory I",
TRUE,"Refractory II"
)</f>
        <v>High</v>
      </c>
      <c r="U160">
        <f t="shared" si="7"/>
        <v>1.0639716387110429</v>
      </c>
      <c r="V160" t="str" cm="1">
        <f t="array" ref="V160">_xlfn.IFS(U160&lt;0.25,"shallow condution",
U160&lt;0.5,"transition",
U160&lt;1,"conduction",
U160&lt;1.5,"transition",U160&lt;3,"keyholeⅠ",3&lt;=U160,"keyhole Ⅱ"
)</f>
        <v>transition</v>
      </c>
      <c r="X160">
        <f t="shared" si="8"/>
        <v>0.9398746767455739</v>
      </c>
    </row>
    <row r="161" spans="1:24">
      <c r="A161" s="2" t="s">
        <v>18</v>
      </c>
      <c r="B161" s="4">
        <v>200</v>
      </c>
      <c r="C161" s="4">
        <v>800</v>
      </c>
      <c r="D161" s="4">
        <v>6.11</v>
      </c>
      <c r="E161" s="4">
        <v>21.5</v>
      </c>
      <c r="F161" s="4">
        <v>459</v>
      </c>
      <c r="G161" s="16" t="s">
        <v>89</v>
      </c>
      <c r="H161" s="4">
        <v>0.48899999999999999</v>
      </c>
      <c r="I161" s="4">
        <v>30.7</v>
      </c>
      <c r="J161" s="4">
        <v>1910</v>
      </c>
      <c r="K161" s="4">
        <v>3407</v>
      </c>
      <c r="L161" s="4">
        <v>0.6</v>
      </c>
      <c r="M161" s="4">
        <v>172.29</v>
      </c>
      <c r="N161" s="5">
        <v>84.83</v>
      </c>
      <c r="Q161" s="1">
        <f t="shared" si="6"/>
        <v>64.102564102564102</v>
      </c>
      <c r="R161" t="str" cm="1">
        <f t="array" ref="R161">_xlfn.IFS(Q161&lt;42.7, "low",
Q161&lt;85.4,"medium low",
Q161&lt;128,"medium high",
Q161&gt;=128,"high"
)</f>
        <v>medium low</v>
      </c>
      <c r="S161" t="str" cm="1">
        <f t="array" ref="S161">_xlfn.IFS(J161&lt;700,"low",J161&lt;1600,"medium low",J161&lt;2200,"medium high",J161&gt;=2200,"high")</f>
        <v>medium high</v>
      </c>
      <c r="T161" t="str" cm="1">
        <f t="array" ref="T161">_xlfn.IFS(
J161&lt;630,"Low",
J161&lt;1287,"Medium",
J161&lt;1495,"Intermediate",
J161&lt;1668,"Moderately",
J161&lt;1843,"Transition",
J161&lt;2477,"High",
J161&lt;2996,"Refractory I",
TRUE,"Refractory II"
)</f>
        <v>High</v>
      </c>
      <c r="U161">
        <f t="shared" si="7"/>
        <v>0.49236751987927335</v>
      </c>
      <c r="V161" t="str" cm="1">
        <f t="array" ref="V161">_xlfn.IFS(U161&lt;0.25,"shallow condution",
U161&lt;0.5,"transition",
U161&lt;1,"conduction",
U161&lt;1.5,"transition",U161&lt;3,"keyholeⅠ",3&lt;=U161,"keyhole Ⅱ"
)</f>
        <v>transition</v>
      </c>
      <c r="X161">
        <f t="shared" si="8"/>
        <v>2.0310031828362609</v>
      </c>
    </row>
    <row r="162" spans="1:24">
      <c r="A162" s="2" t="s">
        <v>18</v>
      </c>
      <c r="B162" s="4">
        <v>200</v>
      </c>
      <c r="C162" s="4">
        <v>1200</v>
      </c>
      <c r="D162" s="4">
        <v>6.11</v>
      </c>
      <c r="E162" s="4">
        <v>21.5</v>
      </c>
      <c r="F162" s="4">
        <v>459</v>
      </c>
      <c r="G162" s="16" t="s">
        <v>89</v>
      </c>
      <c r="H162" s="4">
        <v>0.48899999999999999</v>
      </c>
      <c r="I162" s="4">
        <v>30.7</v>
      </c>
      <c r="J162" s="4">
        <v>1910</v>
      </c>
      <c r="K162" s="4">
        <v>3407</v>
      </c>
      <c r="L162" s="4">
        <v>0.6</v>
      </c>
      <c r="M162" s="4">
        <v>132.75</v>
      </c>
      <c r="N162" s="5">
        <v>57.98</v>
      </c>
      <c r="Q162" s="1">
        <f t="shared" si="6"/>
        <v>42.735042735042732</v>
      </c>
      <c r="R162" t="str" cm="1">
        <f t="array" ref="R162">_xlfn.IFS(Q162&lt;42.7, "low",
Q162&lt;85.4,"medium low",
Q162&lt;128,"medium high",
Q162&gt;=128,"high"
)</f>
        <v>medium low</v>
      </c>
      <c r="S162" t="str" cm="1">
        <f t="array" ref="S162">_xlfn.IFS(J162&lt;700,"low",J162&lt;1600,"medium low",J162&lt;2200,"medium high",J162&gt;=2200,"high")</f>
        <v>medium high</v>
      </c>
      <c r="T162" t="str" cm="1">
        <f t="array" ref="T162">_xlfn.IFS(
J162&lt;630,"Low",
J162&lt;1287,"Medium",
J162&lt;1495,"Intermediate",
J162&lt;1668,"Moderately",
J162&lt;1843,"Transition",
J162&lt;2477,"High",
J162&lt;2996,"Refractory I",
TRUE,"Refractory II"
)</f>
        <v>High</v>
      </c>
      <c r="U162">
        <f t="shared" si="7"/>
        <v>0.43676082862523541</v>
      </c>
      <c r="V162" t="str" cm="1">
        <f t="array" ref="V162">_xlfn.IFS(U162&lt;0.25,"shallow condution",
U162&lt;0.5,"transition",
U162&lt;1,"conduction",
U162&lt;1.5,"transition",U162&lt;3,"keyholeⅠ",3&lt;=U162,"keyhole Ⅱ"
)</f>
        <v>transition</v>
      </c>
      <c r="X162">
        <f t="shared" si="8"/>
        <v>2.2895826146947225</v>
      </c>
    </row>
    <row r="163" spans="1:24">
      <c r="A163" s="2" t="s">
        <v>18</v>
      </c>
      <c r="B163" s="4">
        <v>200</v>
      </c>
      <c r="C163" s="4">
        <v>1600</v>
      </c>
      <c r="D163" s="4">
        <v>6.11</v>
      </c>
      <c r="E163" s="4">
        <v>21.5</v>
      </c>
      <c r="F163" s="4">
        <v>459</v>
      </c>
      <c r="G163" s="16" t="s">
        <v>89</v>
      </c>
      <c r="H163" s="4">
        <v>0.48899999999999999</v>
      </c>
      <c r="I163" s="4">
        <v>30.7</v>
      </c>
      <c r="J163" s="4">
        <v>1910</v>
      </c>
      <c r="K163" s="4">
        <v>3407</v>
      </c>
      <c r="L163" s="4">
        <v>0.6</v>
      </c>
      <c r="M163" s="4">
        <v>109.85</v>
      </c>
      <c r="N163" s="5">
        <v>49.23</v>
      </c>
      <c r="Q163" s="1">
        <f t="shared" si="6"/>
        <v>32.051282051282051</v>
      </c>
      <c r="R163" t="str" cm="1">
        <f t="array" ref="R163">_xlfn.IFS(Q163&lt;42.7, "low",
Q163&lt;85.4,"medium low",
Q163&lt;128,"medium high",
Q163&gt;=128,"high"
)</f>
        <v>low</v>
      </c>
      <c r="S163" t="str" cm="1">
        <f t="array" ref="S163">_xlfn.IFS(J163&lt;700,"low",J163&lt;1600,"medium low",J163&lt;2200,"medium high",J163&gt;=2200,"high")</f>
        <v>medium high</v>
      </c>
      <c r="T163" t="str" cm="1">
        <f t="array" ref="T163">_xlfn.IFS(
J163&lt;630,"Low",
J163&lt;1287,"Medium",
J163&lt;1495,"Intermediate",
J163&lt;1668,"Moderately",
J163&lt;1843,"Transition",
J163&lt;2477,"High",
J163&lt;2996,"Refractory I",
TRUE,"Refractory II"
)</f>
        <v>High</v>
      </c>
      <c r="U163">
        <f t="shared" si="7"/>
        <v>0.44815657715065998</v>
      </c>
      <c r="V163" t="str" cm="1">
        <f t="array" ref="V163">_xlfn.IFS(U163&lt;0.25,"shallow condution",
U163&lt;0.5,"transition",
U163&lt;1,"conduction",
U163&lt;1.5,"transition",U163&lt;3,"keyholeⅠ",3&lt;=U163,"keyhole Ⅱ"
)</f>
        <v>transition</v>
      </c>
      <c r="X163">
        <f t="shared" si="8"/>
        <v>2.2313629900467196</v>
      </c>
    </row>
    <row r="164" spans="1:24">
      <c r="A164" s="2" t="s">
        <v>18</v>
      </c>
      <c r="B164" s="4">
        <v>200</v>
      </c>
      <c r="C164" s="4">
        <v>2000</v>
      </c>
      <c r="D164" s="4">
        <v>6.11</v>
      </c>
      <c r="E164" s="4">
        <v>21.5</v>
      </c>
      <c r="F164" s="4">
        <v>459</v>
      </c>
      <c r="G164" s="16" t="s">
        <v>89</v>
      </c>
      <c r="H164" s="4">
        <v>0.48899999999999999</v>
      </c>
      <c r="I164" s="4">
        <v>30.7</v>
      </c>
      <c r="J164" s="4">
        <v>1910</v>
      </c>
      <c r="K164" s="4">
        <v>3407</v>
      </c>
      <c r="L164" s="4">
        <v>0.6</v>
      </c>
      <c r="M164" s="4">
        <v>84.57</v>
      </c>
      <c r="N164" s="5">
        <v>31.44</v>
      </c>
      <c r="Q164" s="1">
        <f t="shared" si="6"/>
        <v>25.641025641025642</v>
      </c>
      <c r="R164" t="str" cm="1">
        <f t="array" ref="R164">_xlfn.IFS(Q164&lt;42.7, "low",
Q164&lt;85.4,"medium low",
Q164&lt;128,"medium high",
Q164&gt;=128,"high"
)</f>
        <v>low</v>
      </c>
      <c r="S164" t="str" cm="1">
        <f t="array" ref="S164">_xlfn.IFS(J164&lt;700,"low",J164&lt;1600,"medium low",J164&lt;2200,"medium high",J164&gt;=2200,"high")</f>
        <v>medium high</v>
      </c>
      <c r="T164" t="str" cm="1">
        <f t="array" ref="T164">_xlfn.IFS(
J164&lt;630,"Low",
J164&lt;1287,"Medium",
J164&lt;1495,"Intermediate",
J164&lt;1668,"Moderately",
J164&lt;1843,"Transition",
J164&lt;2477,"High",
J164&lt;2996,"Refractory I",
TRUE,"Refractory II"
)</f>
        <v>High</v>
      </c>
      <c r="U164">
        <f t="shared" si="7"/>
        <v>0.37176303653777942</v>
      </c>
      <c r="V164" t="str" cm="1">
        <f t="array" ref="V164">_xlfn.IFS(U164&lt;0.25,"shallow condution",
U164&lt;0.5,"transition",
U164&lt;1,"conduction",
U164&lt;1.5,"transition",U164&lt;3,"keyholeⅠ",3&lt;=U164,"keyhole Ⅱ"
)</f>
        <v>transition</v>
      </c>
      <c r="X164">
        <f t="shared" si="8"/>
        <v>2.6898854961832059</v>
      </c>
    </row>
    <row r="165" spans="1:24">
      <c r="A165" s="2" t="s">
        <v>18</v>
      </c>
      <c r="B165" s="4">
        <v>200</v>
      </c>
      <c r="C165" s="4">
        <v>2400</v>
      </c>
      <c r="D165" s="4">
        <v>6.11</v>
      </c>
      <c r="E165" s="4">
        <v>21.5</v>
      </c>
      <c r="F165" s="4">
        <v>459</v>
      </c>
      <c r="G165" s="16" t="s">
        <v>89</v>
      </c>
      <c r="H165" s="4">
        <v>0.48899999999999999</v>
      </c>
      <c r="I165" s="4">
        <v>30.7</v>
      </c>
      <c r="J165" s="4">
        <v>1910</v>
      </c>
      <c r="K165" s="4">
        <v>3407</v>
      </c>
      <c r="L165" s="4">
        <v>0.6</v>
      </c>
      <c r="M165" s="4">
        <v>76.760000000000005</v>
      </c>
      <c r="N165" s="5">
        <v>26.3</v>
      </c>
      <c r="Q165" s="1">
        <f t="shared" si="6"/>
        <v>21.367521367521366</v>
      </c>
      <c r="R165" t="str" cm="1">
        <f t="array" ref="R165">_xlfn.IFS(Q165&lt;42.7, "low",
Q165&lt;85.4,"medium low",
Q165&lt;128,"medium high",
Q165&gt;=128,"high"
)</f>
        <v>low</v>
      </c>
      <c r="S165" t="str" cm="1">
        <f t="array" ref="S165">_xlfn.IFS(J165&lt;700,"low",J165&lt;1600,"medium low",J165&lt;2200,"medium high",J165&gt;=2200,"high")</f>
        <v>medium high</v>
      </c>
      <c r="T165" t="str" cm="1">
        <f t="array" ref="T165">_xlfn.IFS(
J165&lt;630,"Low",
J165&lt;1287,"Medium",
J165&lt;1495,"Intermediate",
J165&lt;1668,"Moderately",
J165&lt;1843,"Transition",
J165&lt;2477,"High",
J165&lt;2996,"Refractory I",
TRUE,"Refractory II"
)</f>
        <v>High</v>
      </c>
      <c r="U165">
        <f t="shared" si="7"/>
        <v>0.34262636789994788</v>
      </c>
      <c r="V165" t="str" cm="1">
        <f t="array" ref="V165">_xlfn.IFS(U165&lt;0.25,"shallow condution",
U165&lt;0.5,"transition",
U165&lt;1,"conduction",
U165&lt;1.5,"transition",U165&lt;3,"keyholeⅠ",3&lt;=U165,"keyhole Ⅱ"
)</f>
        <v>transition</v>
      </c>
      <c r="X165">
        <f t="shared" si="8"/>
        <v>2.9186311787072245</v>
      </c>
    </row>
    <row r="166" spans="1:24">
      <c r="A166" s="2" t="s">
        <v>18</v>
      </c>
      <c r="B166" s="4">
        <v>350</v>
      </c>
      <c r="C166" s="4">
        <v>400</v>
      </c>
      <c r="D166" s="4">
        <v>6.11</v>
      </c>
      <c r="E166" s="4">
        <v>21.5</v>
      </c>
      <c r="F166" s="4">
        <v>459</v>
      </c>
      <c r="G166" s="16" t="s">
        <v>89</v>
      </c>
      <c r="H166" s="4">
        <v>0.48899999999999999</v>
      </c>
      <c r="I166" s="4">
        <v>30.7</v>
      </c>
      <c r="J166" s="4">
        <v>1910</v>
      </c>
      <c r="K166" s="4">
        <v>3407</v>
      </c>
      <c r="L166" s="4">
        <v>0.6</v>
      </c>
      <c r="M166" s="4">
        <v>252.43</v>
      </c>
      <c r="N166" s="5">
        <v>289.64</v>
      </c>
      <c r="Q166" s="1">
        <f t="shared" si="6"/>
        <v>224.35897435897436</v>
      </c>
      <c r="R166" t="str" cm="1">
        <f t="array" ref="R166">_xlfn.IFS(Q166&lt;42.7, "low",
Q166&lt;85.4,"medium low",
Q166&lt;128,"medium high",
Q166&gt;=128,"high"
)</f>
        <v>high</v>
      </c>
      <c r="S166" t="str" cm="1">
        <f t="array" ref="S166">_xlfn.IFS(J166&lt;700,"low",J166&lt;1600,"medium low",J166&lt;2200,"medium high",J166&gt;=2200,"high")</f>
        <v>medium high</v>
      </c>
      <c r="T166" t="str" cm="1">
        <f t="array" ref="T166">_xlfn.IFS(
J166&lt;630,"Low",
J166&lt;1287,"Medium",
J166&lt;1495,"Intermediate",
J166&lt;1668,"Moderately",
J166&lt;1843,"Transition",
J166&lt;2477,"High",
J166&lt;2996,"Refractory I",
TRUE,"Refractory II"
)</f>
        <v>High</v>
      </c>
      <c r="U166">
        <f t="shared" si="7"/>
        <v>1.1474072019965931</v>
      </c>
      <c r="V166" t="str" cm="1">
        <f t="array" ref="V166">_xlfn.IFS(U166&lt;0.25,"shallow condution",
U166&lt;0.5,"transition",
U166&lt;1,"conduction",
U166&lt;1.5,"transition",U166&lt;3,"keyholeⅠ",3&lt;=U166,"keyhole Ⅱ"
)</f>
        <v>transition</v>
      </c>
      <c r="X166">
        <f t="shared" si="8"/>
        <v>0.87153017539013955</v>
      </c>
    </row>
    <row r="167" spans="1:24">
      <c r="A167" s="2" t="s">
        <v>18</v>
      </c>
      <c r="B167" s="4">
        <v>350</v>
      </c>
      <c r="C167" s="4">
        <v>600</v>
      </c>
      <c r="D167" s="4">
        <v>6.11</v>
      </c>
      <c r="E167" s="4">
        <v>21.5</v>
      </c>
      <c r="F167" s="4">
        <v>459</v>
      </c>
      <c r="G167" s="16" t="s">
        <v>89</v>
      </c>
      <c r="H167" s="4">
        <v>0.48899999999999999</v>
      </c>
      <c r="I167" s="4">
        <v>30.7</v>
      </c>
      <c r="J167" s="4">
        <v>1910</v>
      </c>
      <c r="K167" s="4">
        <v>3407</v>
      </c>
      <c r="L167" s="4">
        <v>0.6</v>
      </c>
      <c r="M167" s="4">
        <v>225.97</v>
      </c>
      <c r="N167" s="5">
        <v>137.88</v>
      </c>
      <c r="Q167" s="1">
        <f t="shared" si="6"/>
        <v>149.57264957264957</v>
      </c>
      <c r="R167" t="str" cm="1">
        <f t="array" ref="R167">_xlfn.IFS(Q167&lt;42.7, "low",
Q167&lt;85.4,"medium low",
Q167&lt;128,"medium high",
Q167&gt;=128,"high"
)</f>
        <v>high</v>
      </c>
      <c r="S167" t="str" cm="1">
        <f t="array" ref="S167">_xlfn.IFS(J167&lt;700,"low",J167&lt;1600,"medium low",J167&lt;2200,"medium high",J167&gt;=2200,"high")</f>
        <v>medium high</v>
      </c>
      <c r="T167" t="str" cm="1">
        <f t="array" ref="T167">_xlfn.IFS(
J167&lt;630,"Low",
J167&lt;1287,"Medium",
J167&lt;1495,"Intermediate",
J167&lt;1668,"Moderately",
J167&lt;1843,"Transition",
J167&lt;2477,"High",
J167&lt;2996,"Refractory I",
TRUE,"Refractory II"
)</f>
        <v>High</v>
      </c>
      <c r="U167">
        <f t="shared" si="7"/>
        <v>0.61016949152542366</v>
      </c>
      <c r="V167" t="str" cm="1">
        <f t="array" ref="V167">_xlfn.IFS(U167&lt;0.25,"shallow condution",
U167&lt;0.5,"transition",
U167&lt;1,"conduction",
U167&lt;1.5,"transition",U167&lt;3,"keyholeⅠ",3&lt;=U167,"keyhole Ⅱ"
)</f>
        <v>conduction</v>
      </c>
      <c r="X167">
        <f t="shared" si="8"/>
        <v>1.6388888888888888</v>
      </c>
    </row>
    <row r="168" spans="1:24">
      <c r="A168" s="2" t="s">
        <v>18</v>
      </c>
      <c r="B168" s="4">
        <v>350</v>
      </c>
      <c r="C168" s="4">
        <v>800</v>
      </c>
      <c r="D168" s="4">
        <v>6.11</v>
      </c>
      <c r="E168" s="4">
        <v>21.5</v>
      </c>
      <c r="F168" s="4">
        <v>459</v>
      </c>
      <c r="G168" s="16" t="s">
        <v>89</v>
      </c>
      <c r="H168" s="4">
        <v>0.48899999999999999</v>
      </c>
      <c r="I168" s="4">
        <v>30.7</v>
      </c>
      <c r="J168" s="4">
        <v>1910</v>
      </c>
      <c r="K168" s="4">
        <v>3407</v>
      </c>
      <c r="L168" s="4">
        <v>0.6</v>
      </c>
      <c r="M168" s="4">
        <v>158.78</v>
      </c>
      <c r="N168" s="5">
        <v>89.53</v>
      </c>
      <c r="Q168" s="1">
        <f t="shared" si="6"/>
        <v>112.17948717948718</v>
      </c>
      <c r="R168" t="str" cm="1">
        <f t="array" ref="R168">_xlfn.IFS(Q168&lt;42.7, "low",
Q168&lt;85.4,"medium low",
Q168&lt;128,"medium high",
Q168&gt;=128,"high"
)</f>
        <v>medium high</v>
      </c>
      <c r="S168" t="str" cm="1">
        <f t="array" ref="S168">_xlfn.IFS(J168&lt;700,"low",J168&lt;1600,"medium low",J168&lt;2200,"medium high",J168&gt;=2200,"high")</f>
        <v>medium high</v>
      </c>
      <c r="T168" t="str" cm="1">
        <f t="array" ref="T168">_xlfn.IFS(
J168&lt;630,"Low",
J168&lt;1287,"Medium",
J168&lt;1495,"Intermediate",
J168&lt;1668,"Moderately",
J168&lt;1843,"Transition",
J168&lt;2477,"High",
J168&lt;2996,"Refractory I",
TRUE,"Refractory II"
)</f>
        <v>High</v>
      </c>
      <c r="U168">
        <f t="shared" si="7"/>
        <v>0.56386194734853257</v>
      </c>
      <c r="V168" t="str" cm="1">
        <f t="array" ref="V168">_xlfn.IFS(U168&lt;0.25,"shallow condution",
U168&lt;0.5,"transition",
U168&lt;1,"conduction",
U168&lt;1.5,"transition",U168&lt;3,"keyholeⅠ",3&lt;=U168,"keyhole Ⅱ"
)</f>
        <v>conduction</v>
      </c>
      <c r="X168">
        <f t="shared" si="8"/>
        <v>1.7734837484642019</v>
      </c>
    </row>
    <row r="169" spans="1:24">
      <c r="A169" s="2" t="s">
        <v>18</v>
      </c>
      <c r="B169" s="4">
        <v>350</v>
      </c>
      <c r="C169" s="4">
        <v>1000</v>
      </c>
      <c r="D169" s="4">
        <v>6.11</v>
      </c>
      <c r="E169" s="4">
        <v>21.5</v>
      </c>
      <c r="F169" s="4">
        <v>459</v>
      </c>
      <c r="G169" s="16" t="s">
        <v>89</v>
      </c>
      <c r="H169" s="4">
        <v>0.48899999999999999</v>
      </c>
      <c r="I169" s="4">
        <v>30.7</v>
      </c>
      <c r="J169" s="4">
        <v>1910</v>
      </c>
      <c r="K169" s="4">
        <v>3407</v>
      </c>
      <c r="L169" s="4">
        <v>0.6</v>
      </c>
      <c r="M169" s="4">
        <v>146.07</v>
      </c>
      <c r="N169" s="5">
        <v>89.13</v>
      </c>
      <c r="Q169" s="1">
        <f t="shared" si="6"/>
        <v>89.743589743589737</v>
      </c>
      <c r="R169" t="str" cm="1">
        <f t="array" ref="R169">_xlfn.IFS(Q169&lt;42.7, "low",
Q169&lt;85.4,"medium low",
Q169&lt;128,"medium high",
Q169&gt;=128,"high"
)</f>
        <v>medium high</v>
      </c>
      <c r="S169" t="str" cm="1">
        <f t="array" ref="S169">_xlfn.IFS(J169&lt;700,"low",J169&lt;1600,"medium low",J169&lt;2200,"medium high",J169&gt;=2200,"high")</f>
        <v>medium high</v>
      </c>
      <c r="T169" t="str" cm="1">
        <f t="array" ref="T169">_xlfn.IFS(
J169&lt;630,"Low",
J169&lt;1287,"Medium",
J169&lt;1495,"Intermediate",
J169&lt;1668,"Moderately",
J169&lt;1843,"Transition",
J169&lt;2477,"High",
J169&lt;2996,"Refractory I",
TRUE,"Refractory II"
)</f>
        <v>High</v>
      </c>
      <c r="U169">
        <f t="shared" si="7"/>
        <v>0.61018689669336623</v>
      </c>
      <c r="V169" t="str" cm="1">
        <f t="array" ref="V169">_xlfn.IFS(U169&lt;0.25,"shallow condution",
U169&lt;0.5,"transition",
U169&lt;1,"conduction",
U169&lt;1.5,"transition",U169&lt;3,"keyholeⅠ",3&lt;=U169,"keyhole Ⅱ"
)</f>
        <v>conduction</v>
      </c>
      <c r="X169">
        <f t="shared" si="8"/>
        <v>1.6388421406933693</v>
      </c>
    </row>
    <row r="170" spans="1:24">
      <c r="A170" s="2" t="s">
        <v>18</v>
      </c>
      <c r="B170" s="4">
        <v>350</v>
      </c>
      <c r="C170" s="4">
        <v>1200</v>
      </c>
      <c r="D170" s="4">
        <v>6.11</v>
      </c>
      <c r="E170" s="4">
        <v>21.5</v>
      </c>
      <c r="F170" s="4">
        <v>459</v>
      </c>
      <c r="G170" s="16" t="s">
        <v>89</v>
      </c>
      <c r="H170" s="4">
        <v>0.48899999999999999</v>
      </c>
      <c r="I170" s="4">
        <v>30.7</v>
      </c>
      <c r="J170" s="4">
        <v>1910</v>
      </c>
      <c r="K170" s="4">
        <v>3407</v>
      </c>
      <c r="L170" s="4">
        <v>0.6</v>
      </c>
      <c r="M170" s="4">
        <v>128.25</v>
      </c>
      <c r="N170" s="5">
        <v>78.67</v>
      </c>
      <c r="Q170" s="1">
        <f t="shared" si="6"/>
        <v>74.786324786324784</v>
      </c>
      <c r="R170" t="str" cm="1">
        <f t="array" ref="R170">_xlfn.IFS(Q170&lt;42.7, "low",
Q170&lt;85.4,"medium low",
Q170&lt;128,"medium high",
Q170&gt;=128,"high"
)</f>
        <v>medium low</v>
      </c>
      <c r="S170" t="str" cm="1">
        <f t="array" ref="S170">_xlfn.IFS(J170&lt;700,"low",J170&lt;1600,"medium low",J170&lt;2200,"medium high",J170&gt;=2200,"high")</f>
        <v>medium high</v>
      </c>
      <c r="T170" t="str" cm="1">
        <f t="array" ref="T170">_xlfn.IFS(
J170&lt;630,"Low",
J170&lt;1287,"Medium",
J170&lt;1495,"Intermediate",
J170&lt;1668,"Moderately",
J170&lt;1843,"Transition",
J170&lt;2477,"High",
J170&lt;2996,"Refractory I",
TRUE,"Refractory II"
)</f>
        <v>High</v>
      </c>
      <c r="U170">
        <f t="shared" si="7"/>
        <v>0.61341130604288496</v>
      </c>
      <c r="V170" t="str" cm="1">
        <f t="array" ref="V170">_xlfn.IFS(U170&lt;0.25,"shallow condution",
U170&lt;0.5,"transition",
U170&lt;1,"conduction",
U170&lt;1.5,"transition",U170&lt;3,"keyholeⅠ",3&lt;=U170,"keyhole Ⅱ"
)</f>
        <v>conduction</v>
      </c>
      <c r="X170">
        <f t="shared" si="8"/>
        <v>1.630227532731664</v>
      </c>
    </row>
    <row r="171" spans="1:24">
      <c r="A171" s="2" t="s">
        <v>18</v>
      </c>
      <c r="B171" s="4">
        <v>350</v>
      </c>
      <c r="C171" s="4">
        <v>1600</v>
      </c>
      <c r="D171" s="4">
        <v>6.11</v>
      </c>
      <c r="E171" s="4">
        <v>21.5</v>
      </c>
      <c r="F171" s="4">
        <v>459</v>
      </c>
      <c r="G171" s="16" t="s">
        <v>89</v>
      </c>
      <c r="H171" s="4">
        <v>0.48899999999999999</v>
      </c>
      <c r="I171" s="4">
        <v>30.7</v>
      </c>
      <c r="J171" s="4">
        <v>1910</v>
      </c>
      <c r="K171" s="4">
        <v>3407</v>
      </c>
      <c r="L171" s="4">
        <v>0.6</v>
      </c>
      <c r="M171" s="4">
        <v>121.45</v>
      </c>
      <c r="N171" s="5">
        <v>60.21</v>
      </c>
      <c r="Q171" s="1">
        <f t="shared" si="6"/>
        <v>56.089743589743591</v>
      </c>
      <c r="R171" t="str" cm="1">
        <f t="array" ref="R171">_xlfn.IFS(Q171&lt;42.7, "low",
Q171&lt;85.4,"medium low",
Q171&lt;128,"medium high",
Q171&gt;=128,"high"
)</f>
        <v>medium low</v>
      </c>
      <c r="S171" t="str" cm="1">
        <f t="array" ref="S171">_xlfn.IFS(J171&lt;700,"low",J171&lt;1600,"medium low",J171&lt;2200,"medium high",J171&gt;=2200,"high")</f>
        <v>medium high</v>
      </c>
      <c r="T171" t="str" cm="1">
        <f t="array" ref="T171">_xlfn.IFS(
J171&lt;630,"Low",
J171&lt;1287,"Medium",
J171&lt;1495,"Intermediate",
J171&lt;1668,"Moderately",
J171&lt;1843,"Transition",
J171&lt;2477,"High",
J171&lt;2996,"Refractory I",
TRUE,"Refractory II"
)</f>
        <v>High</v>
      </c>
      <c r="U171">
        <f t="shared" si="7"/>
        <v>0.49575957184026348</v>
      </c>
      <c r="V171" t="str" cm="1">
        <f t="array" ref="V171">_xlfn.IFS(U171&lt;0.25,"shallow condution",
U171&lt;0.5,"transition",
U171&lt;1,"conduction",
U171&lt;1.5,"transition",U171&lt;3,"keyholeⅠ",3&lt;=U171,"keyhole Ⅱ"
)</f>
        <v>transition</v>
      </c>
      <c r="X171">
        <f t="shared" si="8"/>
        <v>2.0171067928915463</v>
      </c>
    </row>
    <row r="172" spans="1:24">
      <c r="A172" s="2" t="s">
        <v>18</v>
      </c>
      <c r="B172" s="4">
        <v>350</v>
      </c>
      <c r="C172" s="4">
        <v>2000</v>
      </c>
      <c r="D172" s="4">
        <v>6.11</v>
      </c>
      <c r="E172" s="4">
        <v>21.5</v>
      </c>
      <c r="F172" s="4">
        <v>459</v>
      </c>
      <c r="G172" s="16" t="s">
        <v>89</v>
      </c>
      <c r="H172" s="4">
        <v>0.48899999999999999</v>
      </c>
      <c r="I172" s="4">
        <v>30.7</v>
      </c>
      <c r="J172" s="4">
        <v>1910</v>
      </c>
      <c r="K172" s="4">
        <v>3407</v>
      </c>
      <c r="L172" s="4">
        <v>0.6</v>
      </c>
      <c r="M172" s="4">
        <v>112.1</v>
      </c>
      <c r="N172" s="5">
        <v>48.08</v>
      </c>
      <c r="Q172" s="1">
        <f t="shared" si="6"/>
        <v>44.871794871794869</v>
      </c>
      <c r="R172" t="str" cm="1">
        <f t="array" ref="R172">_xlfn.IFS(Q172&lt;42.7, "low",
Q172&lt;85.4,"medium low",
Q172&lt;128,"medium high",
Q172&gt;=128,"high"
)</f>
        <v>medium low</v>
      </c>
      <c r="S172" t="str" cm="1">
        <f t="array" ref="S172">_xlfn.IFS(J172&lt;700,"low",J172&lt;1600,"medium low",J172&lt;2200,"medium high",J172&gt;=2200,"high")</f>
        <v>medium high</v>
      </c>
      <c r="T172" t="str" cm="1">
        <f t="array" ref="T172">_xlfn.IFS(
J172&lt;630,"Low",
J172&lt;1287,"Medium",
J172&lt;1495,"Intermediate",
J172&lt;1668,"Moderately",
J172&lt;1843,"Transition",
J172&lt;2477,"High",
J172&lt;2996,"Refractory I",
TRUE,"Refractory II"
)</f>
        <v>High</v>
      </c>
      <c r="U172">
        <f t="shared" si="7"/>
        <v>0.42890276538804639</v>
      </c>
      <c r="V172" t="str" cm="1">
        <f t="array" ref="V172">_xlfn.IFS(U172&lt;0.25,"shallow condution",
U172&lt;0.5,"transition",
U172&lt;1,"conduction",
U172&lt;1.5,"transition",U172&lt;3,"keyholeⅠ",3&lt;=U172,"keyhole Ⅱ"
)</f>
        <v>transition</v>
      </c>
      <c r="X172">
        <f t="shared" si="8"/>
        <v>2.33153078202995</v>
      </c>
    </row>
    <row r="173" spans="1:24">
      <c r="A173" s="2" t="s">
        <v>18</v>
      </c>
      <c r="B173" s="4">
        <v>350</v>
      </c>
      <c r="C173" s="4">
        <v>2400</v>
      </c>
      <c r="D173" s="4">
        <v>6.11</v>
      </c>
      <c r="E173" s="4">
        <v>21.5</v>
      </c>
      <c r="F173" s="4">
        <v>459</v>
      </c>
      <c r="G173" s="16" t="s">
        <v>89</v>
      </c>
      <c r="H173" s="4">
        <v>0.48899999999999999</v>
      </c>
      <c r="I173" s="4">
        <v>30.7</v>
      </c>
      <c r="J173" s="4">
        <v>1910</v>
      </c>
      <c r="K173" s="4">
        <v>3407</v>
      </c>
      <c r="L173" s="4">
        <v>0.6</v>
      </c>
      <c r="M173" s="4">
        <v>108.09</v>
      </c>
      <c r="N173" s="5">
        <v>39.25</v>
      </c>
      <c r="Q173" s="1">
        <f t="shared" si="6"/>
        <v>37.393162393162392</v>
      </c>
      <c r="R173" t="str" cm="1">
        <f t="array" ref="R173">_xlfn.IFS(Q173&lt;42.7, "low",
Q173&lt;85.4,"medium low",
Q173&lt;128,"medium high",
Q173&gt;=128,"high"
)</f>
        <v>low</v>
      </c>
      <c r="S173" t="str" cm="1">
        <f t="array" ref="S173">_xlfn.IFS(J173&lt;700,"low",J173&lt;1600,"medium low",J173&lt;2200,"medium high",J173&gt;=2200,"high")</f>
        <v>medium high</v>
      </c>
      <c r="T173" t="str" cm="1">
        <f t="array" ref="T173">_xlfn.IFS(
J173&lt;630,"Low",
J173&lt;1287,"Medium",
J173&lt;1495,"Intermediate",
J173&lt;1668,"Moderately",
J173&lt;1843,"Transition",
J173&lt;2477,"High",
J173&lt;2996,"Refractory I",
TRUE,"Refractory II"
)</f>
        <v>High</v>
      </c>
      <c r="U173">
        <f t="shared" si="7"/>
        <v>0.36312332315662871</v>
      </c>
      <c r="V173" t="str" cm="1">
        <f t="array" ref="V173">_xlfn.IFS(U173&lt;0.25,"shallow condution",
U173&lt;0.5,"transition",
U173&lt;1,"conduction",
U173&lt;1.5,"transition",U173&lt;3,"keyholeⅠ",3&lt;=U173,"keyhole Ⅱ"
)</f>
        <v>transition</v>
      </c>
      <c r="X173">
        <f t="shared" si="8"/>
        <v>2.7538853503184715</v>
      </c>
    </row>
    <row r="174" spans="1:24">
      <c r="A174" s="2" t="s">
        <v>18</v>
      </c>
      <c r="B174" s="4">
        <v>100</v>
      </c>
      <c r="C174" s="4">
        <v>300</v>
      </c>
      <c r="D174" s="4">
        <v>6.11</v>
      </c>
      <c r="E174" s="4">
        <v>21.5</v>
      </c>
      <c r="F174" s="4">
        <v>459</v>
      </c>
      <c r="G174" s="16" t="s">
        <v>89</v>
      </c>
      <c r="H174" s="4">
        <v>0.48899999999999999</v>
      </c>
      <c r="I174" s="4">
        <v>30.7</v>
      </c>
      <c r="J174" s="4">
        <v>1910</v>
      </c>
      <c r="K174" s="4">
        <v>3407</v>
      </c>
      <c r="L174" s="4">
        <v>0.6</v>
      </c>
      <c r="M174" s="4">
        <v>100.7</v>
      </c>
      <c r="N174" s="5">
        <v>44.59</v>
      </c>
      <c r="Q174" s="1">
        <f t="shared" si="6"/>
        <v>85.470085470085465</v>
      </c>
      <c r="R174" t="str" cm="1">
        <f t="array" ref="R174">_xlfn.IFS(Q174&lt;42.7, "low",
Q174&lt;85.4,"medium low",
Q174&lt;128,"medium high",
Q174&gt;=128,"high"
)</f>
        <v>medium high</v>
      </c>
      <c r="S174" t="str" cm="1">
        <f t="array" ref="S174">_xlfn.IFS(J174&lt;700,"low",J174&lt;1600,"medium low",J174&lt;2200,"medium high",J174&gt;=2200,"high")</f>
        <v>medium high</v>
      </c>
      <c r="T174" t="str" cm="1">
        <f t="array" ref="T174">_xlfn.IFS(
J174&lt;630,"Low",
J174&lt;1287,"Medium",
J174&lt;1495,"Intermediate",
J174&lt;1668,"Moderately",
J174&lt;1843,"Transition",
J174&lt;2477,"High",
J174&lt;2996,"Refractory I",
TRUE,"Refractory II"
)</f>
        <v>High</v>
      </c>
      <c r="U174">
        <f t="shared" si="7"/>
        <v>0.44280039721946379</v>
      </c>
      <c r="V174" t="str" cm="1">
        <f t="array" ref="V174">_xlfn.IFS(U174&lt;0.25,"shallow condution",
U174&lt;0.5,"transition",
U174&lt;1,"conduction",
U174&lt;1.5,"transition",U174&lt;3,"keyholeⅠ",3&lt;=U174,"keyhole Ⅱ"
)</f>
        <v>transition</v>
      </c>
      <c r="X174">
        <f t="shared" si="8"/>
        <v>2.2583538910069523</v>
      </c>
    </row>
    <row r="175" spans="1:24">
      <c r="A175" s="2" t="s">
        <v>18</v>
      </c>
      <c r="B175" s="4">
        <v>150</v>
      </c>
      <c r="C175" s="4">
        <v>300</v>
      </c>
      <c r="D175" s="4">
        <v>6.11</v>
      </c>
      <c r="E175" s="4">
        <v>21.5</v>
      </c>
      <c r="F175" s="4">
        <v>459</v>
      </c>
      <c r="G175" s="16" t="s">
        <v>89</v>
      </c>
      <c r="H175" s="4">
        <v>0.48899999999999999</v>
      </c>
      <c r="I175" s="4">
        <v>30.7</v>
      </c>
      <c r="J175" s="4">
        <v>1910</v>
      </c>
      <c r="K175" s="4">
        <v>3407</v>
      </c>
      <c r="L175" s="4">
        <v>0.6</v>
      </c>
      <c r="M175" s="4">
        <v>109.84</v>
      </c>
      <c r="N175" s="5">
        <v>52.91</v>
      </c>
      <c r="Q175" s="1">
        <f t="shared" si="6"/>
        <v>128.2051282051282</v>
      </c>
      <c r="R175" t="str" cm="1">
        <f t="array" ref="R175">_xlfn.IFS(Q175&lt;42.7, "low",
Q175&lt;85.4,"medium low",
Q175&lt;128,"medium high",
Q175&gt;=128,"high"
)</f>
        <v>high</v>
      </c>
      <c r="S175" t="str" cm="1">
        <f t="array" ref="S175">_xlfn.IFS(J175&lt;700,"low",J175&lt;1600,"medium low",J175&lt;2200,"medium high",J175&gt;=2200,"high")</f>
        <v>medium high</v>
      </c>
      <c r="T175" t="str" cm="1">
        <f t="array" ref="T175">_xlfn.IFS(
J175&lt;630,"Low",
J175&lt;1287,"Medium",
J175&lt;1495,"Intermediate",
J175&lt;1668,"Moderately",
J175&lt;1843,"Transition",
J175&lt;2477,"High",
J175&lt;2996,"Refractory I",
TRUE,"Refractory II"
)</f>
        <v>High</v>
      </c>
      <c r="U175">
        <f t="shared" si="7"/>
        <v>0.48170065549890745</v>
      </c>
      <c r="V175" t="str" cm="1">
        <f t="array" ref="V175">_xlfn.IFS(U175&lt;0.25,"shallow condution",
U175&lt;0.5,"transition",
U175&lt;1,"conduction",
U175&lt;1.5,"transition",U175&lt;3,"keyholeⅠ",3&lt;=U175,"keyhole Ⅱ"
)</f>
        <v>transition</v>
      </c>
      <c r="X175">
        <f t="shared" si="8"/>
        <v>2.0759780759780764</v>
      </c>
    </row>
    <row r="176" spans="1:24">
      <c r="A176" s="2" t="s">
        <v>18</v>
      </c>
      <c r="B176" s="4">
        <v>200</v>
      </c>
      <c r="C176" s="4">
        <v>300</v>
      </c>
      <c r="D176" s="4">
        <v>6.11</v>
      </c>
      <c r="E176" s="4">
        <v>21.5</v>
      </c>
      <c r="F176" s="4">
        <v>459</v>
      </c>
      <c r="G176" s="16" t="s">
        <v>89</v>
      </c>
      <c r="H176" s="4">
        <v>0.48899999999999999</v>
      </c>
      <c r="I176" s="4">
        <v>30.7</v>
      </c>
      <c r="J176" s="4">
        <v>1910</v>
      </c>
      <c r="K176" s="4">
        <v>3407</v>
      </c>
      <c r="L176" s="4">
        <v>0.6</v>
      </c>
      <c r="M176" s="4">
        <v>180.12</v>
      </c>
      <c r="N176" s="5">
        <v>67.400000000000006</v>
      </c>
      <c r="Q176" s="1">
        <f t="shared" si="6"/>
        <v>170.94017094017093</v>
      </c>
      <c r="R176" t="str" cm="1">
        <f t="array" ref="R176">_xlfn.IFS(Q176&lt;42.7, "low",
Q176&lt;85.4,"medium low",
Q176&lt;128,"medium high",
Q176&gt;=128,"high"
)</f>
        <v>high</v>
      </c>
      <c r="S176" t="str" cm="1">
        <f t="array" ref="S176">_xlfn.IFS(J176&lt;700,"low",J176&lt;1600,"medium low",J176&lt;2200,"medium high",J176&gt;=2200,"high")</f>
        <v>medium high</v>
      </c>
      <c r="T176" t="str" cm="1">
        <f t="array" ref="T176">_xlfn.IFS(
J176&lt;630,"Low",
J176&lt;1287,"Medium",
J176&lt;1495,"Intermediate",
J176&lt;1668,"Moderately",
J176&lt;1843,"Transition",
J176&lt;2477,"High",
J176&lt;2996,"Refractory I",
TRUE,"Refractory II"
)</f>
        <v>High</v>
      </c>
      <c r="U176">
        <f t="shared" si="7"/>
        <v>0.37419498112369531</v>
      </c>
      <c r="V176" t="str" cm="1">
        <f t="array" ref="V176">_xlfn.IFS(U176&lt;0.25,"shallow condution",
U176&lt;0.5,"transition",
U176&lt;1,"conduction",
U176&lt;1.5,"transition",U176&lt;3,"keyholeⅠ",3&lt;=U176,"keyhole Ⅱ"
)</f>
        <v>transition</v>
      </c>
      <c r="X176">
        <f t="shared" si="8"/>
        <v>2.6724035608308605</v>
      </c>
    </row>
    <row r="177" spans="1:24">
      <c r="A177" s="2" t="s">
        <v>18</v>
      </c>
      <c r="B177" s="4">
        <v>250</v>
      </c>
      <c r="C177" s="4">
        <v>300</v>
      </c>
      <c r="D177" s="4">
        <v>6.11</v>
      </c>
      <c r="E177" s="4">
        <v>21.5</v>
      </c>
      <c r="F177" s="4">
        <v>459</v>
      </c>
      <c r="G177" s="16" t="s">
        <v>89</v>
      </c>
      <c r="H177" s="4">
        <v>0.48899999999999999</v>
      </c>
      <c r="I177" s="4">
        <v>30.7</v>
      </c>
      <c r="J177" s="4">
        <v>1910</v>
      </c>
      <c r="K177" s="4">
        <v>3407</v>
      </c>
      <c r="L177" s="4">
        <v>0.6</v>
      </c>
      <c r="M177" s="4">
        <v>187.26</v>
      </c>
      <c r="N177" s="5">
        <v>87.89</v>
      </c>
      <c r="Q177" s="1">
        <f t="shared" si="6"/>
        <v>213.67521367521368</v>
      </c>
      <c r="R177" t="str" cm="1">
        <f t="array" ref="R177">_xlfn.IFS(Q177&lt;42.7, "low",
Q177&lt;85.4,"medium low",
Q177&lt;128,"medium high",
Q177&gt;=128,"high"
)</f>
        <v>high</v>
      </c>
      <c r="S177" t="str" cm="1">
        <f t="array" ref="S177">_xlfn.IFS(J177&lt;700,"low",J177&lt;1600,"medium low",J177&lt;2200,"medium high",J177&gt;=2200,"high")</f>
        <v>medium high</v>
      </c>
      <c r="T177" t="str" cm="1">
        <f t="array" ref="T177">_xlfn.IFS(
J177&lt;630,"Low",
J177&lt;1287,"Medium",
J177&lt;1495,"Intermediate",
J177&lt;1668,"Moderately",
J177&lt;1843,"Transition",
J177&lt;2477,"High",
J177&lt;2996,"Refractory I",
TRUE,"Refractory II"
)</f>
        <v>High</v>
      </c>
      <c r="U177">
        <f t="shared" si="7"/>
        <v>0.46934743137883161</v>
      </c>
      <c r="V177" t="str" cm="1">
        <f t="array" ref="V177">_xlfn.IFS(U177&lt;0.25,"shallow condution",
U177&lt;0.5,"transition",
U177&lt;1,"conduction",
U177&lt;1.5,"transition",U177&lt;3,"keyholeⅠ",3&lt;=U177,"keyhole Ⅱ"
)</f>
        <v>transition</v>
      </c>
      <c r="X177">
        <f t="shared" si="8"/>
        <v>2.1306178177267037</v>
      </c>
    </row>
    <row r="178" spans="1:24">
      <c r="A178" s="2" t="s">
        <v>18</v>
      </c>
      <c r="B178" s="4">
        <v>300</v>
      </c>
      <c r="C178" s="4">
        <v>300</v>
      </c>
      <c r="D178" s="4">
        <v>6.11</v>
      </c>
      <c r="E178" s="4">
        <v>21.5</v>
      </c>
      <c r="F178" s="4">
        <v>459</v>
      </c>
      <c r="G178" s="16" t="s">
        <v>89</v>
      </c>
      <c r="H178" s="4">
        <v>0.48899999999999999</v>
      </c>
      <c r="I178" s="4">
        <v>30.7</v>
      </c>
      <c r="J178" s="4">
        <v>1910</v>
      </c>
      <c r="K178" s="4">
        <v>3407</v>
      </c>
      <c r="L178" s="4">
        <v>0.6</v>
      </c>
      <c r="M178" s="4">
        <v>222.55</v>
      </c>
      <c r="N178" s="5">
        <v>99.98</v>
      </c>
      <c r="Q178" s="1">
        <f t="shared" si="6"/>
        <v>256.41025641025641</v>
      </c>
      <c r="R178" t="str" cm="1">
        <f t="array" ref="R178">_xlfn.IFS(Q178&lt;42.7, "low",
Q178&lt;85.4,"medium low",
Q178&lt;128,"medium high",
Q178&gt;=128,"high"
)</f>
        <v>high</v>
      </c>
      <c r="S178" t="str" cm="1">
        <f t="array" ref="S178">_xlfn.IFS(J178&lt;700,"low",J178&lt;1600,"medium low",J178&lt;2200,"medium high",J178&gt;=2200,"high")</f>
        <v>medium high</v>
      </c>
      <c r="T178" t="str" cm="1">
        <f t="array" ref="T178">_xlfn.IFS(
J178&lt;630,"Low",
J178&lt;1287,"Medium",
J178&lt;1495,"Intermediate",
J178&lt;1668,"Moderately",
J178&lt;1843,"Transition",
J178&lt;2477,"High",
J178&lt;2996,"Refractory I",
TRUE,"Refractory II"
)</f>
        <v>High</v>
      </c>
      <c r="U178">
        <f t="shared" si="7"/>
        <v>0.44924736014378791</v>
      </c>
      <c r="V178" t="str" cm="1">
        <f t="array" ref="V178">_xlfn.IFS(U178&lt;0.25,"shallow condution",
U178&lt;0.5,"transition",
U178&lt;1,"conduction",
U178&lt;1.5,"transition",U178&lt;3,"keyholeⅠ",3&lt;=U178,"keyhole Ⅱ"
)</f>
        <v>transition</v>
      </c>
      <c r="X178">
        <f t="shared" si="8"/>
        <v>2.2259451890378075</v>
      </c>
    </row>
    <row r="179" spans="1:24">
      <c r="A179" s="2" t="s">
        <v>18</v>
      </c>
      <c r="B179" s="4">
        <v>100</v>
      </c>
      <c r="C179" s="4">
        <v>600</v>
      </c>
      <c r="D179" s="4">
        <v>6.11</v>
      </c>
      <c r="E179" s="4">
        <v>21.5</v>
      </c>
      <c r="F179" s="4">
        <v>459</v>
      </c>
      <c r="G179" s="16" t="s">
        <v>89</v>
      </c>
      <c r="H179" s="4">
        <v>0.48899999999999999</v>
      </c>
      <c r="I179" s="4">
        <v>30.7</v>
      </c>
      <c r="J179" s="4">
        <v>1910</v>
      </c>
      <c r="K179" s="4">
        <v>3407</v>
      </c>
      <c r="L179" s="4">
        <v>0.6</v>
      </c>
      <c r="M179" s="4">
        <v>52.93</v>
      </c>
      <c r="N179" s="5">
        <v>15.4</v>
      </c>
      <c r="Q179" s="1">
        <f t="shared" si="6"/>
        <v>42.735042735042732</v>
      </c>
      <c r="R179" t="str" cm="1">
        <f t="array" ref="R179">_xlfn.IFS(Q179&lt;42.7, "low",
Q179&lt;85.4,"medium low",
Q179&lt;128,"medium high",
Q179&gt;=128,"high"
)</f>
        <v>medium low</v>
      </c>
      <c r="S179" t="str" cm="1">
        <f t="array" ref="S179">_xlfn.IFS(J179&lt;700,"low",J179&lt;1600,"medium low",J179&lt;2200,"medium high",J179&gt;=2200,"high")</f>
        <v>medium high</v>
      </c>
      <c r="T179" t="str" cm="1">
        <f t="array" ref="T179">_xlfn.IFS(
J179&lt;630,"Low",
J179&lt;1287,"Medium",
J179&lt;1495,"Intermediate",
J179&lt;1668,"Moderately",
J179&lt;1843,"Transition",
J179&lt;2477,"High",
J179&lt;2996,"Refractory I",
TRUE,"Refractory II"
)</f>
        <v>High</v>
      </c>
      <c r="U179">
        <f t="shared" si="7"/>
        <v>0.29095031173247687</v>
      </c>
      <c r="V179" t="str" cm="1">
        <f t="array" ref="V179">_xlfn.IFS(U179&lt;0.25,"shallow condution",
U179&lt;0.5,"transition",
U179&lt;1,"conduction",
U179&lt;1.5,"transition",U179&lt;3,"keyholeⅠ",3&lt;=U179,"keyhole Ⅱ"
)</f>
        <v>transition</v>
      </c>
      <c r="X179">
        <f t="shared" si="8"/>
        <v>3.4370129870129871</v>
      </c>
    </row>
    <row r="180" spans="1:24">
      <c r="A180" s="2" t="s">
        <v>18</v>
      </c>
      <c r="B180" s="4">
        <v>150</v>
      </c>
      <c r="C180" s="4">
        <v>600</v>
      </c>
      <c r="D180" s="4">
        <v>6.11</v>
      </c>
      <c r="E180" s="4">
        <v>21.5</v>
      </c>
      <c r="F180" s="4">
        <v>459</v>
      </c>
      <c r="G180" s="16" t="s">
        <v>89</v>
      </c>
      <c r="H180" s="4">
        <v>0.48899999999999999</v>
      </c>
      <c r="I180" s="4">
        <v>30.7</v>
      </c>
      <c r="J180" s="4">
        <v>1910</v>
      </c>
      <c r="K180" s="4">
        <v>3407</v>
      </c>
      <c r="L180" s="4">
        <v>0.6</v>
      </c>
      <c r="M180" s="4">
        <v>94.95</v>
      </c>
      <c r="N180" s="5">
        <v>17.57</v>
      </c>
      <c r="Q180" s="1">
        <f t="shared" si="6"/>
        <v>64.102564102564102</v>
      </c>
      <c r="R180" t="str" cm="1">
        <f t="array" ref="R180">_xlfn.IFS(Q180&lt;42.7, "low",
Q180&lt;85.4,"medium low",
Q180&lt;128,"medium high",
Q180&gt;=128,"high"
)</f>
        <v>medium low</v>
      </c>
      <c r="S180" t="str" cm="1">
        <f t="array" ref="S180">_xlfn.IFS(J180&lt;700,"low",J180&lt;1600,"medium low",J180&lt;2200,"medium high",J180&gt;=2200,"high")</f>
        <v>medium high</v>
      </c>
      <c r="T180" t="str" cm="1">
        <f t="array" ref="T180">_xlfn.IFS(
J180&lt;630,"Low",
J180&lt;1287,"Medium",
J180&lt;1495,"Intermediate",
J180&lt;1668,"Moderately",
J180&lt;1843,"Transition",
J180&lt;2477,"High",
J180&lt;2996,"Refractory I",
TRUE,"Refractory II"
)</f>
        <v>High</v>
      </c>
      <c r="U180">
        <f t="shared" si="7"/>
        <v>0.18504476040021064</v>
      </c>
      <c r="V180" t="str" cm="1">
        <f t="array" ref="V180">_xlfn.IFS(U180&lt;0.25,"shallow condution",
U180&lt;0.5,"transition",
U180&lt;1,"conduction",
U180&lt;1.5,"transition",U180&lt;3,"keyholeⅠ",3&lt;=U180,"keyhole Ⅱ"
)</f>
        <v>shallow condution</v>
      </c>
      <c r="X180">
        <f t="shared" si="8"/>
        <v>5.4040978941377347</v>
      </c>
    </row>
    <row r="181" spans="1:24">
      <c r="A181" s="2" t="s">
        <v>18</v>
      </c>
      <c r="B181" s="4">
        <v>200</v>
      </c>
      <c r="C181" s="4">
        <v>600</v>
      </c>
      <c r="D181" s="4">
        <v>6.11</v>
      </c>
      <c r="E181" s="4">
        <v>21.5</v>
      </c>
      <c r="F181" s="4">
        <v>459</v>
      </c>
      <c r="G181" s="16" t="s">
        <v>89</v>
      </c>
      <c r="H181" s="4">
        <v>0.48899999999999999</v>
      </c>
      <c r="I181" s="4">
        <v>30.7</v>
      </c>
      <c r="J181" s="4">
        <v>1910</v>
      </c>
      <c r="K181" s="4">
        <v>3407</v>
      </c>
      <c r="L181" s="4">
        <v>0.6</v>
      </c>
      <c r="M181" s="4">
        <v>115.08</v>
      </c>
      <c r="N181" s="5">
        <v>28.67</v>
      </c>
      <c r="Q181" s="1">
        <f t="shared" si="6"/>
        <v>85.470085470085465</v>
      </c>
      <c r="R181" t="str" cm="1">
        <f t="array" ref="R181">_xlfn.IFS(Q181&lt;42.7, "low",
Q181&lt;85.4,"medium low",
Q181&lt;128,"medium high",
Q181&gt;=128,"high"
)</f>
        <v>medium high</v>
      </c>
      <c r="S181" t="str" cm="1">
        <f t="array" ref="S181">_xlfn.IFS(J181&lt;700,"low",J181&lt;1600,"medium low",J181&lt;2200,"medium high",J181&gt;=2200,"high")</f>
        <v>medium high</v>
      </c>
      <c r="T181" t="str" cm="1">
        <f t="array" ref="T181">_xlfn.IFS(
J181&lt;630,"Low",
J181&lt;1287,"Medium",
J181&lt;1495,"Intermediate",
J181&lt;1668,"Moderately",
J181&lt;1843,"Transition",
J181&lt;2477,"High",
J181&lt;2996,"Refractory I",
TRUE,"Refractory II"
)</f>
        <v>High</v>
      </c>
      <c r="U181">
        <f t="shared" si="7"/>
        <v>0.24913103927702471</v>
      </c>
      <c r="V181" t="str" cm="1">
        <f t="array" ref="V181">_xlfn.IFS(U181&lt;0.25,"shallow condution",
U181&lt;0.5,"transition",
U181&lt;1,"conduction",
U181&lt;1.5,"transition",U181&lt;3,"keyholeⅠ",3&lt;=U181,"keyhole Ⅱ"
)</f>
        <v>shallow condution</v>
      </c>
      <c r="X181">
        <f t="shared" si="8"/>
        <v>4.0139518660620856</v>
      </c>
    </row>
    <row r="182" spans="1:24">
      <c r="A182" s="2" t="s">
        <v>18</v>
      </c>
      <c r="B182" s="4">
        <v>250</v>
      </c>
      <c r="C182" s="4">
        <v>600</v>
      </c>
      <c r="D182" s="4">
        <v>6.11</v>
      </c>
      <c r="E182" s="4">
        <v>21.5</v>
      </c>
      <c r="F182" s="4">
        <v>459</v>
      </c>
      <c r="G182" s="16" t="s">
        <v>89</v>
      </c>
      <c r="H182" s="4">
        <v>0.48899999999999999</v>
      </c>
      <c r="I182" s="4">
        <v>30.7</v>
      </c>
      <c r="J182" s="4">
        <v>1910</v>
      </c>
      <c r="K182" s="4">
        <v>3407</v>
      </c>
      <c r="L182" s="4">
        <v>0.6</v>
      </c>
      <c r="M182" s="4">
        <v>120.6</v>
      </c>
      <c r="N182" s="5">
        <v>42.54</v>
      </c>
      <c r="Q182" s="1">
        <f t="shared" si="6"/>
        <v>106.83760683760684</v>
      </c>
      <c r="R182" t="str" cm="1">
        <f t="array" ref="R182">_xlfn.IFS(Q182&lt;42.7, "low",
Q182&lt;85.4,"medium low",
Q182&lt;128,"medium high",
Q182&gt;=128,"high"
)</f>
        <v>medium high</v>
      </c>
      <c r="S182" t="str" cm="1">
        <f t="array" ref="S182">_xlfn.IFS(J182&lt;700,"low",J182&lt;1600,"medium low",J182&lt;2200,"medium high",J182&gt;=2200,"high")</f>
        <v>medium high</v>
      </c>
      <c r="T182" t="str" cm="1">
        <f t="array" ref="T182">_xlfn.IFS(
J182&lt;630,"Low",
J182&lt;1287,"Medium",
J182&lt;1495,"Intermediate",
J182&lt;1668,"Moderately",
J182&lt;1843,"Transition",
J182&lt;2477,"High",
J182&lt;2996,"Refractory I",
TRUE,"Refractory II"
)</f>
        <v>High</v>
      </c>
      <c r="U182">
        <f t="shared" si="7"/>
        <v>0.35273631840796021</v>
      </c>
      <c r="V182" t="str" cm="1">
        <f t="array" ref="V182">_xlfn.IFS(U182&lt;0.25,"shallow condution",
U182&lt;0.5,"transition",
U182&lt;1,"conduction",
U182&lt;1.5,"transition",U182&lt;3,"keyholeⅠ",3&lt;=U182,"keyhole Ⅱ"
)</f>
        <v>transition</v>
      </c>
      <c r="X182">
        <f t="shared" si="8"/>
        <v>2.8349788434414669</v>
      </c>
    </row>
    <row r="183" spans="1:24">
      <c r="A183" s="2" t="s">
        <v>18</v>
      </c>
      <c r="B183" s="4">
        <v>300</v>
      </c>
      <c r="C183" s="4">
        <v>600</v>
      </c>
      <c r="D183" s="4">
        <v>6.11</v>
      </c>
      <c r="E183" s="4">
        <v>21.5</v>
      </c>
      <c r="F183" s="4">
        <v>459</v>
      </c>
      <c r="G183" s="16" t="s">
        <v>89</v>
      </c>
      <c r="H183" s="4">
        <v>0.48899999999999999</v>
      </c>
      <c r="I183" s="4">
        <v>30.7</v>
      </c>
      <c r="J183" s="4">
        <v>1910</v>
      </c>
      <c r="K183" s="4">
        <v>3407</v>
      </c>
      <c r="L183" s="4">
        <v>0.6</v>
      </c>
      <c r="M183" s="4">
        <v>122.02</v>
      </c>
      <c r="N183" s="5">
        <v>42.64</v>
      </c>
      <c r="Q183" s="1">
        <f t="shared" si="6"/>
        <v>128.2051282051282</v>
      </c>
      <c r="R183" t="str" cm="1">
        <f t="array" ref="R183">_xlfn.IFS(Q183&lt;42.7, "low",
Q183&lt;85.4,"medium low",
Q183&lt;128,"medium high",
Q183&gt;=128,"high"
)</f>
        <v>high</v>
      </c>
      <c r="S183" t="str" cm="1">
        <f t="array" ref="S183">_xlfn.IFS(J183&lt;700,"low",J183&lt;1600,"medium low",J183&lt;2200,"medium high",J183&gt;=2200,"high")</f>
        <v>medium high</v>
      </c>
      <c r="T183" t="str" cm="1">
        <f t="array" ref="T183">_xlfn.IFS(
J183&lt;630,"Low",
J183&lt;1287,"Medium",
J183&lt;1495,"Intermediate",
J183&lt;1668,"Moderately",
J183&lt;1843,"Transition",
J183&lt;2477,"High",
J183&lt;2996,"Refractory I",
TRUE,"Refractory II"
)</f>
        <v>High</v>
      </c>
      <c r="U183">
        <f t="shared" si="7"/>
        <v>0.34945090968693659</v>
      </c>
      <c r="V183" t="str" cm="1">
        <f t="array" ref="V183">_xlfn.IFS(U183&lt;0.25,"shallow condution",
U183&lt;0.5,"transition",
U183&lt;1,"conduction",
U183&lt;1.5,"transition",U183&lt;3,"keyholeⅠ",3&lt;=U183,"keyhole Ⅱ"
)</f>
        <v>transition</v>
      </c>
      <c r="X183">
        <f t="shared" si="8"/>
        <v>2.8616322701688555</v>
      </c>
    </row>
    <row r="184" spans="1:24">
      <c r="A184" s="2" t="s">
        <v>18</v>
      </c>
      <c r="B184" s="4">
        <v>100</v>
      </c>
      <c r="C184" s="4">
        <v>900</v>
      </c>
      <c r="D184" s="4">
        <v>6.11</v>
      </c>
      <c r="E184" s="4">
        <v>21.5</v>
      </c>
      <c r="F184" s="4">
        <v>459</v>
      </c>
      <c r="G184" s="16" t="s">
        <v>89</v>
      </c>
      <c r="H184" s="4">
        <v>0.48899999999999999</v>
      </c>
      <c r="I184" s="4">
        <v>30.7</v>
      </c>
      <c r="J184" s="4">
        <v>1910</v>
      </c>
      <c r="K184" s="4">
        <v>3407</v>
      </c>
      <c r="L184" s="4">
        <v>0.6</v>
      </c>
      <c r="M184" s="4">
        <v>61.1</v>
      </c>
      <c r="N184" s="5">
        <v>23.57</v>
      </c>
      <c r="Q184" s="1">
        <f t="shared" si="6"/>
        <v>28.490028490028489</v>
      </c>
      <c r="R184" t="str" cm="1">
        <f t="array" ref="R184">_xlfn.IFS(Q184&lt;42.7, "low",
Q184&lt;85.4,"medium low",
Q184&lt;128,"medium high",
Q184&gt;=128,"high"
)</f>
        <v>low</v>
      </c>
      <c r="S184" t="str" cm="1">
        <f t="array" ref="S184">_xlfn.IFS(J184&lt;700,"low",J184&lt;1600,"medium low",J184&lt;2200,"medium high",J184&gt;=2200,"high")</f>
        <v>medium high</v>
      </c>
      <c r="T184" t="str" cm="1">
        <f t="array" ref="T184">_xlfn.IFS(
J184&lt;630,"Low",
J184&lt;1287,"Medium",
J184&lt;1495,"Intermediate",
J184&lt;1668,"Moderately",
J184&lt;1843,"Transition",
J184&lt;2477,"High",
J184&lt;2996,"Refractory I",
TRUE,"Refractory II"
)</f>
        <v>High</v>
      </c>
      <c r="U184">
        <f t="shared" si="7"/>
        <v>0.38576104746317513</v>
      </c>
      <c r="V184" t="str" cm="1">
        <f t="array" ref="V184">_xlfn.IFS(U184&lt;0.25,"shallow condution",
U184&lt;0.5,"transition",
U184&lt;1,"conduction",
U184&lt;1.5,"transition",U184&lt;3,"keyholeⅠ",3&lt;=U184,"keyhole Ⅱ"
)</f>
        <v>transition</v>
      </c>
      <c r="X184">
        <f t="shared" si="8"/>
        <v>2.5922783198981758</v>
      </c>
    </row>
    <row r="185" spans="1:24">
      <c r="A185" s="2" t="s">
        <v>18</v>
      </c>
      <c r="B185" s="4">
        <v>150</v>
      </c>
      <c r="C185" s="4">
        <v>900</v>
      </c>
      <c r="D185" s="4">
        <v>6.11</v>
      </c>
      <c r="E185" s="4">
        <v>21.5</v>
      </c>
      <c r="F185" s="4">
        <v>459</v>
      </c>
      <c r="G185" s="16" t="s">
        <v>89</v>
      </c>
      <c r="H185" s="4">
        <v>0.48899999999999999</v>
      </c>
      <c r="I185" s="4">
        <v>30.7</v>
      </c>
      <c r="J185" s="4">
        <v>1910</v>
      </c>
      <c r="K185" s="4">
        <v>3407</v>
      </c>
      <c r="L185" s="4">
        <v>0.6</v>
      </c>
      <c r="M185" s="4">
        <v>89.3</v>
      </c>
      <c r="N185" s="5">
        <v>42.92</v>
      </c>
      <c r="Q185" s="1">
        <f t="shared" si="6"/>
        <v>42.735042735042732</v>
      </c>
      <c r="R185" t="str" cm="1">
        <f t="array" ref="R185">_xlfn.IFS(Q185&lt;42.7, "low",
Q185&lt;85.4,"medium low",
Q185&lt;128,"medium high",
Q185&gt;=128,"high"
)</f>
        <v>medium low</v>
      </c>
      <c r="S185" t="str" cm="1">
        <f t="array" ref="S185">_xlfn.IFS(J185&lt;700,"low",J185&lt;1600,"medium low",J185&lt;2200,"medium high",J185&gt;=2200,"high")</f>
        <v>medium high</v>
      </c>
      <c r="T185" t="str" cm="1">
        <f t="array" ref="T185">_xlfn.IFS(
J185&lt;630,"Low",
J185&lt;1287,"Medium",
J185&lt;1495,"Intermediate",
J185&lt;1668,"Moderately",
J185&lt;1843,"Transition",
J185&lt;2477,"High",
J185&lt;2996,"Refractory I",
TRUE,"Refractory II"
)</f>
        <v>High</v>
      </c>
      <c r="U185">
        <f t="shared" si="7"/>
        <v>0.48062709966405376</v>
      </c>
      <c r="V185" t="str" cm="1">
        <f t="array" ref="V185">_xlfn.IFS(U185&lt;0.25,"shallow condution",
U185&lt;0.5,"transition",
U185&lt;1,"conduction",
U185&lt;1.5,"transition",U185&lt;3,"keyholeⅠ",3&lt;=U185,"keyhole Ⅱ"
)</f>
        <v>transition</v>
      </c>
      <c r="X185">
        <f t="shared" si="8"/>
        <v>2.080615097856477</v>
      </c>
    </row>
    <row r="186" spans="1:24">
      <c r="A186" s="2" t="s">
        <v>18</v>
      </c>
      <c r="B186" s="4">
        <v>200</v>
      </c>
      <c r="C186" s="4">
        <v>900</v>
      </c>
      <c r="D186" s="4">
        <v>6.11</v>
      </c>
      <c r="E186" s="4">
        <v>21.5</v>
      </c>
      <c r="F186" s="4">
        <v>459</v>
      </c>
      <c r="G186" s="16" t="s">
        <v>89</v>
      </c>
      <c r="H186" s="4">
        <v>0.48899999999999999</v>
      </c>
      <c r="I186" s="4">
        <v>30.7</v>
      </c>
      <c r="J186" s="4">
        <v>1910</v>
      </c>
      <c r="K186" s="4">
        <v>3407</v>
      </c>
      <c r="L186" s="4">
        <v>0.6</v>
      </c>
      <c r="M186" s="4">
        <v>113</v>
      </c>
      <c r="N186" s="5">
        <v>30.43</v>
      </c>
      <c r="Q186" s="1">
        <f t="shared" si="6"/>
        <v>56.980056980056979</v>
      </c>
      <c r="R186" t="str" cm="1">
        <f t="array" ref="R186">_xlfn.IFS(Q186&lt;42.7, "low",
Q186&lt;85.4,"medium low",
Q186&lt;128,"medium high",
Q186&gt;=128,"high"
)</f>
        <v>medium low</v>
      </c>
      <c r="S186" t="str" cm="1">
        <f t="array" ref="S186">_xlfn.IFS(J186&lt;700,"low",J186&lt;1600,"medium low",J186&lt;2200,"medium high",J186&gt;=2200,"high")</f>
        <v>medium high</v>
      </c>
      <c r="T186" t="str" cm="1">
        <f t="array" ref="T186">_xlfn.IFS(
J186&lt;630,"Low",
J186&lt;1287,"Medium",
J186&lt;1495,"Intermediate",
J186&lt;1668,"Moderately",
J186&lt;1843,"Transition",
J186&lt;2477,"High",
J186&lt;2996,"Refractory I",
TRUE,"Refractory II"
)</f>
        <v>High</v>
      </c>
      <c r="U186">
        <f t="shared" si="7"/>
        <v>0.2692920353982301</v>
      </c>
      <c r="V186" t="str" cm="1">
        <f t="array" ref="V186">_xlfn.IFS(U186&lt;0.25,"shallow condution",
U186&lt;0.5,"transition",
U186&lt;1,"conduction",
U186&lt;1.5,"transition",U186&lt;3,"keyholeⅠ",3&lt;=U186,"keyhole Ⅱ"
)</f>
        <v>transition</v>
      </c>
      <c r="X186">
        <f t="shared" si="8"/>
        <v>3.7134406835359841</v>
      </c>
    </row>
    <row r="187" spans="1:24">
      <c r="A187" s="2" t="s">
        <v>18</v>
      </c>
      <c r="B187" s="4">
        <v>250</v>
      </c>
      <c r="C187" s="4">
        <v>900</v>
      </c>
      <c r="D187" s="4">
        <v>6.11</v>
      </c>
      <c r="E187" s="4">
        <v>21.5</v>
      </c>
      <c r="F187" s="4">
        <v>459</v>
      </c>
      <c r="G187" s="16" t="s">
        <v>89</v>
      </c>
      <c r="H187" s="4">
        <v>0.48899999999999999</v>
      </c>
      <c r="I187" s="4">
        <v>30.7</v>
      </c>
      <c r="J187" s="4">
        <v>1910</v>
      </c>
      <c r="K187" s="4">
        <v>3407</v>
      </c>
      <c r="L187" s="4">
        <v>0.6</v>
      </c>
      <c r="M187" s="4">
        <v>154.25</v>
      </c>
      <c r="N187" s="5">
        <v>64.92</v>
      </c>
      <c r="Q187" s="1">
        <f t="shared" si="6"/>
        <v>71.225071225071218</v>
      </c>
      <c r="R187" t="str" cm="1">
        <f t="array" ref="R187">_xlfn.IFS(Q187&lt;42.7, "low",
Q187&lt;85.4,"medium low",
Q187&lt;128,"medium high",
Q187&gt;=128,"high"
)</f>
        <v>medium low</v>
      </c>
      <c r="S187" t="str" cm="1">
        <f t="array" ref="S187">_xlfn.IFS(J187&lt;700,"low",J187&lt;1600,"medium low",J187&lt;2200,"medium high",J187&gt;=2200,"high")</f>
        <v>medium high</v>
      </c>
      <c r="T187" t="str" cm="1">
        <f t="array" ref="T187">_xlfn.IFS(
J187&lt;630,"Low",
J187&lt;1287,"Medium",
J187&lt;1495,"Intermediate",
J187&lt;1668,"Moderately",
J187&lt;1843,"Transition",
J187&lt;2477,"High",
J187&lt;2996,"Refractory I",
TRUE,"Refractory II"
)</f>
        <v>High</v>
      </c>
      <c r="U187">
        <f t="shared" si="7"/>
        <v>0.42087520259319289</v>
      </c>
      <c r="V187" t="str" cm="1">
        <f t="array" ref="V187">_xlfn.IFS(U187&lt;0.25,"shallow condution",
U187&lt;0.5,"transition",
U187&lt;1,"conduction",
U187&lt;1.5,"transition",U187&lt;3,"keyholeⅠ",3&lt;=U187,"keyhole Ⅱ"
)</f>
        <v>transition</v>
      </c>
      <c r="X187">
        <f t="shared" si="8"/>
        <v>2.3760012322858901</v>
      </c>
    </row>
    <row r="188" spans="1:24" ht="14.45" thickBot="1">
      <c r="A188" s="3" t="s">
        <v>18</v>
      </c>
      <c r="B188" s="7">
        <v>300</v>
      </c>
      <c r="C188" s="7">
        <v>900</v>
      </c>
      <c r="D188" s="7">
        <v>6.11</v>
      </c>
      <c r="E188" s="7">
        <v>21.5</v>
      </c>
      <c r="F188" s="7">
        <v>459</v>
      </c>
      <c r="G188" s="16" t="s">
        <v>89</v>
      </c>
      <c r="H188" s="7">
        <v>0.48899999999999999</v>
      </c>
      <c r="I188" s="7">
        <v>30.7</v>
      </c>
      <c r="J188" s="7">
        <v>1910</v>
      </c>
      <c r="K188" s="7">
        <v>3407</v>
      </c>
      <c r="L188" s="7">
        <v>0.6</v>
      </c>
      <c r="M188" s="7">
        <v>176</v>
      </c>
      <c r="N188" s="15">
        <v>71.5</v>
      </c>
      <c r="Q188" s="1">
        <f t="shared" si="6"/>
        <v>85.470085470085465</v>
      </c>
      <c r="R188" t="str" cm="1">
        <f t="array" ref="R188">_xlfn.IFS(Q188&lt;42.7, "low",
Q188&lt;85.4,"medium low",
Q188&lt;128,"medium high",
Q188&gt;=128,"high"
)</f>
        <v>medium high</v>
      </c>
      <c r="S188" t="str" cm="1">
        <f t="array" ref="S188">_xlfn.IFS(J188&lt;700,"low",J188&lt;1600,"medium low",J188&lt;2200,"medium high",J188&gt;=2200,"high")</f>
        <v>medium high</v>
      </c>
      <c r="T188" t="str" cm="1">
        <f t="array" ref="T188">_xlfn.IFS(
J188&lt;630,"Low",
J188&lt;1287,"Medium",
J188&lt;1495,"Intermediate",
J188&lt;1668,"Moderately",
J188&lt;1843,"Transition",
J188&lt;2477,"High",
J188&lt;2996,"Refractory I",
TRUE,"Refractory II"
)</f>
        <v>High</v>
      </c>
      <c r="U188">
        <f t="shared" si="7"/>
        <v>0.40625</v>
      </c>
      <c r="V188" t="str" cm="1">
        <f t="array" ref="V188">_xlfn.IFS(U188&lt;0.25,"shallow condution",
U188&lt;0.5,"transition",
U188&lt;1,"conduction",
U188&lt;1.5,"transition",U188&lt;3,"keyholeⅠ",3&lt;=U188,"keyhole Ⅱ"
)</f>
        <v>transition</v>
      </c>
      <c r="X188">
        <f t="shared" si="8"/>
        <v>2.4615384615384617</v>
      </c>
    </row>
    <row r="189" spans="1:24">
      <c r="A189" s="19" t="s">
        <v>48</v>
      </c>
      <c r="B189" s="16">
        <v>200</v>
      </c>
      <c r="C189" s="16">
        <v>200</v>
      </c>
      <c r="D189" s="16">
        <v>7.8739999999999997</v>
      </c>
      <c r="E189" s="16">
        <v>13.8</v>
      </c>
      <c r="F189" s="16">
        <v>340</v>
      </c>
      <c r="G189" s="16" t="s">
        <v>90</v>
      </c>
      <c r="H189" s="16">
        <v>0.44900000000000001</v>
      </c>
      <c r="I189" s="16">
        <v>80.400000000000006</v>
      </c>
      <c r="J189" s="16">
        <v>1538</v>
      </c>
      <c r="K189" s="16">
        <v>2862</v>
      </c>
      <c r="L189" s="16">
        <v>0.7</v>
      </c>
      <c r="M189" s="16">
        <v>235.41</v>
      </c>
      <c r="N189" s="17">
        <v>120.66</v>
      </c>
      <c r="Q189" s="1">
        <f t="shared" si="6"/>
        <v>256.41025641025641</v>
      </c>
      <c r="R189" t="str" cm="1">
        <f t="array" ref="R189">_xlfn.IFS(Q189&lt;42.7, "low",
Q189&lt;85.4,"medium low",
Q189&lt;128,"medium high",
Q189&gt;=128,"high"
)</f>
        <v>high</v>
      </c>
      <c r="S189" t="str" cm="1">
        <f t="array" ref="S189">_xlfn.IFS(J189&lt;700,"low",J189&lt;1600,"medium low",J189&lt;2200,"medium high",J189&gt;=2200,"high")</f>
        <v>medium low</v>
      </c>
      <c r="T189" t="str" cm="1">
        <f t="array" ref="T189">_xlfn.IFS(
J189&lt;630,"Low",
J189&lt;1287,"Medium",
J189&lt;1495,"Intermediate",
J189&lt;1668,"Moderately",
J189&lt;1843,"Transition",
J189&lt;2477,"High",
J189&lt;2996,"Refractory I",
TRUE,"Refractory II"
)</f>
        <v>Moderately</v>
      </c>
      <c r="U189">
        <f t="shared" si="7"/>
        <v>0.51255256786032877</v>
      </c>
      <c r="V189" t="str" cm="1">
        <f t="array" ref="V189">_xlfn.IFS(U189&lt;0.25,"shallow condution",
U189&lt;0.5,"transition",
U189&lt;1,"conduction",
U189&lt;1.5,"transition",U189&lt;3,"keyholeⅠ",3&lt;=U189,"keyhole Ⅱ"
)</f>
        <v>conduction</v>
      </c>
      <c r="X189">
        <f t="shared" si="8"/>
        <v>1.9510193933366484</v>
      </c>
    </row>
    <row r="190" spans="1:24">
      <c r="A190" s="2" t="s">
        <v>48</v>
      </c>
      <c r="B190" s="4">
        <v>200</v>
      </c>
      <c r="C190" s="4">
        <v>400</v>
      </c>
      <c r="D190" s="4">
        <v>7.8739999999999997</v>
      </c>
      <c r="E190" s="4">
        <v>13.8</v>
      </c>
      <c r="F190" s="4">
        <v>340</v>
      </c>
      <c r="G190" s="16" t="s">
        <v>90</v>
      </c>
      <c r="H190" s="4">
        <v>0.44900000000000001</v>
      </c>
      <c r="I190" s="4">
        <v>80.400000000000006</v>
      </c>
      <c r="J190" s="4">
        <v>1538</v>
      </c>
      <c r="K190" s="4">
        <v>2862</v>
      </c>
      <c r="L190" s="4">
        <v>0.7</v>
      </c>
      <c r="M190" s="4">
        <v>228.68</v>
      </c>
      <c r="N190" s="5">
        <v>105.68</v>
      </c>
      <c r="Q190" s="1">
        <f t="shared" si="6"/>
        <v>128.2051282051282</v>
      </c>
      <c r="R190" t="str" cm="1">
        <f t="array" ref="R190">_xlfn.IFS(Q190&lt;42.7, "low",
Q190&lt;85.4,"medium low",
Q190&lt;128,"medium high",
Q190&gt;=128,"high"
)</f>
        <v>high</v>
      </c>
      <c r="S190" t="str" cm="1">
        <f t="array" ref="S190">_xlfn.IFS(J190&lt;700,"low",J190&lt;1600,"medium low",J190&lt;2200,"medium high",J190&gt;=2200,"high")</f>
        <v>medium low</v>
      </c>
      <c r="T190" t="str" cm="1">
        <f t="array" ref="T190">_xlfn.IFS(
J190&lt;630,"Low",
J190&lt;1287,"Medium",
J190&lt;1495,"Intermediate",
J190&lt;1668,"Moderately",
J190&lt;1843,"Transition",
J190&lt;2477,"High",
J190&lt;2996,"Refractory I",
TRUE,"Refractory II"
)</f>
        <v>Moderately</v>
      </c>
      <c r="U190">
        <f t="shared" si="7"/>
        <v>0.4621304880181914</v>
      </c>
      <c r="V190" t="str" cm="1">
        <f t="array" ref="V190">_xlfn.IFS(U190&lt;0.25,"shallow condution",
U190&lt;0.5,"transition",
U190&lt;1,"conduction",
U190&lt;1.5,"transition",U190&lt;3,"keyholeⅠ",3&lt;=U190,"keyhole Ⅱ"
)</f>
        <v>transition</v>
      </c>
      <c r="X190">
        <f t="shared" si="8"/>
        <v>2.1638909916729752</v>
      </c>
    </row>
    <row r="191" spans="1:24">
      <c r="A191" s="2" t="s">
        <v>48</v>
      </c>
      <c r="B191" s="4">
        <v>200</v>
      </c>
      <c r="C191" s="4">
        <v>600</v>
      </c>
      <c r="D191" s="4">
        <v>7.8739999999999997</v>
      </c>
      <c r="E191" s="4">
        <v>13.8</v>
      </c>
      <c r="F191" s="4">
        <v>340</v>
      </c>
      <c r="G191" s="16" t="s">
        <v>90</v>
      </c>
      <c r="H191" s="4">
        <v>0.44900000000000001</v>
      </c>
      <c r="I191" s="4">
        <v>80.400000000000006</v>
      </c>
      <c r="J191" s="4">
        <v>1538</v>
      </c>
      <c r="K191" s="4">
        <v>2862</v>
      </c>
      <c r="L191" s="4">
        <v>0.7</v>
      </c>
      <c r="M191" s="4">
        <v>166.16</v>
      </c>
      <c r="N191" s="5">
        <v>74.569999999999993</v>
      </c>
      <c r="Q191" s="1">
        <f t="shared" si="6"/>
        <v>85.470085470085465</v>
      </c>
      <c r="R191" t="str" cm="1">
        <f t="array" ref="R191">_xlfn.IFS(Q191&lt;42.7, "low",
Q191&lt;85.4,"medium low",
Q191&lt;128,"medium high",
Q191&gt;=128,"high"
)</f>
        <v>medium high</v>
      </c>
      <c r="S191" t="str" cm="1">
        <f t="array" ref="S191">_xlfn.IFS(J191&lt;700,"low",J191&lt;1600,"medium low",J191&lt;2200,"medium high",J191&gt;=2200,"high")</f>
        <v>medium low</v>
      </c>
      <c r="T191" t="str" cm="1">
        <f t="array" ref="T191">_xlfn.IFS(
J191&lt;630,"Low",
J191&lt;1287,"Medium",
J191&lt;1495,"Intermediate",
J191&lt;1668,"Moderately",
J191&lt;1843,"Transition",
J191&lt;2477,"High",
J191&lt;2996,"Refractory I",
TRUE,"Refractory II"
)</f>
        <v>Moderately</v>
      </c>
      <c r="U191">
        <f t="shared" si="7"/>
        <v>0.44878430428502647</v>
      </c>
      <c r="V191" t="str" cm="1">
        <f t="array" ref="V191">_xlfn.IFS(U191&lt;0.25,"shallow condution",
U191&lt;0.5,"transition",
U191&lt;1,"conduction",
U191&lt;1.5,"transition",U191&lt;3,"keyholeⅠ",3&lt;=U191,"keyhole Ⅱ"
)</f>
        <v>transition</v>
      </c>
      <c r="X191">
        <f t="shared" si="8"/>
        <v>2.2282419203433017</v>
      </c>
    </row>
    <row r="192" spans="1:24">
      <c r="A192" s="2" t="s">
        <v>48</v>
      </c>
      <c r="B192" s="4">
        <v>200</v>
      </c>
      <c r="C192" s="4">
        <v>800</v>
      </c>
      <c r="D192" s="4">
        <v>7.8739999999999997</v>
      </c>
      <c r="E192" s="4">
        <v>13.8</v>
      </c>
      <c r="F192" s="4">
        <v>340</v>
      </c>
      <c r="G192" s="16" t="s">
        <v>90</v>
      </c>
      <c r="H192" s="4">
        <v>0.44900000000000001</v>
      </c>
      <c r="I192" s="4">
        <v>80.400000000000006</v>
      </c>
      <c r="J192" s="4">
        <v>1538</v>
      </c>
      <c r="K192" s="4">
        <v>2862</v>
      </c>
      <c r="L192" s="4">
        <v>0.7</v>
      </c>
      <c r="M192" s="4">
        <v>137.49</v>
      </c>
      <c r="N192" s="5">
        <v>66.89</v>
      </c>
      <c r="Q192" s="1">
        <f t="shared" si="6"/>
        <v>64.102564102564102</v>
      </c>
      <c r="R192" t="str" cm="1">
        <f t="array" ref="R192">_xlfn.IFS(Q192&lt;42.7, "low",
Q192&lt;85.4,"medium low",
Q192&lt;128,"medium high",
Q192&gt;=128,"high"
)</f>
        <v>medium low</v>
      </c>
      <c r="S192" t="str" cm="1">
        <f t="array" ref="S192">_xlfn.IFS(J192&lt;700,"low",J192&lt;1600,"medium low",J192&lt;2200,"medium high",J192&gt;=2200,"high")</f>
        <v>medium low</v>
      </c>
      <c r="T192" t="str" cm="1">
        <f t="array" ref="T192">_xlfn.IFS(
J192&lt;630,"Low",
J192&lt;1287,"Medium",
J192&lt;1495,"Intermediate",
J192&lt;1668,"Moderately",
J192&lt;1843,"Transition",
J192&lt;2477,"High",
J192&lt;2996,"Refractory I",
TRUE,"Refractory II"
)</f>
        <v>Moderately</v>
      </c>
      <c r="U192">
        <f t="shared" si="7"/>
        <v>0.48650810968070402</v>
      </c>
      <c r="V192" t="str" cm="1">
        <f t="array" ref="V192">_xlfn.IFS(U192&lt;0.25,"shallow condution",
U192&lt;0.5,"transition",
U192&lt;1,"conduction",
U192&lt;1.5,"transition",U192&lt;3,"keyholeⅠ",3&lt;=U192,"keyhole Ⅱ"
)</f>
        <v>transition</v>
      </c>
      <c r="X192">
        <f t="shared" si="8"/>
        <v>2.0554641949469281</v>
      </c>
    </row>
    <row r="193" spans="1:24">
      <c r="A193" s="2" t="s">
        <v>48</v>
      </c>
      <c r="B193" s="4">
        <v>200</v>
      </c>
      <c r="C193" s="4">
        <v>1200</v>
      </c>
      <c r="D193" s="4">
        <v>7.8739999999999997</v>
      </c>
      <c r="E193" s="4">
        <v>13.8</v>
      </c>
      <c r="F193" s="4">
        <v>340</v>
      </c>
      <c r="G193" s="16" t="s">
        <v>90</v>
      </c>
      <c r="H193" s="4">
        <v>0.44900000000000001</v>
      </c>
      <c r="I193" s="4">
        <v>80.400000000000006</v>
      </c>
      <c r="J193" s="4">
        <v>1538</v>
      </c>
      <c r="K193" s="4">
        <v>2862</v>
      </c>
      <c r="L193" s="4">
        <v>0.7</v>
      </c>
      <c r="M193" s="4">
        <v>143.99</v>
      </c>
      <c r="N193" s="5">
        <v>55.31</v>
      </c>
      <c r="Q193" s="1">
        <f t="shared" si="6"/>
        <v>42.735042735042732</v>
      </c>
      <c r="R193" t="str" cm="1">
        <f t="array" ref="R193">_xlfn.IFS(Q193&lt;42.7, "low",
Q193&lt;85.4,"medium low",
Q193&lt;128,"medium high",
Q193&gt;=128,"high"
)</f>
        <v>medium low</v>
      </c>
      <c r="S193" t="str" cm="1">
        <f t="array" ref="S193">_xlfn.IFS(J193&lt;700,"low",J193&lt;1600,"medium low",J193&lt;2200,"medium high",J193&gt;=2200,"high")</f>
        <v>medium low</v>
      </c>
      <c r="T193" t="str" cm="1">
        <f t="array" ref="T193">_xlfn.IFS(
J193&lt;630,"Low",
J193&lt;1287,"Medium",
J193&lt;1495,"Intermediate",
J193&lt;1668,"Moderately",
J193&lt;1843,"Transition",
J193&lt;2477,"High",
J193&lt;2996,"Refractory I",
TRUE,"Refractory II"
)</f>
        <v>Moderately</v>
      </c>
      <c r="U193">
        <f t="shared" si="7"/>
        <v>0.38412389749288145</v>
      </c>
      <c r="V193" t="str" cm="1">
        <f t="array" ref="V193">_xlfn.IFS(U193&lt;0.25,"shallow condution",
U193&lt;0.5,"transition",
U193&lt;1,"conduction",
U193&lt;1.5,"transition",U193&lt;3,"keyholeⅠ",3&lt;=U193,"keyhole Ⅱ"
)</f>
        <v>transition</v>
      </c>
      <c r="X193">
        <f t="shared" si="8"/>
        <v>2.6033267040318209</v>
      </c>
    </row>
    <row r="194" spans="1:24">
      <c r="A194" s="2" t="s">
        <v>48</v>
      </c>
      <c r="B194" s="4">
        <v>200</v>
      </c>
      <c r="C194" s="4">
        <v>1600</v>
      </c>
      <c r="D194" s="4">
        <v>7.8739999999999997</v>
      </c>
      <c r="E194" s="4">
        <v>13.8</v>
      </c>
      <c r="F194" s="4">
        <v>340</v>
      </c>
      <c r="G194" s="16" t="s">
        <v>90</v>
      </c>
      <c r="H194" s="4">
        <v>0.44900000000000001</v>
      </c>
      <c r="I194" s="4">
        <v>80.400000000000006</v>
      </c>
      <c r="J194" s="4">
        <v>1538</v>
      </c>
      <c r="K194" s="4">
        <v>2862</v>
      </c>
      <c r="L194" s="4">
        <v>0.7</v>
      </c>
      <c r="M194" s="4">
        <v>122.11</v>
      </c>
      <c r="N194" s="5">
        <v>37.270000000000003</v>
      </c>
      <c r="Q194" s="1">
        <f t="shared" si="6"/>
        <v>32.051282051282051</v>
      </c>
      <c r="R194" t="str" cm="1">
        <f t="array" ref="R194">_xlfn.IFS(Q194&lt;42.7, "low",
Q194&lt;85.4,"medium low",
Q194&lt;128,"medium high",
Q194&gt;=128,"high"
)</f>
        <v>low</v>
      </c>
      <c r="S194" t="str" cm="1">
        <f t="array" ref="S194">_xlfn.IFS(J194&lt;700,"low",J194&lt;1600,"medium low",J194&lt;2200,"medium high",J194&gt;=2200,"high")</f>
        <v>medium low</v>
      </c>
      <c r="T194" t="str" cm="1">
        <f t="array" ref="T194">_xlfn.IFS(
J194&lt;630,"Low",
J194&lt;1287,"Medium",
J194&lt;1495,"Intermediate",
J194&lt;1668,"Moderately",
J194&lt;1843,"Transition",
J194&lt;2477,"High",
J194&lt;2996,"Refractory I",
TRUE,"Refractory II"
)</f>
        <v>Moderately</v>
      </c>
      <c r="U194">
        <f t="shared" si="7"/>
        <v>0.30521660797641476</v>
      </c>
      <c r="V194" t="str" cm="1">
        <f t="array" ref="V194">_xlfn.IFS(U194&lt;0.25,"shallow condution",
U194&lt;0.5,"transition",
U194&lt;1,"conduction",
U194&lt;1.5,"transition",U194&lt;3,"keyholeⅠ",3&lt;=U194,"keyhole Ⅱ"
)</f>
        <v>transition</v>
      </c>
      <c r="X194">
        <f t="shared" si="8"/>
        <v>3.2763616850013411</v>
      </c>
    </row>
    <row r="195" spans="1:24">
      <c r="A195" s="2" t="s">
        <v>48</v>
      </c>
      <c r="B195" s="4">
        <v>200</v>
      </c>
      <c r="C195" s="4">
        <v>2000</v>
      </c>
      <c r="D195" s="4">
        <v>7.8739999999999997</v>
      </c>
      <c r="E195" s="4">
        <v>13.8</v>
      </c>
      <c r="F195" s="4">
        <v>340</v>
      </c>
      <c r="G195" s="16" t="s">
        <v>90</v>
      </c>
      <c r="H195" s="4">
        <v>0.44900000000000001</v>
      </c>
      <c r="I195" s="4">
        <v>80.400000000000006</v>
      </c>
      <c r="J195" s="4">
        <v>1538</v>
      </c>
      <c r="K195" s="4">
        <v>2862</v>
      </c>
      <c r="L195" s="4">
        <v>0.7</v>
      </c>
      <c r="M195" s="4">
        <v>83.63</v>
      </c>
      <c r="N195" s="5">
        <v>41.77</v>
      </c>
      <c r="Q195" s="1">
        <f t="shared" si="6"/>
        <v>25.641025641025642</v>
      </c>
      <c r="R195" t="str" cm="1">
        <f t="array" ref="R195">_xlfn.IFS(Q195&lt;42.7, "low",
Q195&lt;85.4,"medium low",
Q195&lt;128,"medium high",
Q195&gt;=128,"high"
)</f>
        <v>low</v>
      </c>
      <c r="S195" t="str" cm="1">
        <f t="array" ref="S195">_xlfn.IFS(J195&lt;700,"low",J195&lt;1600,"medium low",J195&lt;2200,"medium high",J195&gt;=2200,"high")</f>
        <v>medium low</v>
      </c>
      <c r="T195" t="str" cm="1">
        <f t="array" ref="T195">_xlfn.IFS(
J195&lt;630,"Low",
J195&lt;1287,"Medium",
J195&lt;1495,"Intermediate",
J195&lt;1668,"Moderately",
J195&lt;1843,"Transition",
J195&lt;2477,"High",
J195&lt;2996,"Refractory I",
TRUE,"Refractory II"
)</f>
        <v>Moderately</v>
      </c>
      <c r="U195">
        <f t="shared" si="7"/>
        <v>0.49946191558053338</v>
      </c>
      <c r="V195" t="str" cm="1">
        <f t="array" ref="V195">_xlfn.IFS(U195&lt;0.25,"shallow condution",
U195&lt;0.5,"transition",
U195&lt;1,"conduction",
U195&lt;1.5,"transition",U195&lt;3,"keyholeⅠ",3&lt;=U195,"keyhole Ⅱ"
)</f>
        <v>transition</v>
      </c>
      <c r="X195">
        <f t="shared" si="8"/>
        <v>2.002154656451999</v>
      </c>
    </row>
    <row r="196" spans="1:24">
      <c r="A196" s="2" t="s">
        <v>48</v>
      </c>
      <c r="B196" s="4">
        <v>200</v>
      </c>
      <c r="C196" s="4">
        <v>2400</v>
      </c>
      <c r="D196" s="4">
        <v>7.8739999999999997</v>
      </c>
      <c r="E196" s="4">
        <v>13.8</v>
      </c>
      <c r="F196" s="4">
        <v>340</v>
      </c>
      <c r="G196" s="16" t="s">
        <v>90</v>
      </c>
      <c r="H196" s="4">
        <v>0.44900000000000001</v>
      </c>
      <c r="I196" s="4">
        <v>80.400000000000006</v>
      </c>
      <c r="J196" s="4">
        <v>1538</v>
      </c>
      <c r="K196" s="4">
        <v>2862</v>
      </c>
      <c r="L196" s="4">
        <v>0.7</v>
      </c>
      <c r="M196" s="4">
        <v>80.14</v>
      </c>
      <c r="N196" s="5">
        <v>22.62</v>
      </c>
      <c r="Q196" s="1">
        <f t="shared" ref="Q196:Q259" si="9">B196*10^6/(C196*130*30)</f>
        <v>21.367521367521366</v>
      </c>
      <c r="R196" t="str" cm="1">
        <f t="array" ref="R196">_xlfn.IFS(Q196&lt;42.7, "low",
Q196&lt;85.4,"medium low",
Q196&lt;128,"medium high",
Q196&gt;=128,"high"
)</f>
        <v>low</v>
      </c>
      <c r="S196" t="str" cm="1">
        <f t="array" ref="S196">_xlfn.IFS(J196&lt;700,"low",J196&lt;1600,"medium low",J196&lt;2200,"medium high",J196&gt;=2200,"high")</f>
        <v>medium low</v>
      </c>
      <c r="T196" t="str" cm="1">
        <f t="array" ref="T196">_xlfn.IFS(
J196&lt;630,"Low",
J196&lt;1287,"Medium",
J196&lt;1495,"Intermediate",
J196&lt;1668,"Moderately",
J196&lt;1843,"Transition",
J196&lt;2477,"High",
J196&lt;2996,"Refractory I",
TRUE,"Refractory II"
)</f>
        <v>Moderately</v>
      </c>
      <c r="U196">
        <f t="shared" ref="U196:U259" si="10">N196/M196</f>
        <v>0.28225605190915898</v>
      </c>
      <c r="V196" t="str" cm="1">
        <f t="array" ref="V196">_xlfn.IFS(U196&lt;0.25,"shallow condution",
U196&lt;0.5,"transition",
U196&lt;1,"conduction",
U196&lt;1.5,"transition",U196&lt;3,"keyholeⅠ",3&lt;=U196,"keyhole Ⅱ"
)</f>
        <v>transition</v>
      </c>
      <c r="X196">
        <f t="shared" ref="X196:X259" si="11">M196/N196</f>
        <v>3.5428824049513703</v>
      </c>
    </row>
    <row r="197" spans="1:24">
      <c r="A197" s="2" t="s">
        <v>48</v>
      </c>
      <c r="B197" s="4">
        <v>350</v>
      </c>
      <c r="C197" s="4">
        <v>400</v>
      </c>
      <c r="D197" s="4">
        <v>7.8739999999999997</v>
      </c>
      <c r="E197" s="4">
        <v>13.8</v>
      </c>
      <c r="F197" s="4">
        <v>340</v>
      </c>
      <c r="G197" s="16" t="s">
        <v>90</v>
      </c>
      <c r="H197" s="4">
        <v>0.44900000000000001</v>
      </c>
      <c r="I197" s="4">
        <v>80.400000000000006</v>
      </c>
      <c r="J197" s="4">
        <v>1538</v>
      </c>
      <c r="K197" s="4">
        <v>2862</v>
      </c>
      <c r="L197" s="4">
        <v>0.7</v>
      </c>
      <c r="M197" s="4">
        <v>208.61</v>
      </c>
      <c r="N197" s="5">
        <v>154.06</v>
      </c>
      <c r="Q197" s="1">
        <f t="shared" si="9"/>
        <v>224.35897435897436</v>
      </c>
      <c r="R197" t="str" cm="1">
        <f t="array" ref="R197">_xlfn.IFS(Q197&lt;42.7, "low",
Q197&lt;85.4,"medium low",
Q197&lt;128,"medium high",
Q197&gt;=128,"high"
)</f>
        <v>high</v>
      </c>
      <c r="S197" t="str" cm="1">
        <f t="array" ref="S197">_xlfn.IFS(J197&lt;700,"low",J197&lt;1600,"medium low",J197&lt;2200,"medium high",J197&gt;=2200,"high")</f>
        <v>medium low</v>
      </c>
      <c r="T197" t="str" cm="1">
        <f t="array" ref="T197">_xlfn.IFS(
J197&lt;630,"Low",
J197&lt;1287,"Medium",
J197&lt;1495,"Intermediate",
J197&lt;1668,"Moderately",
J197&lt;1843,"Transition",
J197&lt;2477,"High",
J197&lt;2996,"Refractory I",
TRUE,"Refractory II"
)</f>
        <v>Moderately</v>
      </c>
      <c r="U197">
        <f t="shared" si="10"/>
        <v>0.73850726235559172</v>
      </c>
      <c r="V197" t="str" cm="1">
        <f t="array" ref="V197">_xlfn.IFS(U197&lt;0.25,"shallow condution",
U197&lt;0.5,"transition",
U197&lt;1,"conduction",
U197&lt;1.5,"transition",U197&lt;3,"keyholeⅠ",3&lt;=U197,"keyhole Ⅱ"
)</f>
        <v>conduction</v>
      </c>
      <c r="X197">
        <f t="shared" si="11"/>
        <v>1.354082824873426</v>
      </c>
    </row>
    <row r="198" spans="1:24">
      <c r="A198" s="2" t="s">
        <v>48</v>
      </c>
      <c r="B198" s="4">
        <v>350</v>
      </c>
      <c r="C198" s="4">
        <v>600</v>
      </c>
      <c r="D198" s="4">
        <v>7.8739999999999997</v>
      </c>
      <c r="E198" s="4">
        <v>13.8</v>
      </c>
      <c r="F198" s="4">
        <v>340</v>
      </c>
      <c r="G198" s="16" t="s">
        <v>90</v>
      </c>
      <c r="H198" s="4">
        <v>0.44900000000000001</v>
      </c>
      <c r="I198" s="4">
        <v>80.400000000000006</v>
      </c>
      <c r="J198" s="4">
        <v>1538</v>
      </c>
      <c r="K198" s="4">
        <v>2862</v>
      </c>
      <c r="L198" s="4">
        <v>0.7</v>
      </c>
      <c r="M198" s="4">
        <v>193.67</v>
      </c>
      <c r="N198" s="5">
        <v>84.74</v>
      </c>
      <c r="Q198" s="1">
        <f t="shared" si="9"/>
        <v>149.57264957264957</v>
      </c>
      <c r="R198" t="str" cm="1">
        <f t="array" ref="R198">_xlfn.IFS(Q198&lt;42.7, "low",
Q198&lt;85.4,"medium low",
Q198&lt;128,"medium high",
Q198&gt;=128,"high"
)</f>
        <v>high</v>
      </c>
      <c r="S198" t="str" cm="1">
        <f t="array" ref="S198">_xlfn.IFS(J198&lt;700,"low",J198&lt;1600,"medium low",J198&lt;2200,"medium high",J198&gt;=2200,"high")</f>
        <v>medium low</v>
      </c>
      <c r="T198" t="str" cm="1">
        <f t="array" ref="T198">_xlfn.IFS(
J198&lt;630,"Low",
J198&lt;1287,"Medium",
J198&lt;1495,"Intermediate",
J198&lt;1668,"Moderately",
J198&lt;1843,"Transition",
J198&lt;2477,"High",
J198&lt;2996,"Refractory I",
TRUE,"Refractory II"
)</f>
        <v>Moderately</v>
      </c>
      <c r="U198">
        <f t="shared" si="10"/>
        <v>0.43754840708421544</v>
      </c>
      <c r="V198" t="str" cm="1">
        <f t="array" ref="V198">_xlfn.IFS(U198&lt;0.25,"shallow condution",
U198&lt;0.5,"transition",
U198&lt;1,"conduction",
U198&lt;1.5,"transition",U198&lt;3,"keyholeⅠ",3&lt;=U198,"keyhole Ⅱ"
)</f>
        <v>transition</v>
      </c>
      <c r="X198">
        <f t="shared" si="11"/>
        <v>2.2854614113759735</v>
      </c>
    </row>
    <row r="199" spans="1:24">
      <c r="A199" s="2" t="s">
        <v>48</v>
      </c>
      <c r="B199" s="4">
        <v>350</v>
      </c>
      <c r="C199" s="4">
        <v>800</v>
      </c>
      <c r="D199" s="4">
        <v>7.8739999999999997</v>
      </c>
      <c r="E199" s="4">
        <v>13.8</v>
      </c>
      <c r="F199" s="4">
        <v>340</v>
      </c>
      <c r="G199" s="16" t="s">
        <v>90</v>
      </c>
      <c r="H199" s="4">
        <v>0.44900000000000001</v>
      </c>
      <c r="I199" s="4">
        <v>80.400000000000006</v>
      </c>
      <c r="J199" s="4">
        <v>1538</v>
      </c>
      <c r="K199" s="4">
        <v>2862</v>
      </c>
      <c r="L199" s="4">
        <v>0.7</v>
      </c>
      <c r="M199" s="4">
        <v>157.65</v>
      </c>
      <c r="N199" s="5">
        <v>62.98</v>
      </c>
      <c r="Q199" s="1">
        <f t="shared" si="9"/>
        <v>112.17948717948718</v>
      </c>
      <c r="R199" t="str" cm="1">
        <f t="array" ref="R199">_xlfn.IFS(Q199&lt;42.7, "low",
Q199&lt;85.4,"medium low",
Q199&lt;128,"medium high",
Q199&gt;=128,"high"
)</f>
        <v>medium high</v>
      </c>
      <c r="S199" t="str" cm="1">
        <f t="array" ref="S199">_xlfn.IFS(J199&lt;700,"low",J199&lt;1600,"medium low",J199&lt;2200,"medium high",J199&gt;=2200,"high")</f>
        <v>medium low</v>
      </c>
      <c r="T199" t="str" cm="1">
        <f t="array" ref="T199">_xlfn.IFS(
J199&lt;630,"Low",
J199&lt;1287,"Medium",
J199&lt;1495,"Intermediate",
J199&lt;1668,"Moderately",
J199&lt;1843,"Transition",
J199&lt;2477,"High",
J199&lt;2996,"Refractory I",
TRUE,"Refractory II"
)</f>
        <v>Moderately</v>
      </c>
      <c r="U199">
        <f t="shared" si="10"/>
        <v>0.39949254678084362</v>
      </c>
      <c r="V199" t="str" cm="1">
        <f t="array" ref="V199">_xlfn.IFS(U199&lt;0.25,"shallow condution",
U199&lt;0.5,"transition",
U199&lt;1,"conduction",
U199&lt;1.5,"transition",U199&lt;3,"keyholeⅠ",3&lt;=U199,"keyhole Ⅱ"
)</f>
        <v>transition</v>
      </c>
      <c r="X199">
        <f t="shared" si="11"/>
        <v>2.5031756113051764</v>
      </c>
    </row>
    <row r="200" spans="1:24">
      <c r="A200" s="2" t="s">
        <v>48</v>
      </c>
      <c r="B200" s="4">
        <v>350</v>
      </c>
      <c r="C200" s="4">
        <v>1000</v>
      </c>
      <c r="D200" s="4">
        <v>7.8739999999999997</v>
      </c>
      <c r="E200" s="4">
        <v>13.8</v>
      </c>
      <c r="F200" s="4">
        <v>340</v>
      </c>
      <c r="G200" s="16" t="s">
        <v>90</v>
      </c>
      <c r="H200" s="4">
        <v>0.44900000000000001</v>
      </c>
      <c r="I200" s="4">
        <v>80.400000000000006</v>
      </c>
      <c r="J200" s="4">
        <v>1538</v>
      </c>
      <c r="K200" s="4">
        <v>2862</v>
      </c>
      <c r="L200" s="4">
        <v>0.7</v>
      </c>
      <c r="M200" s="4">
        <v>136.99</v>
      </c>
      <c r="N200" s="5">
        <v>61.17</v>
      </c>
      <c r="Q200" s="1">
        <f t="shared" si="9"/>
        <v>89.743589743589737</v>
      </c>
      <c r="R200" t="str" cm="1">
        <f t="array" ref="R200">_xlfn.IFS(Q200&lt;42.7, "low",
Q200&lt;85.4,"medium low",
Q200&lt;128,"medium high",
Q200&gt;=128,"high"
)</f>
        <v>medium high</v>
      </c>
      <c r="S200" t="str" cm="1">
        <f t="array" ref="S200">_xlfn.IFS(J200&lt;700,"low",J200&lt;1600,"medium low",J200&lt;2200,"medium high",J200&gt;=2200,"high")</f>
        <v>medium low</v>
      </c>
      <c r="T200" t="str" cm="1">
        <f t="array" ref="T200">_xlfn.IFS(
J200&lt;630,"Low",
J200&lt;1287,"Medium",
J200&lt;1495,"Intermediate",
J200&lt;1668,"Moderately",
J200&lt;1843,"Transition",
J200&lt;2477,"High",
J200&lt;2996,"Refractory I",
TRUE,"Refractory II"
)</f>
        <v>Moderately</v>
      </c>
      <c r="U200">
        <f t="shared" si="10"/>
        <v>0.44652894371851959</v>
      </c>
      <c r="V200" t="str" cm="1">
        <f t="array" ref="V200">_xlfn.IFS(U200&lt;0.25,"shallow condution",
U200&lt;0.5,"transition",
U200&lt;1,"conduction",
U200&lt;1.5,"transition",U200&lt;3,"keyholeⅠ",3&lt;=U200,"keyhole Ⅱ"
)</f>
        <v>transition</v>
      </c>
      <c r="X200">
        <f t="shared" si="11"/>
        <v>2.2394964852051662</v>
      </c>
    </row>
    <row r="201" spans="1:24">
      <c r="A201" s="2" t="s">
        <v>48</v>
      </c>
      <c r="B201" s="4">
        <v>350</v>
      </c>
      <c r="C201" s="4">
        <v>1200</v>
      </c>
      <c r="D201" s="4">
        <v>7.8739999999999997</v>
      </c>
      <c r="E201" s="4">
        <v>13.8</v>
      </c>
      <c r="F201" s="4">
        <v>340</v>
      </c>
      <c r="G201" s="16" t="s">
        <v>90</v>
      </c>
      <c r="H201" s="4">
        <v>0.44900000000000001</v>
      </c>
      <c r="I201" s="4">
        <v>80.400000000000006</v>
      </c>
      <c r="J201" s="4">
        <v>1538</v>
      </c>
      <c r="K201" s="4">
        <v>2862</v>
      </c>
      <c r="L201" s="4">
        <v>0.7</v>
      </c>
      <c r="M201" s="4">
        <v>127.2</v>
      </c>
      <c r="N201" s="5">
        <v>43.29</v>
      </c>
      <c r="Q201" s="1">
        <f t="shared" si="9"/>
        <v>74.786324786324784</v>
      </c>
      <c r="R201" t="str" cm="1">
        <f t="array" ref="R201">_xlfn.IFS(Q201&lt;42.7, "low",
Q201&lt;85.4,"medium low",
Q201&lt;128,"medium high",
Q201&gt;=128,"high"
)</f>
        <v>medium low</v>
      </c>
      <c r="S201" t="str" cm="1">
        <f t="array" ref="S201">_xlfn.IFS(J201&lt;700,"low",J201&lt;1600,"medium low",J201&lt;2200,"medium high",J201&gt;=2200,"high")</f>
        <v>medium low</v>
      </c>
      <c r="T201" t="str" cm="1">
        <f t="array" ref="T201">_xlfn.IFS(
J201&lt;630,"Low",
J201&lt;1287,"Medium",
J201&lt;1495,"Intermediate",
J201&lt;1668,"Moderately",
J201&lt;1843,"Transition",
J201&lt;2477,"High",
J201&lt;2996,"Refractory I",
TRUE,"Refractory II"
)</f>
        <v>Moderately</v>
      </c>
      <c r="U201">
        <f t="shared" si="10"/>
        <v>0.34033018867924525</v>
      </c>
      <c r="V201" t="str" cm="1">
        <f t="array" ref="V201">_xlfn.IFS(U201&lt;0.25,"shallow condution",
U201&lt;0.5,"transition",
U201&lt;1,"conduction",
U201&lt;1.5,"transition",U201&lt;3,"keyholeⅠ",3&lt;=U201,"keyhole Ⅱ"
)</f>
        <v>transition</v>
      </c>
      <c r="X201">
        <f t="shared" si="11"/>
        <v>2.9383229383229383</v>
      </c>
    </row>
    <row r="202" spans="1:24">
      <c r="A202" s="2" t="s">
        <v>48</v>
      </c>
      <c r="B202" s="4">
        <v>350</v>
      </c>
      <c r="C202" s="4">
        <v>1600</v>
      </c>
      <c r="D202" s="4">
        <v>7.8739999999999997</v>
      </c>
      <c r="E202" s="4">
        <v>13.8</v>
      </c>
      <c r="F202" s="4">
        <v>340</v>
      </c>
      <c r="G202" s="16" t="s">
        <v>90</v>
      </c>
      <c r="H202" s="4">
        <v>0.44900000000000001</v>
      </c>
      <c r="I202" s="4">
        <v>80.400000000000006</v>
      </c>
      <c r="J202" s="4">
        <v>1538</v>
      </c>
      <c r="K202" s="4">
        <v>2862</v>
      </c>
      <c r="L202" s="4">
        <v>0.7</v>
      </c>
      <c r="M202" s="4">
        <v>114.6</v>
      </c>
      <c r="N202" s="5">
        <v>22.09</v>
      </c>
      <c r="Q202" s="1">
        <f t="shared" si="9"/>
        <v>56.089743589743591</v>
      </c>
      <c r="R202" t="str" cm="1">
        <f t="array" ref="R202">_xlfn.IFS(Q202&lt;42.7, "low",
Q202&lt;85.4,"medium low",
Q202&lt;128,"medium high",
Q202&gt;=128,"high"
)</f>
        <v>medium low</v>
      </c>
      <c r="S202" t="str" cm="1">
        <f t="array" ref="S202">_xlfn.IFS(J202&lt;700,"low",J202&lt;1600,"medium low",J202&lt;2200,"medium high",J202&gt;=2200,"high")</f>
        <v>medium low</v>
      </c>
      <c r="T202" t="str" cm="1">
        <f t="array" ref="T202">_xlfn.IFS(
J202&lt;630,"Low",
J202&lt;1287,"Medium",
J202&lt;1495,"Intermediate",
J202&lt;1668,"Moderately",
J202&lt;1843,"Transition",
J202&lt;2477,"High",
J202&lt;2996,"Refractory I",
TRUE,"Refractory II"
)</f>
        <v>Moderately</v>
      </c>
      <c r="U202">
        <f t="shared" si="10"/>
        <v>0.19275741710296684</v>
      </c>
      <c r="V202" t="str" cm="1">
        <f t="array" ref="V202">_xlfn.IFS(U202&lt;0.25,"shallow condution",
U202&lt;0.5,"transition",
U202&lt;1,"conduction",
U202&lt;1.5,"transition",U202&lt;3,"keyholeⅠ",3&lt;=U202,"keyhole Ⅱ"
)</f>
        <v>shallow condution</v>
      </c>
      <c r="X202">
        <f t="shared" si="11"/>
        <v>5.1878678134902669</v>
      </c>
    </row>
    <row r="203" spans="1:24">
      <c r="A203" s="2" t="s">
        <v>48</v>
      </c>
      <c r="B203" s="4">
        <v>350</v>
      </c>
      <c r="C203" s="4">
        <v>2000</v>
      </c>
      <c r="D203" s="4">
        <v>7.8739999999999997</v>
      </c>
      <c r="E203" s="4">
        <v>13.8</v>
      </c>
      <c r="F203" s="4">
        <v>340</v>
      </c>
      <c r="G203" s="16" t="s">
        <v>90</v>
      </c>
      <c r="H203" s="4">
        <v>0.44900000000000001</v>
      </c>
      <c r="I203" s="4">
        <v>80.400000000000006</v>
      </c>
      <c r="J203" s="4">
        <v>1538</v>
      </c>
      <c r="K203" s="4">
        <v>2862</v>
      </c>
      <c r="L203" s="4">
        <v>0.7</v>
      </c>
      <c r="M203" s="4">
        <v>110.25</v>
      </c>
      <c r="N203" s="5">
        <v>22.3</v>
      </c>
      <c r="Q203" s="1">
        <f t="shared" si="9"/>
        <v>44.871794871794869</v>
      </c>
      <c r="R203" t="str" cm="1">
        <f t="array" ref="R203">_xlfn.IFS(Q203&lt;42.7, "low",
Q203&lt;85.4,"medium low",
Q203&lt;128,"medium high",
Q203&gt;=128,"high"
)</f>
        <v>medium low</v>
      </c>
      <c r="S203" t="str" cm="1">
        <f t="array" ref="S203">_xlfn.IFS(J203&lt;700,"low",J203&lt;1600,"medium low",J203&lt;2200,"medium high",J203&gt;=2200,"high")</f>
        <v>medium low</v>
      </c>
      <c r="T203" t="str" cm="1">
        <f t="array" ref="T203">_xlfn.IFS(
J203&lt;630,"Low",
J203&lt;1287,"Medium",
J203&lt;1495,"Intermediate",
J203&lt;1668,"Moderately",
J203&lt;1843,"Transition",
J203&lt;2477,"High",
J203&lt;2996,"Refractory I",
TRUE,"Refractory II"
)</f>
        <v>Moderately</v>
      </c>
      <c r="U203">
        <f t="shared" si="10"/>
        <v>0.20226757369614512</v>
      </c>
      <c r="V203" t="str" cm="1">
        <f t="array" ref="V203">_xlfn.IFS(U203&lt;0.25,"shallow condution",
U203&lt;0.5,"transition",
U203&lt;1,"conduction",
U203&lt;1.5,"transition",U203&lt;3,"keyholeⅠ",3&lt;=U203,"keyhole Ⅱ"
)</f>
        <v>shallow condution</v>
      </c>
      <c r="X203">
        <f t="shared" si="11"/>
        <v>4.9439461883408073</v>
      </c>
    </row>
    <row r="204" spans="1:24">
      <c r="A204" s="2" t="s">
        <v>48</v>
      </c>
      <c r="B204" s="4">
        <v>350</v>
      </c>
      <c r="C204" s="4">
        <v>2400</v>
      </c>
      <c r="D204" s="4">
        <v>7.8739999999999997</v>
      </c>
      <c r="E204" s="4">
        <v>13.8</v>
      </c>
      <c r="F204" s="4">
        <v>340</v>
      </c>
      <c r="G204" s="16" t="s">
        <v>90</v>
      </c>
      <c r="H204" s="4">
        <v>0.44900000000000001</v>
      </c>
      <c r="I204" s="4">
        <v>80.400000000000006</v>
      </c>
      <c r="J204" s="4">
        <v>1538</v>
      </c>
      <c r="K204" s="4">
        <v>2862</v>
      </c>
      <c r="L204" s="4">
        <v>0.7</v>
      </c>
      <c r="M204" s="4">
        <v>106.15</v>
      </c>
      <c r="N204" s="5">
        <v>21.99</v>
      </c>
      <c r="Q204" s="1">
        <f t="shared" si="9"/>
        <v>37.393162393162392</v>
      </c>
      <c r="R204" t="str" cm="1">
        <f t="array" ref="R204">_xlfn.IFS(Q204&lt;42.7, "low",
Q204&lt;85.4,"medium low",
Q204&lt;128,"medium high",
Q204&gt;=128,"high"
)</f>
        <v>low</v>
      </c>
      <c r="S204" t="str" cm="1">
        <f t="array" ref="S204">_xlfn.IFS(J204&lt;700,"low",J204&lt;1600,"medium low",J204&lt;2200,"medium high",J204&gt;=2200,"high")</f>
        <v>medium low</v>
      </c>
      <c r="T204" t="str" cm="1">
        <f t="array" ref="T204">_xlfn.IFS(
J204&lt;630,"Low",
J204&lt;1287,"Medium",
J204&lt;1495,"Intermediate",
J204&lt;1668,"Moderately",
J204&lt;1843,"Transition",
J204&lt;2477,"High",
J204&lt;2996,"Refractory I",
TRUE,"Refractory II"
)</f>
        <v>Moderately</v>
      </c>
      <c r="U204">
        <f t="shared" si="10"/>
        <v>0.20715967969853977</v>
      </c>
      <c r="V204" t="str" cm="1">
        <f t="array" ref="V204">_xlfn.IFS(U204&lt;0.25,"shallow condution",
U204&lt;0.5,"transition",
U204&lt;1,"conduction",
U204&lt;1.5,"transition",U204&lt;3,"keyholeⅠ",3&lt;=U204,"keyhole Ⅱ"
)</f>
        <v>shallow condution</v>
      </c>
      <c r="X204">
        <f t="shared" si="11"/>
        <v>4.8271941791723521</v>
      </c>
    </row>
    <row r="205" spans="1:24">
      <c r="A205" s="2" t="s">
        <v>48</v>
      </c>
      <c r="B205" s="4">
        <v>100</v>
      </c>
      <c r="C205" s="4">
        <v>300</v>
      </c>
      <c r="D205" s="4">
        <v>7.8739999999999997</v>
      </c>
      <c r="E205" s="4">
        <v>13.8</v>
      </c>
      <c r="F205" s="4">
        <v>340</v>
      </c>
      <c r="G205" s="16" t="s">
        <v>90</v>
      </c>
      <c r="H205" s="4">
        <v>0.44900000000000001</v>
      </c>
      <c r="I205" s="4">
        <v>80.400000000000006</v>
      </c>
      <c r="J205" s="4">
        <v>1538</v>
      </c>
      <c r="K205" s="4">
        <v>2862</v>
      </c>
      <c r="L205" s="4">
        <v>0.7</v>
      </c>
      <c r="M205" s="4">
        <v>109.43</v>
      </c>
      <c r="N205" s="5">
        <v>97.77</v>
      </c>
      <c r="Q205" s="1">
        <f t="shared" si="9"/>
        <v>85.470085470085465</v>
      </c>
      <c r="R205" t="str" cm="1">
        <f t="array" ref="R205">_xlfn.IFS(Q205&lt;42.7, "low",
Q205&lt;85.4,"medium low",
Q205&lt;128,"medium high",
Q205&gt;=128,"high"
)</f>
        <v>medium high</v>
      </c>
      <c r="S205" t="str" cm="1">
        <f t="array" ref="S205">_xlfn.IFS(J205&lt;700,"low",J205&lt;1600,"medium low",J205&lt;2200,"medium high",J205&gt;=2200,"high")</f>
        <v>medium low</v>
      </c>
      <c r="T205" t="str" cm="1">
        <f t="array" ref="T205">_xlfn.IFS(
J205&lt;630,"Low",
J205&lt;1287,"Medium",
J205&lt;1495,"Intermediate",
J205&lt;1668,"Moderately",
J205&lt;1843,"Transition",
J205&lt;2477,"High",
J205&lt;2996,"Refractory I",
TRUE,"Refractory II"
)</f>
        <v>Moderately</v>
      </c>
      <c r="U205">
        <f t="shared" si="10"/>
        <v>0.8934478662158456</v>
      </c>
      <c r="V205" t="str" cm="1">
        <f t="array" ref="V205">_xlfn.IFS(U205&lt;0.25,"shallow condution",
U205&lt;0.5,"transition",
U205&lt;1,"conduction",
U205&lt;1.5,"transition",U205&lt;3,"keyholeⅠ",3&lt;=U205,"keyhole Ⅱ"
)</f>
        <v>conduction</v>
      </c>
      <c r="X205">
        <f t="shared" si="11"/>
        <v>1.1192594865500667</v>
      </c>
    </row>
    <row r="206" spans="1:24">
      <c r="A206" s="2" t="s">
        <v>48</v>
      </c>
      <c r="B206" s="4">
        <v>150</v>
      </c>
      <c r="C206" s="4">
        <v>300</v>
      </c>
      <c r="D206" s="4">
        <v>7.8739999999999997</v>
      </c>
      <c r="E206" s="4">
        <v>13.8</v>
      </c>
      <c r="F206" s="4">
        <v>340</v>
      </c>
      <c r="G206" s="16" t="s">
        <v>90</v>
      </c>
      <c r="H206" s="4">
        <v>0.44900000000000001</v>
      </c>
      <c r="I206" s="4">
        <v>80.400000000000006</v>
      </c>
      <c r="J206" s="4">
        <v>1538</v>
      </c>
      <c r="K206" s="4">
        <v>2862</v>
      </c>
      <c r="L206" s="4">
        <v>0.7</v>
      </c>
      <c r="M206" s="4">
        <v>129</v>
      </c>
      <c r="N206" s="5">
        <v>169.47</v>
      </c>
      <c r="Q206" s="1">
        <f t="shared" si="9"/>
        <v>128.2051282051282</v>
      </c>
      <c r="R206" t="str" cm="1">
        <f t="array" ref="R206">_xlfn.IFS(Q206&lt;42.7, "low",
Q206&lt;85.4,"medium low",
Q206&lt;128,"medium high",
Q206&gt;=128,"high"
)</f>
        <v>high</v>
      </c>
      <c r="S206" t="str" cm="1">
        <f t="array" ref="S206">_xlfn.IFS(J206&lt;700,"low",J206&lt;1600,"medium low",J206&lt;2200,"medium high",J206&gt;=2200,"high")</f>
        <v>medium low</v>
      </c>
      <c r="T206" t="str" cm="1">
        <f t="array" ref="T206">_xlfn.IFS(
J206&lt;630,"Low",
J206&lt;1287,"Medium",
J206&lt;1495,"Intermediate",
J206&lt;1668,"Moderately",
J206&lt;1843,"Transition",
J206&lt;2477,"High",
J206&lt;2996,"Refractory I",
TRUE,"Refractory II"
)</f>
        <v>Moderately</v>
      </c>
      <c r="U206">
        <f t="shared" si="10"/>
        <v>1.3137209302325581</v>
      </c>
      <c r="V206" t="str" cm="1">
        <f t="array" ref="V206">_xlfn.IFS(U206&lt;0.25,"shallow condution",
U206&lt;0.5,"transition",
U206&lt;1,"conduction",
U206&lt;1.5,"transition",U206&lt;3,"keyholeⅠ",3&lt;=U206,"keyhole Ⅱ"
)</f>
        <v>transition</v>
      </c>
      <c r="X206">
        <f t="shared" si="11"/>
        <v>0.76119667197734109</v>
      </c>
    </row>
    <row r="207" spans="1:24">
      <c r="A207" s="2" t="s">
        <v>48</v>
      </c>
      <c r="B207" s="4">
        <v>200</v>
      </c>
      <c r="C207" s="4">
        <v>300</v>
      </c>
      <c r="D207" s="4">
        <v>7.8739999999999997</v>
      </c>
      <c r="E207" s="4">
        <v>13.8</v>
      </c>
      <c r="F207" s="4">
        <v>340</v>
      </c>
      <c r="G207" s="16" t="s">
        <v>90</v>
      </c>
      <c r="H207" s="4">
        <v>0.44900000000000001</v>
      </c>
      <c r="I207" s="4">
        <v>80.400000000000006</v>
      </c>
      <c r="J207" s="4">
        <v>1538</v>
      </c>
      <c r="K207" s="4">
        <v>2862</v>
      </c>
      <c r="L207" s="4">
        <v>0.7</v>
      </c>
      <c r="M207" s="4">
        <v>160.62</v>
      </c>
      <c r="N207" s="5">
        <v>254.31</v>
      </c>
      <c r="Q207" s="1">
        <f t="shared" si="9"/>
        <v>170.94017094017093</v>
      </c>
      <c r="R207" t="str" cm="1">
        <f t="array" ref="R207">_xlfn.IFS(Q207&lt;42.7, "low",
Q207&lt;85.4,"medium low",
Q207&lt;128,"medium high",
Q207&gt;=128,"high"
)</f>
        <v>high</v>
      </c>
      <c r="S207" t="str" cm="1">
        <f t="array" ref="S207">_xlfn.IFS(J207&lt;700,"low",J207&lt;1600,"medium low",J207&lt;2200,"medium high",J207&gt;=2200,"high")</f>
        <v>medium low</v>
      </c>
      <c r="T207" t="str" cm="1">
        <f t="array" ref="T207">_xlfn.IFS(
J207&lt;630,"Low",
J207&lt;1287,"Medium",
J207&lt;1495,"Intermediate",
J207&lt;1668,"Moderately",
J207&lt;1843,"Transition",
J207&lt;2477,"High",
J207&lt;2996,"Refractory I",
TRUE,"Refractory II"
)</f>
        <v>Moderately</v>
      </c>
      <c r="U207">
        <f t="shared" si="10"/>
        <v>1.5833022039596563</v>
      </c>
      <c r="V207" t="str" cm="1">
        <f t="array" ref="V207">_xlfn.IFS(U207&lt;0.25,"shallow condution",
U207&lt;0.5,"transition",
U207&lt;1,"conduction",
U207&lt;1.5,"transition",U207&lt;3,"keyholeⅠ",3&lt;=U207,"keyhole Ⅱ"
)</f>
        <v>keyholeⅠ</v>
      </c>
      <c r="X207">
        <f t="shared" si="11"/>
        <v>0.63159136486964729</v>
      </c>
    </row>
    <row r="208" spans="1:24">
      <c r="A208" s="2" t="s">
        <v>48</v>
      </c>
      <c r="B208" s="4">
        <v>250</v>
      </c>
      <c r="C208" s="4">
        <v>300</v>
      </c>
      <c r="D208" s="4">
        <v>7.8739999999999997</v>
      </c>
      <c r="E208" s="4">
        <v>13.8</v>
      </c>
      <c r="F208" s="4">
        <v>340</v>
      </c>
      <c r="G208" s="16" t="s">
        <v>90</v>
      </c>
      <c r="H208" s="4">
        <v>0.44900000000000001</v>
      </c>
      <c r="I208" s="4">
        <v>80.400000000000006</v>
      </c>
      <c r="J208" s="4">
        <v>1538</v>
      </c>
      <c r="K208" s="4">
        <v>2862</v>
      </c>
      <c r="L208" s="4">
        <v>0.7</v>
      </c>
      <c r="M208" s="4">
        <v>177.23</v>
      </c>
      <c r="N208" s="5">
        <v>331.7</v>
      </c>
      <c r="Q208" s="1">
        <f t="shared" si="9"/>
        <v>213.67521367521368</v>
      </c>
      <c r="R208" t="str" cm="1">
        <f t="array" ref="R208">_xlfn.IFS(Q208&lt;42.7, "low",
Q208&lt;85.4,"medium low",
Q208&lt;128,"medium high",
Q208&gt;=128,"high"
)</f>
        <v>high</v>
      </c>
      <c r="S208" t="str" cm="1">
        <f t="array" ref="S208">_xlfn.IFS(J208&lt;700,"low",J208&lt;1600,"medium low",J208&lt;2200,"medium high",J208&gt;=2200,"high")</f>
        <v>medium low</v>
      </c>
      <c r="T208" t="str" cm="1">
        <f t="array" ref="T208">_xlfn.IFS(
J208&lt;630,"Low",
J208&lt;1287,"Medium",
J208&lt;1495,"Intermediate",
J208&lt;1668,"Moderately",
J208&lt;1843,"Transition",
J208&lt;2477,"High",
J208&lt;2996,"Refractory I",
TRUE,"Refractory II"
)</f>
        <v>Moderately</v>
      </c>
      <c r="U208">
        <f t="shared" si="10"/>
        <v>1.8715793037296169</v>
      </c>
      <c r="V208" t="str" cm="1">
        <f t="array" ref="V208">_xlfn.IFS(U208&lt;0.25,"shallow condution",
U208&lt;0.5,"transition",
U208&lt;1,"conduction",
U208&lt;1.5,"transition",U208&lt;3,"keyholeⅠ",3&lt;=U208,"keyhole Ⅱ"
)</f>
        <v>keyholeⅠ</v>
      </c>
      <c r="X208">
        <f t="shared" si="11"/>
        <v>0.53430810973771481</v>
      </c>
    </row>
    <row r="209" spans="1:24">
      <c r="A209" s="2" t="s">
        <v>48</v>
      </c>
      <c r="B209" s="4">
        <v>300</v>
      </c>
      <c r="C209" s="4">
        <v>300</v>
      </c>
      <c r="D209" s="4">
        <v>7.8739999999999997</v>
      </c>
      <c r="E209" s="4">
        <v>13.8</v>
      </c>
      <c r="F209" s="4">
        <v>340</v>
      </c>
      <c r="G209" s="16" t="s">
        <v>90</v>
      </c>
      <c r="H209" s="4">
        <v>0.44900000000000001</v>
      </c>
      <c r="I209" s="4">
        <v>80.400000000000006</v>
      </c>
      <c r="J209" s="4">
        <v>1538</v>
      </c>
      <c r="K209" s="4">
        <v>2862</v>
      </c>
      <c r="L209" s="4">
        <v>0.7</v>
      </c>
      <c r="M209" s="4">
        <v>247.28</v>
      </c>
      <c r="N209" s="5">
        <v>215.59</v>
      </c>
      <c r="Q209" s="1">
        <f t="shared" si="9"/>
        <v>256.41025641025641</v>
      </c>
      <c r="R209" t="str" cm="1">
        <f t="array" ref="R209">_xlfn.IFS(Q209&lt;42.7, "low",
Q209&lt;85.4,"medium low",
Q209&lt;128,"medium high",
Q209&gt;=128,"high"
)</f>
        <v>high</v>
      </c>
      <c r="S209" t="str" cm="1">
        <f t="array" ref="S209">_xlfn.IFS(J209&lt;700,"low",J209&lt;1600,"medium low",J209&lt;2200,"medium high",J209&gt;=2200,"high")</f>
        <v>medium low</v>
      </c>
      <c r="T209" t="str" cm="1">
        <f t="array" ref="T209">_xlfn.IFS(
J209&lt;630,"Low",
J209&lt;1287,"Medium",
J209&lt;1495,"Intermediate",
J209&lt;1668,"Moderately",
J209&lt;1843,"Transition",
J209&lt;2477,"High",
J209&lt;2996,"Refractory I",
TRUE,"Refractory II"
)</f>
        <v>Moderately</v>
      </c>
      <c r="U209">
        <f t="shared" si="10"/>
        <v>0.87184568100938209</v>
      </c>
      <c r="V209" t="str" cm="1">
        <f t="array" ref="V209">_xlfn.IFS(U209&lt;0.25,"shallow condution",
U209&lt;0.5,"transition",
U209&lt;1,"conduction",
U209&lt;1.5,"transition",U209&lt;3,"keyholeⅠ",3&lt;=U209,"keyhole Ⅱ"
)</f>
        <v>conduction</v>
      </c>
      <c r="X209">
        <f t="shared" si="11"/>
        <v>1.1469919755090681</v>
      </c>
    </row>
    <row r="210" spans="1:24">
      <c r="A210" s="2" t="s">
        <v>48</v>
      </c>
      <c r="B210" s="4">
        <v>100</v>
      </c>
      <c r="C210" s="4">
        <v>600</v>
      </c>
      <c r="D210" s="4">
        <v>7.8739999999999997</v>
      </c>
      <c r="E210" s="4">
        <v>13.8</v>
      </c>
      <c r="F210" s="4">
        <v>340</v>
      </c>
      <c r="G210" s="16" t="s">
        <v>90</v>
      </c>
      <c r="H210" s="4">
        <v>0.44900000000000001</v>
      </c>
      <c r="I210" s="4">
        <v>80.400000000000006</v>
      </c>
      <c r="J210" s="4">
        <v>1538</v>
      </c>
      <c r="K210" s="4">
        <v>2862</v>
      </c>
      <c r="L210" s="4">
        <v>0.7</v>
      </c>
      <c r="M210" s="4">
        <v>65.55</v>
      </c>
      <c r="N210" s="5">
        <v>14.8</v>
      </c>
      <c r="Q210" s="1">
        <f t="shared" si="9"/>
        <v>42.735042735042732</v>
      </c>
      <c r="R210" t="str" cm="1">
        <f t="array" ref="R210">_xlfn.IFS(Q210&lt;42.7, "low",
Q210&lt;85.4,"medium low",
Q210&lt;128,"medium high",
Q210&gt;=128,"high"
)</f>
        <v>medium low</v>
      </c>
      <c r="S210" t="str" cm="1">
        <f t="array" ref="S210">_xlfn.IFS(J210&lt;700,"low",J210&lt;1600,"medium low",J210&lt;2200,"medium high",J210&gt;=2200,"high")</f>
        <v>medium low</v>
      </c>
      <c r="T210" t="str" cm="1">
        <f t="array" ref="T210">_xlfn.IFS(
J210&lt;630,"Low",
J210&lt;1287,"Medium",
J210&lt;1495,"Intermediate",
J210&lt;1668,"Moderately",
J210&lt;1843,"Transition",
J210&lt;2477,"High",
J210&lt;2996,"Refractory I",
TRUE,"Refractory II"
)</f>
        <v>Moderately</v>
      </c>
      <c r="U210">
        <f t="shared" si="10"/>
        <v>0.22578184591914571</v>
      </c>
      <c r="V210" t="str" cm="1">
        <f t="array" ref="V210">_xlfn.IFS(U210&lt;0.25,"shallow condution",
U210&lt;0.5,"transition",
U210&lt;1,"conduction",
U210&lt;1.5,"transition",U210&lt;3,"keyholeⅠ",3&lt;=U210,"keyhole Ⅱ"
)</f>
        <v>shallow condution</v>
      </c>
      <c r="X210">
        <f t="shared" si="11"/>
        <v>4.4290540540540535</v>
      </c>
    </row>
    <row r="211" spans="1:24">
      <c r="A211" s="2" t="s">
        <v>48</v>
      </c>
      <c r="B211" s="4">
        <v>150</v>
      </c>
      <c r="C211" s="4">
        <v>600</v>
      </c>
      <c r="D211" s="4">
        <v>7.8739999999999997</v>
      </c>
      <c r="E211" s="4">
        <v>13.8</v>
      </c>
      <c r="F211" s="4">
        <v>340</v>
      </c>
      <c r="G211" s="16" t="s">
        <v>90</v>
      </c>
      <c r="H211" s="4">
        <v>0.44900000000000001</v>
      </c>
      <c r="I211" s="4">
        <v>80.400000000000006</v>
      </c>
      <c r="J211" s="4">
        <v>1538</v>
      </c>
      <c r="K211" s="4">
        <v>2862</v>
      </c>
      <c r="L211" s="4">
        <v>0.7</v>
      </c>
      <c r="M211" s="4">
        <v>104.59</v>
      </c>
      <c r="N211" s="5">
        <v>23.12</v>
      </c>
      <c r="Q211" s="1">
        <f t="shared" si="9"/>
        <v>64.102564102564102</v>
      </c>
      <c r="R211" t="str" cm="1">
        <f t="array" ref="R211">_xlfn.IFS(Q211&lt;42.7, "low",
Q211&lt;85.4,"medium low",
Q211&lt;128,"medium high",
Q211&gt;=128,"high"
)</f>
        <v>medium low</v>
      </c>
      <c r="S211" t="str" cm="1">
        <f t="array" ref="S211">_xlfn.IFS(J211&lt;700,"low",J211&lt;1600,"medium low",J211&lt;2200,"medium high",J211&gt;=2200,"high")</f>
        <v>medium low</v>
      </c>
      <c r="T211" t="str" cm="1">
        <f t="array" ref="T211">_xlfn.IFS(
J211&lt;630,"Low",
J211&lt;1287,"Medium",
J211&lt;1495,"Intermediate",
J211&lt;1668,"Moderately",
J211&lt;1843,"Transition",
J211&lt;2477,"High",
J211&lt;2996,"Refractory I",
TRUE,"Refractory II"
)</f>
        <v>Moderately</v>
      </c>
      <c r="U211">
        <f t="shared" si="10"/>
        <v>0.22105363801510661</v>
      </c>
      <c r="V211" t="str" cm="1">
        <f t="array" ref="V211">_xlfn.IFS(U211&lt;0.25,"shallow condution",
U211&lt;0.5,"transition",
U211&lt;1,"conduction",
U211&lt;1.5,"transition",U211&lt;3,"keyholeⅠ",3&lt;=U211,"keyhole Ⅱ"
)</f>
        <v>shallow condution</v>
      </c>
      <c r="X211">
        <f t="shared" si="11"/>
        <v>4.52378892733564</v>
      </c>
    </row>
    <row r="212" spans="1:24">
      <c r="A212" s="2" t="s">
        <v>48</v>
      </c>
      <c r="B212" s="4">
        <v>200</v>
      </c>
      <c r="C212" s="4">
        <v>600</v>
      </c>
      <c r="D212" s="4">
        <v>7.8739999999999997</v>
      </c>
      <c r="E212" s="4">
        <v>13.8</v>
      </c>
      <c r="F212" s="4">
        <v>340</v>
      </c>
      <c r="G212" s="16" t="s">
        <v>90</v>
      </c>
      <c r="H212" s="4">
        <v>0.44900000000000001</v>
      </c>
      <c r="I212" s="4">
        <v>80.400000000000006</v>
      </c>
      <c r="J212" s="4">
        <v>1538</v>
      </c>
      <c r="K212" s="4">
        <v>2862</v>
      </c>
      <c r="L212" s="4">
        <v>0.7</v>
      </c>
      <c r="M212" s="4">
        <v>135.30000000000001</v>
      </c>
      <c r="N212" s="5">
        <v>104</v>
      </c>
      <c r="Q212" s="1">
        <f t="shared" si="9"/>
        <v>85.470085470085465</v>
      </c>
      <c r="R212" t="str" cm="1">
        <f t="array" ref="R212">_xlfn.IFS(Q212&lt;42.7, "low",
Q212&lt;85.4,"medium low",
Q212&lt;128,"medium high",
Q212&gt;=128,"high"
)</f>
        <v>medium high</v>
      </c>
      <c r="S212" t="str" cm="1">
        <f t="array" ref="S212">_xlfn.IFS(J212&lt;700,"low",J212&lt;1600,"medium low",J212&lt;2200,"medium high",J212&gt;=2200,"high")</f>
        <v>medium low</v>
      </c>
      <c r="T212" t="str" cm="1">
        <f t="array" ref="T212">_xlfn.IFS(
J212&lt;630,"Low",
J212&lt;1287,"Medium",
J212&lt;1495,"Intermediate",
J212&lt;1668,"Moderately",
J212&lt;1843,"Transition",
J212&lt;2477,"High",
J212&lt;2996,"Refractory I",
TRUE,"Refractory II"
)</f>
        <v>Moderately</v>
      </c>
      <c r="U212">
        <f t="shared" si="10"/>
        <v>0.76866223207686613</v>
      </c>
      <c r="V212" t="str" cm="1">
        <f t="array" ref="V212">_xlfn.IFS(U212&lt;0.25,"shallow condution",
U212&lt;0.5,"transition",
U212&lt;1,"conduction",
U212&lt;1.5,"transition",U212&lt;3,"keyholeⅠ",3&lt;=U212,"keyhole Ⅱ"
)</f>
        <v>conduction</v>
      </c>
      <c r="X212">
        <f t="shared" si="11"/>
        <v>1.3009615384615385</v>
      </c>
    </row>
    <row r="213" spans="1:24">
      <c r="A213" s="2" t="s">
        <v>48</v>
      </c>
      <c r="B213" s="4">
        <v>250</v>
      </c>
      <c r="C213" s="4">
        <v>600</v>
      </c>
      <c r="D213" s="4">
        <v>7.8739999999999997</v>
      </c>
      <c r="E213" s="4">
        <v>13.8</v>
      </c>
      <c r="F213" s="4">
        <v>340</v>
      </c>
      <c r="G213" s="16" t="s">
        <v>90</v>
      </c>
      <c r="H213" s="4">
        <v>0.44900000000000001</v>
      </c>
      <c r="I213" s="4">
        <v>80.400000000000006</v>
      </c>
      <c r="J213" s="4">
        <v>1538</v>
      </c>
      <c r="K213" s="4">
        <v>2862</v>
      </c>
      <c r="L213" s="4">
        <v>0.7</v>
      </c>
      <c r="M213" s="4">
        <v>164.43</v>
      </c>
      <c r="N213" s="5">
        <v>124</v>
      </c>
      <c r="Q213" s="1">
        <f t="shared" si="9"/>
        <v>106.83760683760684</v>
      </c>
      <c r="R213" t="str" cm="1">
        <f t="array" ref="R213">_xlfn.IFS(Q213&lt;42.7, "low",
Q213&lt;85.4,"medium low",
Q213&lt;128,"medium high",
Q213&gt;=128,"high"
)</f>
        <v>medium high</v>
      </c>
      <c r="S213" t="str" cm="1">
        <f t="array" ref="S213">_xlfn.IFS(J213&lt;700,"low",J213&lt;1600,"medium low",J213&lt;2200,"medium high",J213&gt;=2200,"high")</f>
        <v>medium low</v>
      </c>
      <c r="T213" t="str" cm="1">
        <f t="array" ref="T213">_xlfn.IFS(
J213&lt;630,"Low",
J213&lt;1287,"Medium",
J213&lt;1495,"Intermediate",
J213&lt;1668,"Moderately",
J213&lt;1843,"Transition",
J213&lt;2477,"High",
J213&lt;2996,"Refractory I",
TRUE,"Refractory II"
)</f>
        <v>Moderately</v>
      </c>
      <c r="U213">
        <f t="shared" si="10"/>
        <v>0.75412029435017935</v>
      </c>
      <c r="V213" t="str" cm="1">
        <f t="array" ref="V213">_xlfn.IFS(U213&lt;0.25,"shallow condution",
U213&lt;0.5,"transition",
U213&lt;1,"conduction",
U213&lt;1.5,"transition",U213&lt;3,"keyholeⅠ",3&lt;=U213,"keyhole Ⅱ"
)</f>
        <v>conduction</v>
      </c>
      <c r="X213">
        <f t="shared" si="11"/>
        <v>1.3260483870967743</v>
      </c>
    </row>
    <row r="214" spans="1:24">
      <c r="A214" s="2" t="s">
        <v>48</v>
      </c>
      <c r="B214" s="4">
        <v>300</v>
      </c>
      <c r="C214" s="4">
        <v>600</v>
      </c>
      <c r="D214" s="4">
        <v>7.8739999999999997</v>
      </c>
      <c r="E214" s="4">
        <v>13.8</v>
      </c>
      <c r="F214" s="4">
        <v>340</v>
      </c>
      <c r="G214" s="16" t="s">
        <v>90</v>
      </c>
      <c r="H214" s="4">
        <v>0.44900000000000001</v>
      </c>
      <c r="I214" s="4">
        <v>80.400000000000006</v>
      </c>
      <c r="J214" s="4">
        <v>1538</v>
      </c>
      <c r="K214" s="4">
        <v>2862</v>
      </c>
      <c r="L214" s="4">
        <v>0.7</v>
      </c>
      <c r="M214" s="4">
        <v>188.5</v>
      </c>
      <c r="N214" s="5">
        <v>128.53</v>
      </c>
      <c r="Q214" s="1">
        <f t="shared" si="9"/>
        <v>128.2051282051282</v>
      </c>
      <c r="R214" t="str" cm="1">
        <f t="array" ref="R214">_xlfn.IFS(Q214&lt;42.7, "low",
Q214&lt;85.4,"medium low",
Q214&lt;128,"medium high",
Q214&gt;=128,"high"
)</f>
        <v>high</v>
      </c>
      <c r="S214" t="str" cm="1">
        <f t="array" ref="S214">_xlfn.IFS(J214&lt;700,"low",J214&lt;1600,"medium low",J214&lt;2200,"medium high",J214&gt;=2200,"high")</f>
        <v>medium low</v>
      </c>
      <c r="T214" t="str" cm="1">
        <f t="array" ref="T214">_xlfn.IFS(
J214&lt;630,"Low",
J214&lt;1287,"Medium",
J214&lt;1495,"Intermediate",
J214&lt;1668,"Moderately",
J214&lt;1843,"Transition",
J214&lt;2477,"High",
J214&lt;2996,"Refractory I",
TRUE,"Refractory II"
)</f>
        <v>Moderately</v>
      </c>
      <c r="U214">
        <f t="shared" si="10"/>
        <v>0.68185676392572947</v>
      </c>
      <c r="V214" t="str" cm="1">
        <f t="array" ref="V214">_xlfn.IFS(U214&lt;0.25,"shallow condution",
U214&lt;0.5,"transition",
U214&lt;1,"conduction",
U214&lt;1.5,"transition",U214&lt;3,"keyholeⅠ",3&lt;=U214,"keyhole Ⅱ"
)</f>
        <v>conduction</v>
      </c>
      <c r="X214">
        <f t="shared" si="11"/>
        <v>1.4665836769625769</v>
      </c>
    </row>
    <row r="215" spans="1:24">
      <c r="A215" s="2" t="s">
        <v>48</v>
      </c>
      <c r="B215" s="4">
        <v>100</v>
      </c>
      <c r="C215" s="4">
        <v>900</v>
      </c>
      <c r="D215" s="4">
        <v>7.8739999999999997</v>
      </c>
      <c r="E215" s="4">
        <v>13.8</v>
      </c>
      <c r="F215" s="4">
        <v>340</v>
      </c>
      <c r="G215" s="16" t="s">
        <v>90</v>
      </c>
      <c r="H215" s="4">
        <v>0.44900000000000001</v>
      </c>
      <c r="I215" s="4">
        <v>80.400000000000006</v>
      </c>
      <c r="J215" s="4">
        <v>1538</v>
      </c>
      <c r="K215" s="4">
        <v>2862</v>
      </c>
      <c r="L215" s="4">
        <v>0.7</v>
      </c>
      <c r="M215" s="4">
        <v>75.41</v>
      </c>
      <c r="N215" s="5">
        <v>29.8</v>
      </c>
      <c r="Q215" s="1">
        <f t="shared" si="9"/>
        <v>28.490028490028489</v>
      </c>
      <c r="R215" t="str" cm="1">
        <f t="array" ref="R215">_xlfn.IFS(Q215&lt;42.7, "low",
Q215&lt;85.4,"medium low",
Q215&lt;128,"medium high",
Q215&gt;=128,"high"
)</f>
        <v>low</v>
      </c>
      <c r="S215" t="str" cm="1">
        <f t="array" ref="S215">_xlfn.IFS(J215&lt;700,"low",J215&lt;1600,"medium low",J215&lt;2200,"medium high",J215&gt;=2200,"high")</f>
        <v>medium low</v>
      </c>
      <c r="T215" t="str" cm="1">
        <f t="array" ref="T215">_xlfn.IFS(
J215&lt;630,"Low",
J215&lt;1287,"Medium",
J215&lt;1495,"Intermediate",
J215&lt;1668,"Moderately",
J215&lt;1843,"Transition",
J215&lt;2477,"High",
J215&lt;2996,"Refractory I",
TRUE,"Refractory II"
)</f>
        <v>Moderately</v>
      </c>
      <c r="U215">
        <f t="shared" si="10"/>
        <v>0.39517305397162183</v>
      </c>
      <c r="V215" t="str" cm="1">
        <f t="array" ref="V215">_xlfn.IFS(U215&lt;0.25,"shallow condution",
U215&lt;0.5,"transition",
U215&lt;1,"conduction",
U215&lt;1.5,"transition",U215&lt;3,"keyholeⅠ",3&lt;=U215,"keyhole Ⅱ"
)</f>
        <v>transition</v>
      </c>
      <c r="X215">
        <f t="shared" si="11"/>
        <v>2.5305369127516775</v>
      </c>
    </row>
    <row r="216" spans="1:24">
      <c r="A216" s="2" t="s">
        <v>48</v>
      </c>
      <c r="B216" s="4">
        <v>150</v>
      </c>
      <c r="C216" s="4">
        <v>900</v>
      </c>
      <c r="D216" s="4">
        <v>7.8739999999999997</v>
      </c>
      <c r="E216" s="4">
        <v>13.8</v>
      </c>
      <c r="F216" s="4">
        <v>340</v>
      </c>
      <c r="G216" s="16" t="s">
        <v>90</v>
      </c>
      <c r="H216" s="4">
        <v>0.44900000000000001</v>
      </c>
      <c r="I216" s="4">
        <v>80.400000000000006</v>
      </c>
      <c r="J216" s="4">
        <v>1538</v>
      </c>
      <c r="K216" s="4">
        <v>2862</v>
      </c>
      <c r="L216" s="4">
        <v>0.7</v>
      </c>
      <c r="M216" s="4">
        <v>106.75</v>
      </c>
      <c r="N216" s="5">
        <v>39.36</v>
      </c>
      <c r="Q216" s="1">
        <f t="shared" si="9"/>
        <v>42.735042735042732</v>
      </c>
      <c r="R216" t="str" cm="1">
        <f t="array" ref="R216">_xlfn.IFS(Q216&lt;42.7, "low",
Q216&lt;85.4,"medium low",
Q216&lt;128,"medium high",
Q216&gt;=128,"high"
)</f>
        <v>medium low</v>
      </c>
      <c r="S216" t="str" cm="1">
        <f t="array" ref="S216">_xlfn.IFS(J216&lt;700,"low",J216&lt;1600,"medium low",J216&lt;2200,"medium high",J216&gt;=2200,"high")</f>
        <v>medium low</v>
      </c>
      <c r="T216" t="str" cm="1">
        <f t="array" ref="T216">_xlfn.IFS(
J216&lt;630,"Low",
J216&lt;1287,"Medium",
J216&lt;1495,"Intermediate",
J216&lt;1668,"Moderately",
J216&lt;1843,"Transition",
J216&lt;2477,"High",
J216&lt;2996,"Refractory I",
TRUE,"Refractory II"
)</f>
        <v>Moderately</v>
      </c>
      <c r="U216">
        <f t="shared" si="10"/>
        <v>0.36871194379391098</v>
      </c>
      <c r="V216" t="str" cm="1">
        <f t="array" ref="V216">_xlfn.IFS(U216&lt;0.25,"shallow condution",
U216&lt;0.5,"transition",
U216&lt;1,"conduction",
U216&lt;1.5,"transition",U216&lt;3,"keyholeⅠ",3&lt;=U216,"keyhole Ⅱ"
)</f>
        <v>transition</v>
      </c>
      <c r="X216">
        <f t="shared" si="11"/>
        <v>2.7121443089430897</v>
      </c>
    </row>
    <row r="217" spans="1:24">
      <c r="A217" s="2" t="s">
        <v>48</v>
      </c>
      <c r="B217" s="4">
        <v>200</v>
      </c>
      <c r="C217" s="4">
        <v>900</v>
      </c>
      <c r="D217" s="4">
        <v>7.8739999999999997</v>
      </c>
      <c r="E217" s="4">
        <v>13.8</v>
      </c>
      <c r="F217" s="4">
        <v>340</v>
      </c>
      <c r="G217" s="16" t="s">
        <v>90</v>
      </c>
      <c r="H217" s="4">
        <v>0.44900000000000001</v>
      </c>
      <c r="I217" s="4">
        <v>80.400000000000006</v>
      </c>
      <c r="J217" s="4">
        <v>1538</v>
      </c>
      <c r="K217" s="4">
        <v>2862</v>
      </c>
      <c r="L217" s="4">
        <v>0.7</v>
      </c>
      <c r="M217" s="4">
        <v>125.17</v>
      </c>
      <c r="N217" s="5">
        <v>59</v>
      </c>
      <c r="Q217" s="1">
        <f t="shared" si="9"/>
        <v>56.980056980056979</v>
      </c>
      <c r="R217" t="str" cm="1">
        <f t="array" ref="R217">_xlfn.IFS(Q217&lt;42.7, "low",
Q217&lt;85.4,"medium low",
Q217&lt;128,"medium high",
Q217&gt;=128,"high"
)</f>
        <v>medium low</v>
      </c>
      <c r="S217" t="str" cm="1">
        <f t="array" ref="S217">_xlfn.IFS(J217&lt;700,"low",J217&lt;1600,"medium low",J217&lt;2200,"medium high",J217&gt;=2200,"high")</f>
        <v>medium low</v>
      </c>
      <c r="T217" t="str" cm="1">
        <f t="array" ref="T217">_xlfn.IFS(
J217&lt;630,"Low",
J217&lt;1287,"Medium",
J217&lt;1495,"Intermediate",
J217&lt;1668,"Moderately",
J217&lt;1843,"Transition",
J217&lt;2477,"High",
J217&lt;2996,"Refractory I",
TRUE,"Refractory II"
)</f>
        <v>Moderately</v>
      </c>
      <c r="U217">
        <f t="shared" si="10"/>
        <v>0.47135895182551729</v>
      </c>
      <c r="V217" t="str" cm="1">
        <f t="array" ref="V217">_xlfn.IFS(U217&lt;0.25,"shallow condution",
U217&lt;0.5,"transition",
U217&lt;1,"conduction",
U217&lt;1.5,"transition",U217&lt;3,"keyholeⅠ",3&lt;=U217,"keyhole Ⅱ"
)</f>
        <v>transition</v>
      </c>
      <c r="X217">
        <f t="shared" si="11"/>
        <v>2.1215254237288135</v>
      </c>
    </row>
    <row r="218" spans="1:24">
      <c r="A218" s="2" t="s">
        <v>48</v>
      </c>
      <c r="B218" s="4">
        <v>250</v>
      </c>
      <c r="C218" s="4">
        <v>900</v>
      </c>
      <c r="D218" s="4">
        <v>7.8739999999999997</v>
      </c>
      <c r="E218" s="4">
        <v>13.8</v>
      </c>
      <c r="F218" s="4">
        <v>340</v>
      </c>
      <c r="G218" s="16" t="s">
        <v>90</v>
      </c>
      <c r="H218" s="4">
        <v>0.44900000000000001</v>
      </c>
      <c r="I218" s="4">
        <v>80.400000000000006</v>
      </c>
      <c r="J218" s="4">
        <v>1538</v>
      </c>
      <c r="K218" s="4">
        <v>2862</v>
      </c>
      <c r="L218" s="4">
        <v>0.7</v>
      </c>
      <c r="M218" s="4">
        <v>122.1</v>
      </c>
      <c r="N218" s="5">
        <v>57.57</v>
      </c>
      <c r="Q218" s="1">
        <f t="shared" si="9"/>
        <v>71.225071225071218</v>
      </c>
      <c r="R218" t="str" cm="1">
        <f t="array" ref="R218">_xlfn.IFS(Q218&lt;42.7, "low",
Q218&lt;85.4,"medium low",
Q218&lt;128,"medium high",
Q218&gt;=128,"high"
)</f>
        <v>medium low</v>
      </c>
      <c r="S218" t="str" cm="1">
        <f t="array" ref="S218">_xlfn.IFS(J218&lt;700,"low",J218&lt;1600,"medium low",J218&lt;2200,"medium high",J218&gt;=2200,"high")</f>
        <v>medium low</v>
      </c>
      <c r="T218" t="str" cm="1">
        <f t="array" ref="T218">_xlfn.IFS(
J218&lt;630,"Low",
J218&lt;1287,"Medium",
J218&lt;1495,"Intermediate",
J218&lt;1668,"Moderately",
J218&lt;1843,"Transition",
J218&lt;2477,"High",
J218&lt;2996,"Refractory I",
TRUE,"Refractory II"
)</f>
        <v>Moderately</v>
      </c>
      <c r="U218">
        <f t="shared" si="10"/>
        <v>0.47149877149877151</v>
      </c>
      <c r="V218" t="str" cm="1">
        <f t="array" ref="V218">_xlfn.IFS(U218&lt;0.25,"shallow condution",
U218&lt;0.5,"transition",
U218&lt;1,"conduction",
U218&lt;1.5,"transition",U218&lt;3,"keyholeⅠ",3&lt;=U218,"keyhole Ⅱ"
)</f>
        <v>transition</v>
      </c>
      <c r="X218">
        <f t="shared" si="11"/>
        <v>2.1208963001563315</v>
      </c>
    </row>
    <row r="219" spans="1:24" ht="14.45" thickBot="1">
      <c r="A219" s="3" t="s">
        <v>48</v>
      </c>
      <c r="B219" s="7">
        <v>300</v>
      </c>
      <c r="C219" s="7">
        <v>900</v>
      </c>
      <c r="D219" s="7">
        <v>7.8739999999999997</v>
      </c>
      <c r="E219" s="7">
        <v>13.8</v>
      </c>
      <c r="F219" s="7">
        <v>340</v>
      </c>
      <c r="G219" s="16" t="s">
        <v>90</v>
      </c>
      <c r="H219" s="7">
        <v>0.44900000000000001</v>
      </c>
      <c r="I219" s="7">
        <v>80.400000000000006</v>
      </c>
      <c r="J219" s="7">
        <v>1538</v>
      </c>
      <c r="K219" s="7">
        <v>2862</v>
      </c>
      <c r="L219" s="7">
        <v>0.7</v>
      </c>
      <c r="M219" s="7">
        <v>148.53</v>
      </c>
      <c r="N219" s="15">
        <v>68</v>
      </c>
      <c r="Q219" s="1">
        <f t="shared" si="9"/>
        <v>85.470085470085465</v>
      </c>
      <c r="R219" t="str" cm="1">
        <f t="array" ref="R219">_xlfn.IFS(Q219&lt;42.7, "low",
Q219&lt;85.4,"medium low",
Q219&lt;128,"medium high",
Q219&gt;=128,"high"
)</f>
        <v>medium high</v>
      </c>
      <c r="S219" t="str" cm="1">
        <f t="array" ref="S219">_xlfn.IFS(J219&lt;700,"low",J219&lt;1600,"medium low",J219&lt;2200,"medium high",J219&gt;=2200,"high")</f>
        <v>medium low</v>
      </c>
      <c r="T219" t="str" cm="1">
        <f t="array" ref="T219">_xlfn.IFS(
J219&lt;630,"Low",
J219&lt;1287,"Medium",
J219&lt;1495,"Intermediate",
J219&lt;1668,"Moderately",
J219&lt;1843,"Transition",
J219&lt;2477,"High",
J219&lt;2996,"Refractory I",
TRUE,"Refractory II"
)</f>
        <v>Moderately</v>
      </c>
      <c r="U219">
        <f t="shared" si="10"/>
        <v>0.45781996902982564</v>
      </c>
      <c r="V219" t="str" cm="1">
        <f t="array" ref="V219">_xlfn.IFS(U219&lt;0.25,"shallow condution",
U219&lt;0.5,"transition",
U219&lt;1,"conduction",
U219&lt;1.5,"transition",U219&lt;3,"keyholeⅠ",3&lt;=U219,"keyhole Ⅱ"
)</f>
        <v>transition</v>
      </c>
      <c r="X219">
        <f t="shared" si="11"/>
        <v>2.1842647058823528</v>
      </c>
    </row>
    <row r="220" spans="1:24">
      <c r="A220" s="19" t="s">
        <v>49</v>
      </c>
      <c r="B220" s="16">
        <v>200</v>
      </c>
      <c r="C220" s="16">
        <v>200</v>
      </c>
      <c r="D220" s="16">
        <v>8.9</v>
      </c>
      <c r="E220" s="16">
        <v>16.2</v>
      </c>
      <c r="F220" s="16">
        <v>377</v>
      </c>
      <c r="G220" s="16" t="s">
        <v>91</v>
      </c>
      <c r="H220" s="16">
        <v>0.42099999999999999</v>
      </c>
      <c r="I220" s="16">
        <v>100</v>
      </c>
      <c r="J220" s="16">
        <v>1495</v>
      </c>
      <c r="K220" s="16">
        <v>2927</v>
      </c>
      <c r="L220" s="16">
        <v>0.65</v>
      </c>
      <c r="M220" s="16">
        <v>230.92</v>
      </c>
      <c r="N220" s="17">
        <v>213.32</v>
      </c>
      <c r="Q220" s="1">
        <f t="shared" si="9"/>
        <v>256.41025641025641</v>
      </c>
      <c r="R220" t="str" cm="1">
        <f t="array" ref="R220">_xlfn.IFS(Q220&lt;42.7, "low",
Q220&lt;85.4,"medium low",
Q220&lt;128,"medium high",
Q220&gt;=128,"high"
)</f>
        <v>high</v>
      </c>
      <c r="S220" t="str" cm="1">
        <f t="array" ref="S220">_xlfn.IFS(J220&lt;700,"low",J220&lt;1600,"medium low",J220&lt;2200,"medium high",J220&gt;=2200,"high")</f>
        <v>medium low</v>
      </c>
      <c r="T220" t="str" cm="1">
        <f t="array" ref="T220">_xlfn.IFS(
J220&lt;630,"Low",
J220&lt;1287,"Medium",
J220&lt;1495,"Intermediate",
J220&lt;1668,"Moderately",
J220&lt;1843,"Transition",
J220&lt;2477,"High",
J220&lt;2996,"Refractory I",
TRUE,"Refractory II"
)</f>
        <v>Moderately</v>
      </c>
      <c r="U220">
        <f t="shared" si="10"/>
        <v>0.92378312835614063</v>
      </c>
      <c r="V220" t="str" cm="1">
        <f t="array" ref="V220">_xlfn.IFS(U220&lt;0.25,"shallow condution",
U220&lt;0.5,"transition",
U220&lt;1,"conduction",
U220&lt;1.5,"transition",U220&lt;3,"keyholeⅠ",3&lt;=U220,"keyhole Ⅱ"
)</f>
        <v>conduction</v>
      </c>
      <c r="X220">
        <f t="shared" si="11"/>
        <v>1.0825051565722859</v>
      </c>
    </row>
    <row r="221" spans="1:24">
      <c r="A221" s="2" t="s">
        <v>49</v>
      </c>
      <c r="B221" s="4">
        <v>200</v>
      </c>
      <c r="C221" s="4">
        <v>400</v>
      </c>
      <c r="D221" s="4">
        <v>8.9</v>
      </c>
      <c r="E221" s="4">
        <v>16.2</v>
      </c>
      <c r="F221" s="4">
        <v>377</v>
      </c>
      <c r="G221" s="16" t="s">
        <v>91</v>
      </c>
      <c r="H221" s="4">
        <v>0.42099999999999999</v>
      </c>
      <c r="I221" s="4">
        <v>100</v>
      </c>
      <c r="J221" s="4">
        <v>1495</v>
      </c>
      <c r="K221" s="4">
        <v>2927</v>
      </c>
      <c r="L221" s="4">
        <v>0.65</v>
      </c>
      <c r="M221" s="4">
        <v>136.03</v>
      </c>
      <c r="N221" s="5">
        <v>228.28</v>
      </c>
      <c r="Q221" s="1">
        <f t="shared" si="9"/>
        <v>128.2051282051282</v>
      </c>
      <c r="R221" t="str" cm="1">
        <f t="array" ref="R221">_xlfn.IFS(Q221&lt;42.7, "low",
Q221&lt;85.4,"medium low",
Q221&lt;128,"medium high",
Q221&gt;=128,"high"
)</f>
        <v>high</v>
      </c>
      <c r="S221" t="str" cm="1">
        <f t="array" ref="S221">_xlfn.IFS(J221&lt;700,"low",J221&lt;1600,"medium low",J221&lt;2200,"medium high",J221&gt;=2200,"high")</f>
        <v>medium low</v>
      </c>
      <c r="T221" t="str" cm="1">
        <f t="array" ref="T221">_xlfn.IFS(
J221&lt;630,"Low",
J221&lt;1287,"Medium",
J221&lt;1495,"Intermediate",
J221&lt;1668,"Moderately",
J221&lt;1843,"Transition",
J221&lt;2477,"High",
J221&lt;2996,"Refractory I",
TRUE,"Refractory II"
)</f>
        <v>Moderately</v>
      </c>
      <c r="U221">
        <f t="shared" si="10"/>
        <v>1.6781592295817098</v>
      </c>
      <c r="V221" t="str" cm="1">
        <f t="array" ref="V221">_xlfn.IFS(U221&lt;0.25,"shallow condution",
U221&lt;0.5,"transition",
U221&lt;1,"conduction",
U221&lt;1.5,"transition",U221&lt;3,"keyholeⅠ",3&lt;=U221,"keyhole Ⅱ"
)</f>
        <v>keyholeⅠ</v>
      </c>
      <c r="X221">
        <f t="shared" si="11"/>
        <v>0.59589101103907482</v>
      </c>
    </row>
    <row r="222" spans="1:24">
      <c r="A222" s="2" t="s">
        <v>49</v>
      </c>
      <c r="B222" s="4">
        <v>200</v>
      </c>
      <c r="C222" s="4">
        <v>600</v>
      </c>
      <c r="D222" s="4">
        <v>8.9</v>
      </c>
      <c r="E222" s="4">
        <v>16.2</v>
      </c>
      <c r="F222" s="4">
        <v>377</v>
      </c>
      <c r="G222" s="16" t="s">
        <v>91</v>
      </c>
      <c r="H222" s="4">
        <v>0.42099999999999999</v>
      </c>
      <c r="I222" s="4">
        <v>100</v>
      </c>
      <c r="J222" s="4">
        <v>1495</v>
      </c>
      <c r="K222" s="4">
        <v>2927</v>
      </c>
      <c r="L222" s="4">
        <v>0.65</v>
      </c>
      <c r="M222" s="4">
        <v>89.96</v>
      </c>
      <c r="N222" s="5">
        <v>127.64</v>
      </c>
      <c r="Q222" s="1">
        <f t="shared" si="9"/>
        <v>85.470085470085465</v>
      </c>
      <c r="R222" t="str" cm="1">
        <f t="array" ref="R222">_xlfn.IFS(Q222&lt;42.7, "low",
Q222&lt;85.4,"medium low",
Q222&lt;128,"medium high",
Q222&gt;=128,"high"
)</f>
        <v>medium high</v>
      </c>
      <c r="S222" t="str" cm="1">
        <f t="array" ref="S222">_xlfn.IFS(J222&lt;700,"low",J222&lt;1600,"medium low",J222&lt;2200,"medium high",J222&gt;=2200,"high")</f>
        <v>medium low</v>
      </c>
      <c r="T222" t="str" cm="1">
        <f t="array" ref="T222">_xlfn.IFS(
J222&lt;630,"Low",
J222&lt;1287,"Medium",
J222&lt;1495,"Intermediate",
J222&lt;1668,"Moderately",
J222&lt;1843,"Transition",
J222&lt;2477,"High",
J222&lt;2996,"Refractory I",
TRUE,"Refractory II"
)</f>
        <v>Moderately</v>
      </c>
      <c r="U222">
        <f t="shared" si="10"/>
        <v>1.418852823477101</v>
      </c>
      <c r="V222" t="str" cm="1">
        <f t="array" ref="V222">_xlfn.IFS(U222&lt;0.25,"shallow condution",
U222&lt;0.5,"transition",
U222&lt;1,"conduction",
U222&lt;1.5,"transition",U222&lt;3,"keyholeⅠ",3&lt;=U222,"keyhole Ⅱ"
)</f>
        <v>transition</v>
      </c>
      <c r="X222">
        <f t="shared" si="11"/>
        <v>0.7047947351927295</v>
      </c>
    </row>
    <row r="223" spans="1:24">
      <c r="A223" s="2" t="s">
        <v>49</v>
      </c>
      <c r="B223" s="4">
        <v>200</v>
      </c>
      <c r="C223" s="4">
        <v>800</v>
      </c>
      <c r="D223" s="4">
        <v>8.9</v>
      </c>
      <c r="E223" s="4">
        <v>16.2</v>
      </c>
      <c r="F223" s="4">
        <v>377</v>
      </c>
      <c r="G223" s="16" t="s">
        <v>91</v>
      </c>
      <c r="H223" s="4">
        <v>0.42099999999999999</v>
      </c>
      <c r="I223" s="4">
        <v>100</v>
      </c>
      <c r="J223" s="4">
        <v>1495</v>
      </c>
      <c r="K223" s="4">
        <v>2927</v>
      </c>
      <c r="L223" s="4">
        <v>0.65</v>
      </c>
      <c r="M223" s="4">
        <v>91.29</v>
      </c>
      <c r="N223" s="5">
        <v>54.35</v>
      </c>
      <c r="Q223" s="1">
        <f t="shared" si="9"/>
        <v>64.102564102564102</v>
      </c>
      <c r="R223" t="str" cm="1">
        <f t="array" ref="R223">_xlfn.IFS(Q223&lt;42.7, "low",
Q223&lt;85.4,"medium low",
Q223&lt;128,"medium high",
Q223&gt;=128,"high"
)</f>
        <v>medium low</v>
      </c>
      <c r="S223" t="str" cm="1">
        <f t="array" ref="S223">_xlfn.IFS(J223&lt;700,"low",J223&lt;1600,"medium low",J223&lt;2200,"medium high",J223&gt;=2200,"high")</f>
        <v>medium low</v>
      </c>
      <c r="T223" t="str" cm="1">
        <f t="array" ref="T223">_xlfn.IFS(
J223&lt;630,"Low",
J223&lt;1287,"Medium",
J223&lt;1495,"Intermediate",
J223&lt;1668,"Moderately",
J223&lt;1843,"Transition",
J223&lt;2477,"High",
J223&lt;2996,"Refractory I",
TRUE,"Refractory II"
)</f>
        <v>Moderately</v>
      </c>
      <c r="U223">
        <f t="shared" si="10"/>
        <v>0.59535546062000222</v>
      </c>
      <c r="V223" t="str" cm="1">
        <f t="array" ref="V223">_xlfn.IFS(U223&lt;0.25,"shallow condution",
U223&lt;0.5,"transition",
U223&lt;1,"conduction",
U223&lt;1.5,"transition",U223&lt;3,"keyholeⅠ",3&lt;=U223,"keyhole Ⅱ"
)</f>
        <v>conduction</v>
      </c>
      <c r="X223">
        <f t="shared" si="11"/>
        <v>1.6796688132474702</v>
      </c>
    </row>
    <row r="224" spans="1:24">
      <c r="A224" s="2" t="s">
        <v>49</v>
      </c>
      <c r="B224" s="4">
        <v>200</v>
      </c>
      <c r="C224" s="4">
        <v>1200</v>
      </c>
      <c r="D224" s="4">
        <v>8.9</v>
      </c>
      <c r="E224" s="4">
        <v>16.2</v>
      </c>
      <c r="F224" s="4">
        <v>377</v>
      </c>
      <c r="G224" s="16" t="s">
        <v>91</v>
      </c>
      <c r="H224" s="4">
        <v>0.42099999999999999</v>
      </c>
      <c r="I224" s="4">
        <v>100</v>
      </c>
      <c r="J224" s="4">
        <v>1495</v>
      </c>
      <c r="K224" s="4">
        <v>2927</v>
      </c>
      <c r="L224" s="4">
        <v>0.65</v>
      </c>
      <c r="M224" s="4">
        <v>99.77</v>
      </c>
      <c r="N224" s="5">
        <v>37.83</v>
      </c>
      <c r="Q224" s="1">
        <f t="shared" si="9"/>
        <v>42.735042735042732</v>
      </c>
      <c r="R224" t="str" cm="1">
        <f t="array" ref="R224">_xlfn.IFS(Q224&lt;42.7, "low",
Q224&lt;85.4,"medium low",
Q224&lt;128,"medium high",
Q224&gt;=128,"high"
)</f>
        <v>medium low</v>
      </c>
      <c r="S224" t="str" cm="1">
        <f t="array" ref="S224">_xlfn.IFS(J224&lt;700,"low",J224&lt;1600,"medium low",J224&lt;2200,"medium high",J224&gt;=2200,"high")</f>
        <v>medium low</v>
      </c>
      <c r="T224" t="str" cm="1">
        <f t="array" ref="T224">_xlfn.IFS(
J224&lt;630,"Low",
J224&lt;1287,"Medium",
J224&lt;1495,"Intermediate",
J224&lt;1668,"Moderately",
J224&lt;1843,"Transition",
J224&lt;2477,"High",
J224&lt;2996,"Refractory I",
TRUE,"Refractory II"
)</f>
        <v>Moderately</v>
      </c>
      <c r="U224">
        <f t="shared" si="10"/>
        <v>0.37917209582038691</v>
      </c>
      <c r="V224" t="str" cm="1">
        <f t="array" ref="V224">_xlfn.IFS(U224&lt;0.25,"shallow condution",
U224&lt;0.5,"transition",
U224&lt;1,"conduction",
U224&lt;1.5,"transition",U224&lt;3,"keyholeⅠ",3&lt;=U224,"keyhole Ⅱ"
)</f>
        <v>transition</v>
      </c>
      <c r="X224">
        <f t="shared" si="11"/>
        <v>2.6373248744382765</v>
      </c>
    </row>
    <row r="225" spans="1:24">
      <c r="A225" s="2" t="s">
        <v>49</v>
      </c>
      <c r="B225" s="4">
        <v>200</v>
      </c>
      <c r="C225" s="4">
        <v>1600</v>
      </c>
      <c r="D225" s="4">
        <v>8.9</v>
      </c>
      <c r="E225" s="4">
        <v>16.2</v>
      </c>
      <c r="F225" s="4">
        <v>377</v>
      </c>
      <c r="G225" s="16" t="s">
        <v>91</v>
      </c>
      <c r="H225" s="4">
        <v>0.42099999999999999</v>
      </c>
      <c r="I225" s="4">
        <v>100</v>
      </c>
      <c r="J225" s="4">
        <v>1495</v>
      </c>
      <c r="K225" s="4">
        <v>2927</v>
      </c>
      <c r="L225" s="4">
        <v>0.65</v>
      </c>
      <c r="M225" s="4">
        <v>87</v>
      </c>
      <c r="N225" s="5">
        <v>13.57</v>
      </c>
      <c r="Q225" s="1">
        <f t="shared" si="9"/>
        <v>32.051282051282051</v>
      </c>
      <c r="R225" t="str" cm="1">
        <f t="array" ref="R225">_xlfn.IFS(Q225&lt;42.7, "low",
Q225&lt;85.4,"medium low",
Q225&lt;128,"medium high",
Q225&gt;=128,"high"
)</f>
        <v>low</v>
      </c>
      <c r="S225" t="str" cm="1">
        <f t="array" ref="S225">_xlfn.IFS(J225&lt;700,"low",J225&lt;1600,"medium low",J225&lt;2200,"medium high",J225&gt;=2200,"high")</f>
        <v>medium low</v>
      </c>
      <c r="T225" t="str" cm="1">
        <f t="array" ref="T225">_xlfn.IFS(
J225&lt;630,"Low",
J225&lt;1287,"Medium",
J225&lt;1495,"Intermediate",
J225&lt;1668,"Moderately",
J225&lt;1843,"Transition",
J225&lt;2477,"High",
J225&lt;2996,"Refractory I",
TRUE,"Refractory II"
)</f>
        <v>Moderately</v>
      </c>
      <c r="U225">
        <f t="shared" si="10"/>
        <v>0.15597701149425289</v>
      </c>
      <c r="V225" t="str" cm="1">
        <f t="array" ref="V225">_xlfn.IFS(U225&lt;0.25,"shallow condution",
U225&lt;0.5,"transition",
U225&lt;1,"conduction",
U225&lt;1.5,"transition",U225&lt;3,"keyholeⅠ",3&lt;=U225,"keyhole Ⅱ"
)</f>
        <v>shallow condution</v>
      </c>
      <c r="X225">
        <f t="shared" si="11"/>
        <v>6.4112011790714813</v>
      </c>
    </row>
    <row r="226" spans="1:24">
      <c r="A226" s="2" t="s">
        <v>49</v>
      </c>
      <c r="B226" s="4">
        <v>200</v>
      </c>
      <c r="C226" s="4">
        <v>2000</v>
      </c>
      <c r="D226" s="4">
        <v>8.9</v>
      </c>
      <c r="E226" s="4">
        <v>16.2</v>
      </c>
      <c r="F226" s="4">
        <v>377</v>
      </c>
      <c r="G226" s="16" t="s">
        <v>91</v>
      </c>
      <c r="H226" s="4">
        <v>0.42099999999999999</v>
      </c>
      <c r="I226" s="4">
        <v>100</v>
      </c>
      <c r="J226" s="4">
        <v>1495</v>
      </c>
      <c r="K226" s="4">
        <v>2927</v>
      </c>
      <c r="L226" s="4">
        <v>0.65</v>
      </c>
      <c r="M226" s="4">
        <v>81.06</v>
      </c>
      <c r="N226" s="5">
        <v>10.07</v>
      </c>
      <c r="Q226" s="1">
        <f t="shared" si="9"/>
        <v>25.641025641025642</v>
      </c>
      <c r="R226" t="str" cm="1">
        <f t="array" ref="R226">_xlfn.IFS(Q226&lt;42.7, "low",
Q226&lt;85.4,"medium low",
Q226&lt;128,"medium high",
Q226&gt;=128,"high"
)</f>
        <v>low</v>
      </c>
      <c r="S226" t="str" cm="1">
        <f t="array" ref="S226">_xlfn.IFS(J226&lt;700,"low",J226&lt;1600,"medium low",J226&lt;2200,"medium high",J226&gt;=2200,"high")</f>
        <v>medium low</v>
      </c>
      <c r="T226" t="str" cm="1">
        <f t="array" ref="T226">_xlfn.IFS(
J226&lt;630,"Low",
J226&lt;1287,"Medium",
J226&lt;1495,"Intermediate",
J226&lt;1668,"Moderately",
J226&lt;1843,"Transition",
J226&lt;2477,"High",
J226&lt;2996,"Refractory I",
TRUE,"Refractory II"
)</f>
        <v>Moderately</v>
      </c>
      <c r="U226">
        <f t="shared" si="10"/>
        <v>0.12422896619787811</v>
      </c>
      <c r="V226" t="str" cm="1">
        <f t="array" ref="V226">_xlfn.IFS(U226&lt;0.25,"shallow condution",
U226&lt;0.5,"transition",
U226&lt;1,"conduction",
U226&lt;1.5,"transition",U226&lt;3,"keyholeⅠ",3&lt;=U226,"keyhole Ⅱ"
)</f>
        <v>shallow condution</v>
      </c>
      <c r="X226">
        <f t="shared" si="11"/>
        <v>8.0496524329692161</v>
      </c>
    </row>
    <row r="227" spans="1:24">
      <c r="A227" s="2" t="s">
        <v>49</v>
      </c>
      <c r="B227" s="4">
        <v>200</v>
      </c>
      <c r="C227" s="4">
        <v>2400</v>
      </c>
      <c r="D227" s="4">
        <v>8.9</v>
      </c>
      <c r="E227" s="4">
        <v>16.2</v>
      </c>
      <c r="F227" s="4">
        <v>377</v>
      </c>
      <c r="G227" s="16" t="s">
        <v>91</v>
      </c>
      <c r="H227" s="4">
        <v>0.42099999999999999</v>
      </c>
      <c r="I227" s="4">
        <v>100</v>
      </c>
      <c r="J227" s="4">
        <v>1495</v>
      </c>
      <c r="K227" s="4">
        <v>2927</v>
      </c>
      <c r="L227" s="4">
        <v>0.65</v>
      </c>
      <c r="M227" s="4">
        <v>76</v>
      </c>
      <c r="N227" s="5">
        <v>6.99</v>
      </c>
      <c r="Q227" s="1">
        <f t="shared" si="9"/>
        <v>21.367521367521366</v>
      </c>
      <c r="R227" t="str" cm="1">
        <f t="array" ref="R227">_xlfn.IFS(Q227&lt;42.7, "low",
Q227&lt;85.4,"medium low",
Q227&lt;128,"medium high",
Q227&gt;=128,"high"
)</f>
        <v>low</v>
      </c>
      <c r="S227" t="str" cm="1">
        <f t="array" ref="S227">_xlfn.IFS(J227&lt;700,"low",J227&lt;1600,"medium low",J227&lt;2200,"medium high",J227&gt;=2200,"high")</f>
        <v>medium low</v>
      </c>
      <c r="T227" t="str" cm="1">
        <f t="array" ref="T227">_xlfn.IFS(
J227&lt;630,"Low",
J227&lt;1287,"Medium",
J227&lt;1495,"Intermediate",
J227&lt;1668,"Moderately",
J227&lt;1843,"Transition",
J227&lt;2477,"High",
J227&lt;2996,"Refractory I",
TRUE,"Refractory II"
)</f>
        <v>Moderately</v>
      </c>
      <c r="U227">
        <f t="shared" si="10"/>
        <v>9.1973684210526319E-2</v>
      </c>
      <c r="V227" t="str" cm="1">
        <f t="array" ref="V227">_xlfn.IFS(U227&lt;0.25,"shallow condution",
U227&lt;0.5,"transition",
U227&lt;1,"conduction",
U227&lt;1.5,"transition",U227&lt;3,"keyholeⅠ",3&lt;=U227,"keyhole Ⅱ"
)</f>
        <v>shallow condution</v>
      </c>
      <c r="X227">
        <f t="shared" si="11"/>
        <v>10.872675250357654</v>
      </c>
    </row>
    <row r="228" spans="1:24">
      <c r="A228" s="2" t="s">
        <v>49</v>
      </c>
      <c r="B228" s="4">
        <v>350</v>
      </c>
      <c r="C228" s="4">
        <v>400</v>
      </c>
      <c r="D228" s="4">
        <v>8.9</v>
      </c>
      <c r="E228" s="4">
        <v>16.2</v>
      </c>
      <c r="F228" s="4">
        <v>377</v>
      </c>
      <c r="G228" s="16" t="s">
        <v>91</v>
      </c>
      <c r="H228" s="4">
        <v>0.42099999999999999</v>
      </c>
      <c r="I228" s="4">
        <v>100</v>
      </c>
      <c r="J228" s="4">
        <v>1495</v>
      </c>
      <c r="K228" s="4">
        <v>2927</v>
      </c>
      <c r="L228" s="4">
        <v>0.65</v>
      </c>
      <c r="M228" s="4">
        <v>211.26</v>
      </c>
      <c r="N228" s="5">
        <v>99.85</v>
      </c>
      <c r="Q228" s="1">
        <f t="shared" si="9"/>
        <v>224.35897435897436</v>
      </c>
      <c r="R228" t="str" cm="1">
        <f t="array" ref="R228">_xlfn.IFS(Q228&lt;42.7, "low",
Q228&lt;85.4,"medium low",
Q228&lt;128,"medium high",
Q228&gt;=128,"high"
)</f>
        <v>high</v>
      </c>
      <c r="S228" t="str" cm="1">
        <f t="array" ref="S228">_xlfn.IFS(J228&lt;700,"low",J228&lt;1600,"medium low",J228&lt;2200,"medium high",J228&gt;=2200,"high")</f>
        <v>medium low</v>
      </c>
      <c r="T228" t="str" cm="1">
        <f t="array" ref="T228">_xlfn.IFS(
J228&lt;630,"Low",
J228&lt;1287,"Medium",
J228&lt;1495,"Intermediate",
J228&lt;1668,"Moderately",
J228&lt;1843,"Transition",
J228&lt;2477,"High",
J228&lt;2996,"Refractory I",
TRUE,"Refractory II"
)</f>
        <v>Moderately</v>
      </c>
      <c r="U228">
        <f t="shared" si="10"/>
        <v>0.47264034838587521</v>
      </c>
      <c r="V228" t="str" cm="1">
        <f t="array" ref="V228">_xlfn.IFS(U228&lt;0.25,"shallow condution",
U228&lt;0.5,"transition",
U228&lt;1,"conduction",
U228&lt;1.5,"transition",U228&lt;3,"keyholeⅠ",3&lt;=U228,"keyhole Ⅱ"
)</f>
        <v>transition</v>
      </c>
      <c r="X228">
        <f t="shared" si="11"/>
        <v>2.1157736604907362</v>
      </c>
    </row>
    <row r="229" spans="1:24">
      <c r="A229" s="2" t="s">
        <v>49</v>
      </c>
      <c r="B229" s="4">
        <v>350</v>
      </c>
      <c r="C229" s="4">
        <v>600</v>
      </c>
      <c r="D229" s="4">
        <v>8.9</v>
      </c>
      <c r="E229" s="4">
        <v>16.2</v>
      </c>
      <c r="F229" s="4">
        <v>377</v>
      </c>
      <c r="G229" s="16" t="s">
        <v>91</v>
      </c>
      <c r="H229" s="4">
        <v>0.42099999999999999</v>
      </c>
      <c r="I229" s="4">
        <v>100</v>
      </c>
      <c r="J229" s="4">
        <v>1495</v>
      </c>
      <c r="K229" s="4">
        <v>2927</v>
      </c>
      <c r="L229" s="4">
        <v>0.65</v>
      </c>
      <c r="M229" s="4">
        <v>163.06</v>
      </c>
      <c r="N229" s="5">
        <v>87.29</v>
      </c>
      <c r="Q229" s="1">
        <f t="shared" si="9"/>
        <v>149.57264957264957</v>
      </c>
      <c r="R229" t="str" cm="1">
        <f t="array" ref="R229">_xlfn.IFS(Q229&lt;42.7, "low",
Q229&lt;85.4,"medium low",
Q229&lt;128,"medium high",
Q229&gt;=128,"high"
)</f>
        <v>high</v>
      </c>
      <c r="S229" t="str" cm="1">
        <f t="array" ref="S229">_xlfn.IFS(J229&lt;700,"low",J229&lt;1600,"medium low",J229&lt;2200,"medium high",J229&gt;=2200,"high")</f>
        <v>medium low</v>
      </c>
      <c r="T229" t="str" cm="1">
        <f t="array" ref="T229">_xlfn.IFS(
J229&lt;630,"Low",
J229&lt;1287,"Medium",
J229&lt;1495,"Intermediate",
J229&lt;1668,"Moderately",
J229&lt;1843,"Transition",
J229&lt;2477,"High",
J229&lt;2996,"Refractory I",
TRUE,"Refractory II"
)</f>
        <v>Moderately</v>
      </c>
      <c r="U229">
        <f t="shared" si="10"/>
        <v>0.53532442045872686</v>
      </c>
      <c r="V229" t="str" cm="1">
        <f t="array" ref="V229">_xlfn.IFS(U229&lt;0.25,"shallow condution",
U229&lt;0.5,"transition",
U229&lt;1,"conduction",
U229&lt;1.5,"transition",U229&lt;3,"keyholeⅠ",3&lt;=U229,"keyhole Ⅱ"
)</f>
        <v>conduction</v>
      </c>
      <c r="X229">
        <f t="shared" si="11"/>
        <v>1.8680261198304502</v>
      </c>
    </row>
    <row r="230" spans="1:24">
      <c r="A230" s="2" t="s">
        <v>49</v>
      </c>
      <c r="B230" s="4">
        <v>350</v>
      </c>
      <c r="C230" s="4">
        <v>800</v>
      </c>
      <c r="D230" s="4">
        <v>8.9</v>
      </c>
      <c r="E230" s="4">
        <v>16.2</v>
      </c>
      <c r="F230" s="4">
        <v>377</v>
      </c>
      <c r="G230" s="16" t="s">
        <v>91</v>
      </c>
      <c r="H230" s="4">
        <v>0.42099999999999999</v>
      </c>
      <c r="I230" s="4">
        <v>100</v>
      </c>
      <c r="J230" s="4">
        <v>1495</v>
      </c>
      <c r="K230" s="4">
        <v>2927</v>
      </c>
      <c r="L230" s="4">
        <v>0.65</v>
      </c>
      <c r="M230" s="4">
        <v>144.34</v>
      </c>
      <c r="N230" s="5">
        <v>23.52</v>
      </c>
      <c r="Q230" s="1">
        <f t="shared" si="9"/>
        <v>112.17948717948718</v>
      </c>
      <c r="R230" t="str" cm="1">
        <f t="array" ref="R230">_xlfn.IFS(Q230&lt;42.7, "low",
Q230&lt;85.4,"medium low",
Q230&lt;128,"medium high",
Q230&gt;=128,"high"
)</f>
        <v>medium high</v>
      </c>
      <c r="S230" t="str" cm="1">
        <f t="array" ref="S230">_xlfn.IFS(J230&lt;700,"low",J230&lt;1600,"medium low",J230&lt;2200,"medium high",J230&gt;=2200,"high")</f>
        <v>medium low</v>
      </c>
      <c r="T230" t="str" cm="1">
        <f t="array" ref="T230">_xlfn.IFS(
J230&lt;630,"Low",
J230&lt;1287,"Medium",
J230&lt;1495,"Intermediate",
J230&lt;1668,"Moderately",
J230&lt;1843,"Transition",
J230&lt;2477,"High",
J230&lt;2996,"Refractory I",
TRUE,"Refractory II"
)</f>
        <v>Moderately</v>
      </c>
      <c r="U230">
        <f t="shared" si="10"/>
        <v>0.1629485935984481</v>
      </c>
      <c r="V230" t="str" cm="1">
        <f t="array" ref="V230">_xlfn.IFS(U230&lt;0.25,"shallow condution",
U230&lt;0.5,"transition",
U230&lt;1,"conduction",
U230&lt;1.5,"transition",U230&lt;3,"keyholeⅠ",3&lt;=U230,"keyhole Ⅱ"
)</f>
        <v>shallow condution</v>
      </c>
      <c r="X230">
        <f t="shared" si="11"/>
        <v>6.1369047619047619</v>
      </c>
    </row>
    <row r="231" spans="1:24">
      <c r="A231" s="2" t="s">
        <v>49</v>
      </c>
      <c r="B231" s="4">
        <v>350</v>
      </c>
      <c r="C231" s="4">
        <v>1000</v>
      </c>
      <c r="D231" s="4">
        <v>8.9</v>
      </c>
      <c r="E231" s="4">
        <v>16.2</v>
      </c>
      <c r="F231" s="4">
        <v>377</v>
      </c>
      <c r="G231" s="16" t="s">
        <v>91</v>
      </c>
      <c r="H231" s="4">
        <v>0.42099999999999999</v>
      </c>
      <c r="I231" s="4">
        <v>100</v>
      </c>
      <c r="J231" s="4">
        <v>1495</v>
      </c>
      <c r="K231" s="4">
        <v>2927</v>
      </c>
      <c r="L231" s="4">
        <v>0.65</v>
      </c>
      <c r="M231" s="4">
        <v>129.43</v>
      </c>
      <c r="N231" s="5">
        <v>22.93</v>
      </c>
      <c r="Q231" s="1">
        <f t="shared" si="9"/>
        <v>89.743589743589737</v>
      </c>
      <c r="R231" t="str" cm="1">
        <f t="array" ref="R231">_xlfn.IFS(Q231&lt;42.7, "low",
Q231&lt;85.4,"medium low",
Q231&lt;128,"medium high",
Q231&gt;=128,"high"
)</f>
        <v>medium high</v>
      </c>
      <c r="S231" t="str" cm="1">
        <f t="array" ref="S231">_xlfn.IFS(J231&lt;700,"low",J231&lt;1600,"medium low",J231&lt;2200,"medium high",J231&gt;=2200,"high")</f>
        <v>medium low</v>
      </c>
      <c r="T231" t="str" cm="1">
        <f t="array" ref="T231">_xlfn.IFS(
J231&lt;630,"Low",
J231&lt;1287,"Medium",
J231&lt;1495,"Intermediate",
J231&lt;1668,"Moderately",
J231&lt;1843,"Transition",
J231&lt;2477,"High",
J231&lt;2996,"Refractory I",
TRUE,"Refractory II"
)</f>
        <v>Moderately</v>
      </c>
      <c r="U231">
        <f t="shared" si="10"/>
        <v>0.17716139998454761</v>
      </c>
      <c r="V231" t="str" cm="1">
        <f t="array" ref="V231">_xlfn.IFS(U231&lt;0.25,"shallow condution",
U231&lt;0.5,"transition",
U231&lt;1,"conduction",
U231&lt;1.5,"transition",U231&lt;3,"keyholeⅠ",3&lt;=U231,"keyhole Ⅱ"
)</f>
        <v>shallow condution</v>
      </c>
      <c r="X231">
        <f t="shared" si="11"/>
        <v>5.644570431748801</v>
      </c>
    </row>
    <row r="232" spans="1:24">
      <c r="A232" s="2" t="s">
        <v>49</v>
      </c>
      <c r="B232" s="4">
        <v>350</v>
      </c>
      <c r="C232" s="4">
        <v>1200</v>
      </c>
      <c r="D232" s="4">
        <v>8.9</v>
      </c>
      <c r="E232" s="4">
        <v>16.2</v>
      </c>
      <c r="F232" s="4">
        <v>377</v>
      </c>
      <c r="G232" s="16" t="s">
        <v>91</v>
      </c>
      <c r="H232" s="4">
        <v>0.42099999999999999</v>
      </c>
      <c r="I232" s="4">
        <v>100</v>
      </c>
      <c r="J232" s="4">
        <v>1495</v>
      </c>
      <c r="K232" s="4">
        <v>2927</v>
      </c>
      <c r="L232" s="4">
        <v>0.65</v>
      </c>
      <c r="M232" s="4">
        <v>122.62</v>
      </c>
      <c r="N232" s="5">
        <v>19.36</v>
      </c>
      <c r="Q232" s="1">
        <f t="shared" si="9"/>
        <v>74.786324786324784</v>
      </c>
      <c r="R232" t="str" cm="1">
        <f t="array" ref="R232">_xlfn.IFS(Q232&lt;42.7, "low",
Q232&lt;85.4,"medium low",
Q232&lt;128,"medium high",
Q232&gt;=128,"high"
)</f>
        <v>medium low</v>
      </c>
      <c r="S232" t="str" cm="1">
        <f t="array" ref="S232">_xlfn.IFS(J232&lt;700,"low",J232&lt;1600,"medium low",J232&lt;2200,"medium high",J232&gt;=2200,"high")</f>
        <v>medium low</v>
      </c>
      <c r="T232" t="str" cm="1">
        <f t="array" ref="T232">_xlfn.IFS(
J232&lt;630,"Low",
J232&lt;1287,"Medium",
J232&lt;1495,"Intermediate",
J232&lt;1668,"Moderately",
J232&lt;1843,"Transition",
J232&lt;2477,"High",
J232&lt;2996,"Refractory I",
TRUE,"Refractory II"
)</f>
        <v>Moderately</v>
      </c>
      <c r="U232">
        <f t="shared" si="10"/>
        <v>0.15788615234056433</v>
      </c>
      <c r="V232" t="str" cm="1">
        <f t="array" ref="V232">_xlfn.IFS(U232&lt;0.25,"shallow condution",
U232&lt;0.5,"transition",
U232&lt;1,"conduction",
U232&lt;1.5,"transition",U232&lt;3,"keyholeⅠ",3&lt;=U232,"keyhole Ⅱ"
)</f>
        <v>shallow condution</v>
      </c>
      <c r="X232">
        <f t="shared" si="11"/>
        <v>6.3336776859504136</v>
      </c>
    </row>
    <row r="233" spans="1:24">
      <c r="A233" s="2" t="s">
        <v>49</v>
      </c>
      <c r="B233" s="4">
        <v>350</v>
      </c>
      <c r="C233" s="4">
        <v>1600</v>
      </c>
      <c r="D233" s="4">
        <v>8.9</v>
      </c>
      <c r="E233" s="4">
        <v>16.2</v>
      </c>
      <c r="F233" s="4">
        <v>377</v>
      </c>
      <c r="G233" s="16" t="s">
        <v>91</v>
      </c>
      <c r="H233" s="4">
        <v>0.42099999999999999</v>
      </c>
      <c r="I233" s="4">
        <v>100</v>
      </c>
      <c r="J233" s="4">
        <v>1495</v>
      </c>
      <c r="K233" s="4">
        <v>2927</v>
      </c>
      <c r="L233" s="4">
        <v>0.65</v>
      </c>
      <c r="M233" s="4">
        <v>103.99</v>
      </c>
      <c r="N233" s="5">
        <v>19</v>
      </c>
      <c r="Q233" s="1">
        <f t="shared" si="9"/>
        <v>56.089743589743591</v>
      </c>
      <c r="R233" t="str" cm="1">
        <f t="array" ref="R233">_xlfn.IFS(Q233&lt;42.7, "low",
Q233&lt;85.4,"medium low",
Q233&lt;128,"medium high",
Q233&gt;=128,"high"
)</f>
        <v>medium low</v>
      </c>
      <c r="S233" t="str" cm="1">
        <f t="array" ref="S233">_xlfn.IFS(J233&lt;700,"low",J233&lt;1600,"medium low",J233&lt;2200,"medium high",J233&gt;=2200,"high")</f>
        <v>medium low</v>
      </c>
      <c r="T233" t="str" cm="1">
        <f t="array" ref="T233">_xlfn.IFS(
J233&lt;630,"Low",
J233&lt;1287,"Medium",
J233&lt;1495,"Intermediate",
J233&lt;1668,"Moderately",
J233&lt;1843,"Transition",
J233&lt;2477,"High",
J233&lt;2996,"Refractory I",
TRUE,"Refractory II"
)</f>
        <v>Moderately</v>
      </c>
      <c r="U233">
        <f t="shared" si="10"/>
        <v>0.18270987594961055</v>
      </c>
      <c r="V233" t="str" cm="1">
        <f t="array" ref="V233">_xlfn.IFS(U233&lt;0.25,"shallow condution",
U233&lt;0.5,"transition",
U233&lt;1,"conduction",
U233&lt;1.5,"transition",U233&lt;3,"keyholeⅠ",3&lt;=U233,"keyhole Ⅱ"
)</f>
        <v>shallow condution</v>
      </c>
      <c r="X233">
        <f t="shared" si="11"/>
        <v>5.4731578947368416</v>
      </c>
    </row>
    <row r="234" spans="1:24">
      <c r="A234" s="2" t="s">
        <v>49</v>
      </c>
      <c r="B234" s="4">
        <v>350</v>
      </c>
      <c r="C234" s="4">
        <v>2000</v>
      </c>
      <c r="D234" s="4">
        <v>8.9</v>
      </c>
      <c r="E234" s="4">
        <v>16.2</v>
      </c>
      <c r="F234" s="4">
        <v>377</v>
      </c>
      <c r="G234" s="16" t="s">
        <v>91</v>
      </c>
      <c r="H234" s="4">
        <v>0.42099999999999999</v>
      </c>
      <c r="I234" s="4">
        <v>100</v>
      </c>
      <c r="J234" s="4">
        <v>1495</v>
      </c>
      <c r="K234" s="4">
        <v>2927</v>
      </c>
      <c r="L234" s="4">
        <v>0.65</v>
      </c>
      <c r="M234" s="4">
        <v>96.26</v>
      </c>
      <c r="N234" s="5">
        <v>14.49</v>
      </c>
      <c r="Q234" s="1">
        <f t="shared" si="9"/>
        <v>44.871794871794869</v>
      </c>
      <c r="R234" t="str" cm="1">
        <f t="array" ref="R234">_xlfn.IFS(Q234&lt;42.7, "low",
Q234&lt;85.4,"medium low",
Q234&lt;128,"medium high",
Q234&gt;=128,"high"
)</f>
        <v>medium low</v>
      </c>
      <c r="S234" t="str" cm="1">
        <f t="array" ref="S234">_xlfn.IFS(J234&lt;700,"low",J234&lt;1600,"medium low",J234&lt;2200,"medium high",J234&gt;=2200,"high")</f>
        <v>medium low</v>
      </c>
      <c r="T234" t="str" cm="1">
        <f t="array" ref="T234">_xlfn.IFS(
J234&lt;630,"Low",
J234&lt;1287,"Medium",
J234&lt;1495,"Intermediate",
J234&lt;1668,"Moderately",
J234&lt;1843,"Transition",
J234&lt;2477,"High",
J234&lt;2996,"Refractory I",
TRUE,"Refractory II"
)</f>
        <v>Moderately</v>
      </c>
      <c r="U234">
        <f t="shared" si="10"/>
        <v>0.15052981508414709</v>
      </c>
      <c r="V234" t="str" cm="1">
        <f t="array" ref="V234">_xlfn.IFS(U234&lt;0.25,"shallow condution",
U234&lt;0.5,"transition",
U234&lt;1,"conduction",
U234&lt;1.5,"transition",U234&lt;3,"keyholeⅠ",3&lt;=U234,"keyhole Ⅱ"
)</f>
        <v>shallow condution</v>
      </c>
      <c r="X234">
        <f t="shared" si="11"/>
        <v>6.6432022084196003</v>
      </c>
    </row>
    <row r="235" spans="1:24">
      <c r="A235" s="2" t="s">
        <v>49</v>
      </c>
      <c r="B235" s="4">
        <v>350</v>
      </c>
      <c r="C235" s="4">
        <v>2400</v>
      </c>
      <c r="D235" s="4">
        <v>8.9</v>
      </c>
      <c r="E235" s="4">
        <v>16.2</v>
      </c>
      <c r="F235" s="4">
        <v>377</v>
      </c>
      <c r="G235" s="16" t="s">
        <v>91</v>
      </c>
      <c r="H235" s="4">
        <v>0.42099999999999999</v>
      </c>
      <c r="I235" s="4">
        <v>100</v>
      </c>
      <c r="J235" s="4">
        <v>1495</v>
      </c>
      <c r="K235" s="4">
        <v>2927</v>
      </c>
      <c r="L235" s="4">
        <v>0.65</v>
      </c>
      <c r="M235" s="4">
        <v>92.41</v>
      </c>
      <c r="N235" s="5">
        <v>9.66</v>
      </c>
      <c r="Q235" s="1">
        <f t="shared" si="9"/>
        <v>37.393162393162392</v>
      </c>
      <c r="R235" t="str" cm="1">
        <f t="array" ref="R235">_xlfn.IFS(Q235&lt;42.7, "low",
Q235&lt;85.4,"medium low",
Q235&lt;128,"medium high",
Q235&gt;=128,"high"
)</f>
        <v>low</v>
      </c>
      <c r="S235" t="str" cm="1">
        <f t="array" ref="S235">_xlfn.IFS(J235&lt;700,"low",J235&lt;1600,"medium low",J235&lt;2200,"medium high",J235&gt;=2200,"high")</f>
        <v>medium low</v>
      </c>
      <c r="T235" t="str" cm="1">
        <f t="array" ref="T235">_xlfn.IFS(
J235&lt;630,"Low",
J235&lt;1287,"Medium",
J235&lt;1495,"Intermediate",
J235&lt;1668,"Moderately",
J235&lt;1843,"Transition",
J235&lt;2477,"High",
J235&lt;2996,"Refractory I",
TRUE,"Refractory II"
)</f>
        <v>Moderately</v>
      </c>
      <c r="U235">
        <f t="shared" si="10"/>
        <v>0.10453414132669625</v>
      </c>
      <c r="V235" t="str" cm="1">
        <f t="array" ref="V235">_xlfn.IFS(U235&lt;0.25,"shallow condution",
U235&lt;0.5,"transition",
U235&lt;1,"conduction",
U235&lt;1.5,"transition",U235&lt;3,"keyholeⅠ",3&lt;=U235,"keyhole Ⅱ"
)</f>
        <v>shallow condution</v>
      </c>
      <c r="X235">
        <f t="shared" si="11"/>
        <v>9.566252587991718</v>
      </c>
    </row>
    <row r="236" spans="1:24">
      <c r="A236" s="2" t="s">
        <v>49</v>
      </c>
      <c r="B236" s="4">
        <v>100</v>
      </c>
      <c r="C236" s="4">
        <v>300</v>
      </c>
      <c r="D236" s="4">
        <v>8.9</v>
      </c>
      <c r="E236" s="4">
        <v>16.2</v>
      </c>
      <c r="F236" s="4">
        <v>377</v>
      </c>
      <c r="G236" s="16" t="s">
        <v>91</v>
      </c>
      <c r="H236" s="4">
        <v>0.42099999999999999</v>
      </c>
      <c r="I236" s="4">
        <v>100</v>
      </c>
      <c r="J236" s="4">
        <v>1495</v>
      </c>
      <c r="K236" s="4">
        <v>2927</v>
      </c>
      <c r="L236" s="4">
        <v>0.65</v>
      </c>
      <c r="M236" s="4">
        <v>86.86</v>
      </c>
      <c r="N236" s="5">
        <v>60.44</v>
      </c>
      <c r="Q236" s="1">
        <f t="shared" si="9"/>
        <v>85.470085470085465</v>
      </c>
      <c r="R236" t="str" cm="1">
        <f t="array" ref="R236">_xlfn.IFS(Q236&lt;42.7, "low",
Q236&lt;85.4,"medium low",
Q236&lt;128,"medium high",
Q236&gt;=128,"high"
)</f>
        <v>medium high</v>
      </c>
      <c r="S236" t="str" cm="1">
        <f t="array" ref="S236">_xlfn.IFS(J236&lt;700,"low",J236&lt;1600,"medium low",J236&lt;2200,"medium high",J236&gt;=2200,"high")</f>
        <v>medium low</v>
      </c>
      <c r="T236" t="str" cm="1">
        <f t="array" ref="T236">_xlfn.IFS(
J236&lt;630,"Low",
J236&lt;1287,"Medium",
J236&lt;1495,"Intermediate",
J236&lt;1668,"Moderately",
J236&lt;1843,"Transition",
J236&lt;2477,"High",
J236&lt;2996,"Refractory I",
TRUE,"Refractory II"
)</f>
        <v>Moderately</v>
      </c>
      <c r="U236">
        <f t="shared" si="10"/>
        <v>0.69583237393506792</v>
      </c>
      <c r="V236" t="str" cm="1">
        <f t="array" ref="V236">_xlfn.IFS(U236&lt;0.25,"shallow condution",
U236&lt;0.5,"transition",
U236&lt;1,"conduction",
U236&lt;1.5,"transition",U236&lt;3,"keyholeⅠ",3&lt;=U236,"keyhole Ⅱ"
)</f>
        <v>conduction</v>
      </c>
      <c r="X236">
        <f t="shared" si="11"/>
        <v>1.4371277299801457</v>
      </c>
    </row>
    <row r="237" spans="1:24">
      <c r="A237" s="2" t="s">
        <v>49</v>
      </c>
      <c r="B237" s="4">
        <v>150</v>
      </c>
      <c r="C237" s="4">
        <v>300</v>
      </c>
      <c r="D237" s="4">
        <v>8.9</v>
      </c>
      <c r="E237" s="4">
        <v>16.2</v>
      </c>
      <c r="F237" s="4">
        <v>377</v>
      </c>
      <c r="G237" s="16" t="s">
        <v>91</v>
      </c>
      <c r="H237" s="4">
        <v>0.42099999999999999</v>
      </c>
      <c r="I237" s="4">
        <v>100</v>
      </c>
      <c r="J237" s="4">
        <v>1495</v>
      </c>
      <c r="K237" s="4">
        <v>2927</v>
      </c>
      <c r="L237" s="4">
        <v>0.65</v>
      </c>
      <c r="M237" s="4">
        <v>106.55</v>
      </c>
      <c r="N237" s="5">
        <v>48.93</v>
      </c>
      <c r="Q237" s="1">
        <f t="shared" si="9"/>
        <v>128.2051282051282</v>
      </c>
      <c r="R237" t="str" cm="1">
        <f t="array" ref="R237">_xlfn.IFS(Q237&lt;42.7, "low",
Q237&lt;85.4,"medium low",
Q237&lt;128,"medium high",
Q237&gt;=128,"high"
)</f>
        <v>high</v>
      </c>
      <c r="S237" t="str" cm="1">
        <f t="array" ref="S237">_xlfn.IFS(J237&lt;700,"low",J237&lt;1600,"medium low",J237&lt;2200,"medium high",J237&gt;=2200,"high")</f>
        <v>medium low</v>
      </c>
      <c r="T237" t="str" cm="1">
        <f t="array" ref="T237">_xlfn.IFS(
J237&lt;630,"Low",
J237&lt;1287,"Medium",
J237&lt;1495,"Intermediate",
J237&lt;1668,"Moderately",
J237&lt;1843,"Transition",
J237&lt;2477,"High",
J237&lt;2996,"Refractory I",
TRUE,"Refractory II"
)</f>
        <v>Moderately</v>
      </c>
      <c r="U237">
        <f t="shared" si="10"/>
        <v>0.45922102299389961</v>
      </c>
      <c r="V237" t="str" cm="1">
        <f t="array" ref="V237">_xlfn.IFS(U237&lt;0.25,"shallow condution",
U237&lt;0.5,"transition",
U237&lt;1,"conduction",
U237&lt;1.5,"transition",U237&lt;3,"keyholeⅠ",3&lt;=U237,"keyhole Ⅱ"
)</f>
        <v>transition</v>
      </c>
      <c r="X237">
        <f t="shared" si="11"/>
        <v>2.177600653995504</v>
      </c>
    </row>
    <row r="238" spans="1:24">
      <c r="A238" s="2" t="s">
        <v>49</v>
      </c>
      <c r="B238" s="4">
        <v>200</v>
      </c>
      <c r="C238" s="4">
        <v>300</v>
      </c>
      <c r="D238" s="4">
        <v>8.9</v>
      </c>
      <c r="E238" s="4">
        <v>16.2</v>
      </c>
      <c r="F238" s="4">
        <v>377</v>
      </c>
      <c r="G238" s="16" t="s">
        <v>91</v>
      </c>
      <c r="H238" s="4">
        <v>0.42099999999999999</v>
      </c>
      <c r="I238" s="4">
        <v>100</v>
      </c>
      <c r="J238" s="4">
        <v>1495</v>
      </c>
      <c r="K238" s="4">
        <v>2927</v>
      </c>
      <c r="L238" s="4">
        <v>0.65</v>
      </c>
      <c r="M238" s="4">
        <v>109.85</v>
      </c>
      <c r="N238" s="5">
        <v>59.2</v>
      </c>
      <c r="Q238" s="1">
        <f t="shared" si="9"/>
        <v>170.94017094017093</v>
      </c>
      <c r="R238" t="str" cm="1">
        <f t="array" ref="R238">_xlfn.IFS(Q238&lt;42.7, "low",
Q238&lt;85.4,"medium low",
Q238&lt;128,"medium high",
Q238&gt;=128,"high"
)</f>
        <v>high</v>
      </c>
      <c r="S238" t="str" cm="1">
        <f t="array" ref="S238">_xlfn.IFS(J238&lt;700,"low",J238&lt;1600,"medium low",J238&lt;2200,"medium high",J238&gt;=2200,"high")</f>
        <v>medium low</v>
      </c>
      <c r="T238" t="str" cm="1">
        <f t="array" ref="T238">_xlfn.IFS(
J238&lt;630,"Low",
J238&lt;1287,"Medium",
J238&lt;1495,"Intermediate",
J238&lt;1668,"Moderately",
J238&lt;1843,"Transition",
J238&lt;2477,"High",
J238&lt;2996,"Refractory I",
TRUE,"Refractory II"
)</f>
        <v>Moderately</v>
      </c>
      <c r="U238">
        <f t="shared" si="10"/>
        <v>0.538916704597178</v>
      </c>
      <c r="V238" t="str" cm="1">
        <f t="array" ref="V238">_xlfn.IFS(U238&lt;0.25,"shallow condution",
U238&lt;0.5,"transition",
U238&lt;1,"conduction",
U238&lt;1.5,"transition",U238&lt;3,"keyholeⅠ",3&lt;=U238,"keyhole Ⅱ"
)</f>
        <v>conduction</v>
      </c>
      <c r="X238">
        <f t="shared" si="11"/>
        <v>1.8555743243243241</v>
      </c>
    </row>
    <row r="239" spans="1:24">
      <c r="A239" s="2" t="s">
        <v>49</v>
      </c>
      <c r="B239" s="4">
        <v>250</v>
      </c>
      <c r="C239" s="4">
        <v>300</v>
      </c>
      <c r="D239" s="4">
        <v>8.9</v>
      </c>
      <c r="E239" s="4">
        <v>16.2</v>
      </c>
      <c r="F239" s="4">
        <v>377</v>
      </c>
      <c r="G239" s="16" t="s">
        <v>91</v>
      </c>
      <c r="H239" s="4">
        <v>0.42099999999999999</v>
      </c>
      <c r="I239" s="4">
        <v>100</v>
      </c>
      <c r="J239" s="4">
        <v>1495</v>
      </c>
      <c r="K239" s="4">
        <v>2927</v>
      </c>
      <c r="L239" s="4">
        <v>0.65</v>
      </c>
      <c r="M239" s="4">
        <v>138.93</v>
      </c>
      <c r="N239" s="5">
        <v>87.53</v>
      </c>
      <c r="Q239" s="1">
        <f t="shared" si="9"/>
        <v>213.67521367521368</v>
      </c>
      <c r="R239" t="str" cm="1">
        <f t="array" ref="R239">_xlfn.IFS(Q239&lt;42.7, "low",
Q239&lt;85.4,"medium low",
Q239&lt;128,"medium high",
Q239&gt;=128,"high"
)</f>
        <v>high</v>
      </c>
      <c r="S239" t="str" cm="1">
        <f t="array" ref="S239">_xlfn.IFS(J239&lt;700,"low",J239&lt;1600,"medium low",J239&lt;2200,"medium high",J239&gt;=2200,"high")</f>
        <v>medium low</v>
      </c>
      <c r="T239" t="str" cm="1">
        <f t="array" ref="T239">_xlfn.IFS(
J239&lt;630,"Low",
J239&lt;1287,"Medium",
J239&lt;1495,"Intermediate",
J239&lt;1668,"Moderately",
J239&lt;1843,"Transition",
J239&lt;2477,"High",
J239&lt;2996,"Refractory I",
TRUE,"Refractory II"
)</f>
        <v>Moderately</v>
      </c>
      <c r="U239">
        <f t="shared" si="10"/>
        <v>0.63002951126466566</v>
      </c>
      <c r="V239" t="str" cm="1">
        <f t="array" ref="V239">_xlfn.IFS(U239&lt;0.25,"shallow condution",
U239&lt;0.5,"transition",
U239&lt;1,"conduction",
U239&lt;1.5,"transition",U239&lt;3,"keyholeⅠ",3&lt;=U239,"keyhole Ⅱ"
)</f>
        <v>conduction</v>
      </c>
      <c r="X239">
        <f t="shared" si="11"/>
        <v>1.5872272363760997</v>
      </c>
    </row>
    <row r="240" spans="1:24">
      <c r="A240" s="2" t="s">
        <v>49</v>
      </c>
      <c r="B240" s="4">
        <v>300</v>
      </c>
      <c r="C240" s="4">
        <v>300</v>
      </c>
      <c r="D240" s="4">
        <v>8.9</v>
      </c>
      <c r="E240" s="4">
        <v>16.2</v>
      </c>
      <c r="F240" s="4">
        <v>377</v>
      </c>
      <c r="G240" s="16" t="s">
        <v>91</v>
      </c>
      <c r="H240" s="4">
        <v>0.42099999999999999</v>
      </c>
      <c r="I240" s="4">
        <v>100</v>
      </c>
      <c r="J240" s="4">
        <v>1495</v>
      </c>
      <c r="K240" s="4">
        <v>2927</v>
      </c>
      <c r="L240" s="4">
        <v>0.65</v>
      </c>
      <c r="M240" s="4">
        <v>162.47</v>
      </c>
      <c r="N240" s="5">
        <v>117.81</v>
      </c>
      <c r="Q240" s="1">
        <f t="shared" si="9"/>
        <v>256.41025641025641</v>
      </c>
      <c r="R240" t="str" cm="1">
        <f t="array" ref="R240">_xlfn.IFS(Q240&lt;42.7, "low",
Q240&lt;85.4,"medium low",
Q240&lt;128,"medium high",
Q240&gt;=128,"high"
)</f>
        <v>high</v>
      </c>
      <c r="S240" t="str" cm="1">
        <f t="array" ref="S240">_xlfn.IFS(J240&lt;700,"low",J240&lt;1600,"medium low",J240&lt;2200,"medium high",J240&gt;=2200,"high")</f>
        <v>medium low</v>
      </c>
      <c r="T240" t="str" cm="1">
        <f t="array" ref="T240">_xlfn.IFS(
J240&lt;630,"Low",
J240&lt;1287,"Medium",
J240&lt;1495,"Intermediate",
J240&lt;1668,"Moderately",
J240&lt;1843,"Transition",
J240&lt;2477,"High",
J240&lt;2996,"Refractory I",
TRUE,"Refractory II"
)</f>
        <v>Moderately</v>
      </c>
      <c r="U240">
        <f t="shared" si="10"/>
        <v>0.72511848341232232</v>
      </c>
      <c r="V240" t="str" cm="1">
        <f t="array" ref="V240">_xlfn.IFS(U240&lt;0.25,"shallow condution",
U240&lt;0.5,"transition",
U240&lt;1,"conduction",
U240&lt;1.5,"transition",U240&lt;3,"keyholeⅠ",3&lt;=U240,"keyhole Ⅱ"
)</f>
        <v>conduction</v>
      </c>
      <c r="X240">
        <f t="shared" si="11"/>
        <v>1.3790849673202614</v>
      </c>
    </row>
    <row r="241" spans="1:24">
      <c r="A241" s="2" t="s">
        <v>49</v>
      </c>
      <c r="B241" s="4">
        <v>100</v>
      </c>
      <c r="C241" s="4">
        <v>600</v>
      </c>
      <c r="D241" s="4">
        <v>8.9</v>
      </c>
      <c r="E241" s="4">
        <v>16.2</v>
      </c>
      <c r="F241" s="4">
        <v>377</v>
      </c>
      <c r="G241" s="16" t="s">
        <v>91</v>
      </c>
      <c r="H241" s="4">
        <v>0.42099999999999999</v>
      </c>
      <c r="I241" s="4">
        <v>100</v>
      </c>
      <c r="J241" s="4">
        <v>1495</v>
      </c>
      <c r="K241" s="4">
        <v>2927</v>
      </c>
      <c r="L241" s="4">
        <v>0.65</v>
      </c>
      <c r="M241" s="4">
        <v>72.97</v>
      </c>
      <c r="N241" s="5">
        <v>51.83</v>
      </c>
      <c r="Q241" s="1">
        <f t="shared" si="9"/>
        <v>42.735042735042732</v>
      </c>
      <c r="R241" t="str" cm="1">
        <f t="array" ref="R241">_xlfn.IFS(Q241&lt;42.7, "low",
Q241&lt;85.4,"medium low",
Q241&lt;128,"medium high",
Q241&gt;=128,"high"
)</f>
        <v>medium low</v>
      </c>
      <c r="S241" t="str" cm="1">
        <f t="array" ref="S241">_xlfn.IFS(J241&lt;700,"low",J241&lt;1600,"medium low",J241&lt;2200,"medium high",J241&gt;=2200,"high")</f>
        <v>medium low</v>
      </c>
      <c r="T241" t="str" cm="1">
        <f t="array" ref="T241">_xlfn.IFS(
J241&lt;630,"Low",
J241&lt;1287,"Medium",
J241&lt;1495,"Intermediate",
J241&lt;1668,"Moderately",
J241&lt;1843,"Transition",
J241&lt;2477,"High",
J241&lt;2996,"Refractory I",
TRUE,"Refractory II"
)</f>
        <v>Moderately</v>
      </c>
      <c r="U241">
        <f t="shared" si="10"/>
        <v>0.7102919007811429</v>
      </c>
      <c r="V241" t="str" cm="1">
        <f t="array" ref="V241">_xlfn.IFS(U241&lt;0.25,"shallow condution",
U241&lt;0.5,"transition",
U241&lt;1,"conduction",
U241&lt;1.5,"transition",U241&lt;3,"keyholeⅠ",3&lt;=U241,"keyhole Ⅱ"
)</f>
        <v>conduction</v>
      </c>
      <c r="X241">
        <f t="shared" si="11"/>
        <v>1.4078718888674513</v>
      </c>
    </row>
    <row r="242" spans="1:24">
      <c r="A242" s="2" t="s">
        <v>49</v>
      </c>
      <c r="B242" s="4">
        <v>150</v>
      </c>
      <c r="C242" s="4">
        <v>600</v>
      </c>
      <c r="D242" s="4">
        <v>8.9</v>
      </c>
      <c r="E242" s="4">
        <v>16.2</v>
      </c>
      <c r="F242" s="4">
        <v>377</v>
      </c>
      <c r="G242" s="16" t="s">
        <v>91</v>
      </c>
      <c r="H242" s="4">
        <v>0.42099999999999999</v>
      </c>
      <c r="I242" s="4">
        <v>100</v>
      </c>
      <c r="J242" s="4">
        <v>1495</v>
      </c>
      <c r="K242" s="4">
        <v>2927</v>
      </c>
      <c r="L242" s="4">
        <v>0.65</v>
      </c>
      <c r="M242" s="4">
        <v>90.55</v>
      </c>
      <c r="N242" s="5">
        <v>55.73</v>
      </c>
      <c r="Q242" s="1">
        <f t="shared" si="9"/>
        <v>64.102564102564102</v>
      </c>
      <c r="R242" t="str" cm="1">
        <f t="array" ref="R242">_xlfn.IFS(Q242&lt;42.7, "low",
Q242&lt;85.4,"medium low",
Q242&lt;128,"medium high",
Q242&gt;=128,"high"
)</f>
        <v>medium low</v>
      </c>
      <c r="S242" t="str" cm="1">
        <f t="array" ref="S242">_xlfn.IFS(J242&lt;700,"low",J242&lt;1600,"medium low",J242&lt;2200,"medium high",J242&gt;=2200,"high")</f>
        <v>medium low</v>
      </c>
      <c r="T242" t="str" cm="1">
        <f t="array" ref="T242">_xlfn.IFS(
J242&lt;630,"Low",
J242&lt;1287,"Medium",
J242&lt;1495,"Intermediate",
J242&lt;1668,"Moderately",
J242&lt;1843,"Transition",
J242&lt;2477,"High",
J242&lt;2996,"Refractory I",
TRUE,"Refractory II"
)</f>
        <v>Moderately</v>
      </c>
      <c r="U242">
        <f t="shared" si="10"/>
        <v>0.61546107123136384</v>
      </c>
      <c r="V242" t="str" cm="1">
        <f t="array" ref="V242">_xlfn.IFS(U242&lt;0.25,"shallow condution",
U242&lt;0.5,"transition",
U242&lt;1,"conduction",
U242&lt;1.5,"transition",U242&lt;3,"keyholeⅠ",3&lt;=U242,"keyhole Ⅱ"
)</f>
        <v>conduction</v>
      </c>
      <c r="X242">
        <f t="shared" si="11"/>
        <v>1.6247981338596806</v>
      </c>
    </row>
    <row r="243" spans="1:24">
      <c r="A243" s="2" t="s">
        <v>49</v>
      </c>
      <c r="B243" s="4">
        <v>200</v>
      </c>
      <c r="C243" s="4">
        <v>600</v>
      </c>
      <c r="D243" s="4">
        <v>8.9</v>
      </c>
      <c r="E243" s="4">
        <v>16.2</v>
      </c>
      <c r="F243" s="4">
        <v>377</v>
      </c>
      <c r="G243" s="16" t="s">
        <v>91</v>
      </c>
      <c r="H243" s="4">
        <v>0.42099999999999999</v>
      </c>
      <c r="I243" s="4">
        <v>100</v>
      </c>
      <c r="J243" s="4">
        <v>1495</v>
      </c>
      <c r="K243" s="4">
        <v>2927</v>
      </c>
      <c r="L243" s="4">
        <v>0.65</v>
      </c>
      <c r="M243" s="4">
        <v>87.37</v>
      </c>
      <c r="N243" s="5">
        <v>51.21</v>
      </c>
      <c r="Q243" s="1">
        <f t="shared" si="9"/>
        <v>85.470085470085465</v>
      </c>
      <c r="R243" t="str" cm="1">
        <f t="array" ref="R243">_xlfn.IFS(Q243&lt;42.7, "low",
Q243&lt;85.4,"medium low",
Q243&lt;128,"medium high",
Q243&gt;=128,"high"
)</f>
        <v>medium high</v>
      </c>
      <c r="S243" t="str" cm="1">
        <f t="array" ref="S243">_xlfn.IFS(J243&lt;700,"low",J243&lt;1600,"medium low",J243&lt;2200,"medium high",J243&gt;=2200,"high")</f>
        <v>medium low</v>
      </c>
      <c r="T243" t="str" cm="1">
        <f t="array" ref="T243">_xlfn.IFS(
J243&lt;630,"Low",
J243&lt;1287,"Medium",
J243&lt;1495,"Intermediate",
J243&lt;1668,"Moderately",
J243&lt;1843,"Transition",
J243&lt;2477,"High",
J243&lt;2996,"Refractory I",
TRUE,"Refractory II"
)</f>
        <v>Moderately</v>
      </c>
      <c r="U243">
        <f t="shared" si="10"/>
        <v>0.58612796154286362</v>
      </c>
      <c r="V243" t="str" cm="1">
        <f t="array" ref="V243">_xlfn.IFS(U243&lt;0.25,"shallow condution",
U243&lt;0.5,"transition",
U243&lt;1,"conduction",
U243&lt;1.5,"transition",U243&lt;3,"keyholeⅠ",3&lt;=U243,"keyhole Ⅱ"
)</f>
        <v>conduction</v>
      </c>
      <c r="X243">
        <f t="shared" si="11"/>
        <v>1.7061120874829137</v>
      </c>
    </row>
    <row r="244" spans="1:24">
      <c r="A244" s="2" t="s">
        <v>49</v>
      </c>
      <c r="B244" s="4">
        <v>250</v>
      </c>
      <c r="C244" s="4">
        <v>600</v>
      </c>
      <c r="D244" s="4">
        <v>8.9</v>
      </c>
      <c r="E244" s="4">
        <v>16.2</v>
      </c>
      <c r="F244" s="4">
        <v>377</v>
      </c>
      <c r="G244" s="16" t="s">
        <v>91</v>
      </c>
      <c r="H244" s="4">
        <v>0.42099999999999999</v>
      </c>
      <c r="I244" s="4">
        <v>100</v>
      </c>
      <c r="J244" s="4">
        <v>1495</v>
      </c>
      <c r="K244" s="4">
        <v>2927</v>
      </c>
      <c r="L244" s="4">
        <v>0.65</v>
      </c>
      <c r="M244" s="4">
        <v>107.14</v>
      </c>
      <c r="N244" s="5">
        <v>85</v>
      </c>
      <c r="Q244" s="1">
        <f t="shared" si="9"/>
        <v>106.83760683760684</v>
      </c>
      <c r="R244" t="str" cm="1">
        <f t="array" ref="R244">_xlfn.IFS(Q244&lt;42.7, "low",
Q244&lt;85.4,"medium low",
Q244&lt;128,"medium high",
Q244&gt;=128,"high"
)</f>
        <v>medium high</v>
      </c>
      <c r="S244" t="str" cm="1">
        <f t="array" ref="S244">_xlfn.IFS(J244&lt;700,"low",J244&lt;1600,"medium low",J244&lt;2200,"medium high",J244&gt;=2200,"high")</f>
        <v>medium low</v>
      </c>
      <c r="T244" t="str" cm="1">
        <f t="array" ref="T244">_xlfn.IFS(
J244&lt;630,"Low",
J244&lt;1287,"Medium",
J244&lt;1495,"Intermediate",
J244&lt;1668,"Moderately",
J244&lt;1843,"Transition",
J244&lt;2477,"High",
J244&lt;2996,"Refractory I",
TRUE,"Refractory II"
)</f>
        <v>Moderately</v>
      </c>
      <c r="U244">
        <f t="shared" si="10"/>
        <v>0.79335448945305209</v>
      </c>
      <c r="V244" t="str" cm="1">
        <f t="array" ref="V244">_xlfn.IFS(U244&lt;0.25,"shallow condution",
U244&lt;0.5,"transition",
U244&lt;1,"conduction",
U244&lt;1.5,"transition",U244&lt;3,"keyholeⅠ",3&lt;=U244,"keyhole Ⅱ"
)</f>
        <v>conduction</v>
      </c>
      <c r="X244">
        <f t="shared" si="11"/>
        <v>1.2604705882352942</v>
      </c>
    </row>
    <row r="245" spans="1:24">
      <c r="A245" s="2" t="s">
        <v>49</v>
      </c>
      <c r="B245" s="4">
        <v>300</v>
      </c>
      <c r="C245" s="4">
        <v>600</v>
      </c>
      <c r="D245" s="4">
        <v>8.9</v>
      </c>
      <c r="E245" s="4">
        <v>16.2</v>
      </c>
      <c r="F245" s="4">
        <v>377</v>
      </c>
      <c r="G245" s="16" t="s">
        <v>91</v>
      </c>
      <c r="H245" s="4">
        <v>0.42099999999999999</v>
      </c>
      <c r="I245" s="4">
        <v>100</v>
      </c>
      <c r="J245" s="4">
        <v>1495</v>
      </c>
      <c r="K245" s="4">
        <v>2927</v>
      </c>
      <c r="L245" s="4">
        <v>0.65</v>
      </c>
      <c r="M245" s="4">
        <v>117</v>
      </c>
      <c r="N245" s="5">
        <v>206.56</v>
      </c>
      <c r="Q245" s="1">
        <f t="shared" si="9"/>
        <v>128.2051282051282</v>
      </c>
      <c r="R245" t="str" cm="1">
        <f t="array" ref="R245">_xlfn.IFS(Q245&lt;42.7, "low",
Q245&lt;85.4,"medium low",
Q245&lt;128,"medium high",
Q245&gt;=128,"high"
)</f>
        <v>high</v>
      </c>
      <c r="S245" t="str" cm="1">
        <f t="array" ref="S245">_xlfn.IFS(J245&lt;700,"low",J245&lt;1600,"medium low",J245&lt;2200,"medium high",J245&gt;=2200,"high")</f>
        <v>medium low</v>
      </c>
      <c r="T245" t="str" cm="1">
        <f t="array" ref="T245">_xlfn.IFS(
J245&lt;630,"Low",
J245&lt;1287,"Medium",
J245&lt;1495,"Intermediate",
J245&lt;1668,"Moderately",
J245&lt;1843,"Transition",
J245&lt;2477,"High",
J245&lt;2996,"Refractory I",
TRUE,"Refractory II"
)</f>
        <v>Moderately</v>
      </c>
      <c r="U245">
        <f t="shared" si="10"/>
        <v>1.7654700854700855</v>
      </c>
      <c r="V245" t="str" cm="1">
        <f t="array" ref="V245">_xlfn.IFS(U245&lt;0.25,"shallow condution",
U245&lt;0.5,"transition",
U245&lt;1,"conduction",
U245&lt;1.5,"transition",U245&lt;3,"keyholeⅠ",3&lt;=U245,"keyhole Ⅱ"
)</f>
        <v>keyholeⅠ</v>
      </c>
      <c r="X245">
        <f t="shared" si="11"/>
        <v>0.56642137877614251</v>
      </c>
    </row>
    <row r="246" spans="1:24">
      <c r="A246" s="2" t="s">
        <v>49</v>
      </c>
      <c r="B246" s="4">
        <v>100</v>
      </c>
      <c r="C246" s="4">
        <v>900</v>
      </c>
      <c r="D246" s="4">
        <v>8.9</v>
      </c>
      <c r="E246" s="4">
        <v>16.2</v>
      </c>
      <c r="F246" s="4">
        <v>377</v>
      </c>
      <c r="G246" s="16" t="s">
        <v>91</v>
      </c>
      <c r="H246" s="4">
        <v>0.42099999999999999</v>
      </c>
      <c r="I246" s="4">
        <v>100</v>
      </c>
      <c r="J246" s="4">
        <v>1495</v>
      </c>
      <c r="K246" s="4">
        <v>2927</v>
      </c>
      <c r="L246" s="4">
        <v>0.65</v>
      </c>
      <c r="M246" s="4">
        <v>64.55</v>
      </c>
      <c r="N246" s="5">
        <v>20.25</v>
      </c>
      <c r="Q246" s="1">
        <f t="shared" si="9"/>
        <v>28.490028490028489</v>
      </c>
      <c r="R246" t="str" cm="1">
        <f t="array" ref="R246">_xlfn.IFS(Q246&lt;42.7, "low",
Q246&lt;85.4,"medium low",
Q246&lt;128,"medium high",
Q246&gt;=128,"high"
)</f>
        <v>low</v>
      </c>
      <c r="S246" t="str" cm="1">
        <f t="array" ref="S246">_xlfn.IFS(J246&lt;700,"low",J246&lt;1600,"medium low",J246&lt;2200,"medium high",J246&gt;=2200,"high")</f>
        <v>medium low</v>
      </c>
      <c r="T246" t="str" cm="1">
        <f t="array" ref="T246">_xlfn.IFS(
J246&lt;630,"Low",
J246&lt;1287,"Medium",
J246&lt;1495,"Intermediate",
J246&lt;1668,"Moderately",
J246&lt;1843,"Transition",
J246&lt;2477,"High",
J246&lt;2996,"Refractory I",
TRUE,"Refractory II"
)</f>
        <v>Moderately</v>
      </c>
      <c r="U246">
        <f t="shared" si="10"/>
        <v>0.31371030209140205</v>
      </c>
      <c r="V246" t="str" cm="1">
        <f t="array" ref="V246">_xlfn.IFS(U246&lt;0.25,"shallow condution",
U246&lt;0.5,"transition",
U246&lt;1,"conduction",
U246&lt;1.5,"transition",U246&lt;3,"keyholeⅠ",3&lt;=U246,"keyhole Ⅱ"
)</f>
        <v>transition</v>
      </c>
      <c r="X246">
        <f t="shared" si="11"/>
        <v>3.187654320987654</v>
      </c>
    </row>
    <row r="247" spans="1:24">
      <c r="A247" s="2" t="s">
        <v>49</v>
      </c>
      <c r="B247" s="4">
        <v>150</v>
      </c>
      <c r="C247" s="4">
        <v>900</v>
      </c>
      <c r="D247" s="4">
        <v>8.9</v>
      </c>
      <c r="E247" s="4">
        <v>16.2</v>
      </c>
      <c r="F247" s="4">
        <v>377</v>
      </c>
      <c r="G247" s="16" t="s">
        <v>91</v>
      </c>
      <c r="H247" s="4">
        <v>0.42099999999999999</v>
      </c>
      <c r="I247" s="4">
        <v>100</v>
      </c>
      <c r="J247" s="4">
        <v>1495</v>
      </c>
      <c r="K247" s="4">
        <v>2927</v>
      </c>
      <c r="L247" s="4">
        <v>0.65</v>
      </c>
      <c r="M247" s="4">
        <v>70</v>
      </c>
      <c r="N247" s="5">
        <v>26.4</v>
      </c>
      <c r="Q247" s="1">
        <f t="shared" si="9"/>
        <v>42.735042735042732</v>
      </c>
      <c r="R247" t="str" cm="1">
        <f t="array" ref="R247">_xlfn.IFS(Q247&lt;42.7, "low",
Q247&lt;85.4,"medium low",
Q247&lt;128,"medium high",
Q247&gt;=128,"high"
)</f>
        <v>medium low</v>
      </c>
      <c r="S247" t="str" cm="1">
        <f t="array" ref="S247">_xlfn.IFS(J247&lt;700,"low",J247&lt;1600,"medium low",J247&lt;2200,"medium high",J247&gt;=2200,"high")</f>
        <v>medium low</v>
      </c>
      <c r="T247" t="str" cm="1">
        <f t="array" ref="T247">_xlfn.IFS(
J247&lt;630,"Low",
J247&lt;1287,"Medium",
J247&lt;1495,"Intermediate",
J247&lt;1668,"Moderately",
J247&lt;1843,"Transition",
J247&lt;2477,"High",
J247&lt;2996,"Refractory I",
TRUE,"Refractory II"
)</f>
        <v>Moderately</v>
      </c>
      <c r="U247">
        <f t="shared" si="10"/>
        <v>0.37714285714285711</v>
      </c>
      <c r="V247" t="str" cm="1">
        <f t="array" ref="V247">_xlfn.IFS(U247&lt;0.25,"shallow condution",
U247&lt;0.5,"transition",
U247&lt;1,"conduction",
U247&lt;1.5,"transition",U247&lt;3,"keyholeⅠ",3&lt;=U247,"keyhole Ⅱ"
)</f>
        <v>transition</v>
      </c>
      <c r="X247">
        <f t="shared" si="11"/>
        <v>2.6515151515151518</v>
      </c>
    </row>
    <row r="248" spans="1:24">
      <c r="A248" s="2" t="s">
        <v>49</v>
      </c>
      <c r="B248" s="4">
        <v>200</v>
      </c>
      <c r="C248" s="4">
        <v>900</v>
      </c>
      <c r="D248" s="4">
        <v>8.9</v>
      </c>
      <c r="E248" s="4">
        <v>16.2</v>
      </c>
      <c r="F248" s="4">
        <v>377</v>
      </c>
      <c r="G248" s="16" t="s">
        <v>91</v>
      </c>
      <c r="H248" s="4">
        <v>0.42099999999999999</v>
      </c>
      <c r="I248" s="4">
        <v>100</v>
      </c>
      <c r="J248" s="4">
        <v>1495</v>
      </c>
      <c r="K248" s="4">
        <v>2927</v>
      </c>
      <c r="L248" s="4">
        <v>0.65</v>
      </c>
      <c r="M248" s="4">
        <v>88.91</v>
      </c>
      <c r="N248" s="5">
        <v>30.75</v>
      </c>
      <c r="Q248" s="1">
        <f t="shared" si="9"/>
        <v>56.980056980056979</v>
      </c>
      <c r="R248" t="str" cm="1">
        <f t="array" ref="R248">_xlfn.IFS(Q248&lt;42.7, "low",
Q248&lt;85.4,"medium low",
Q248&lt;128,"medium high",
Q248&gt;=128,"high"
)</f>
        <v>medium low</v>
      </c>
      <c r="S248" t="str" cm="1">
        <f t="array" ref="S248">_xlfn.IFS(J248&lt;700,"low",J248&lt;1600,"medium low",J248&lt;2200,"medium high",J248&gt;=2200,"high")</f>
        <v>medium low</v>
      </c>
      <c r="T248" t="str" cm="1">
        <f t="array" ref="T248">_xlfn.IFS(
J248&lt;630,"Low",
J248&lt;1287,"Medium",
J248&lt;1495,"Intermediate",
J248&lt;1668,"Moderately",
J248&lt;1843,"Transition",
J248&lt;2477,"High",
J248&lt;2996,"Refractory I",
TRUE,"Refractory II"
)</f>
        <v>Moderately</v>
      </c>
      <c r="U248">
        <f t="shared" si="10"/>
        <v>0.34585535935215389</v>
      </c>
      <c r="V248" t="str" cm="1">
        <f t="array" ref="V248">_xlfn.IFS(U248&lt;0.25,"shallow condution",
U248&lt;0.5,"transition",
U248&lt;1,"conduction",
U248&lt;1.5,"transition",U248&lt;3,"keyholeⅠ",3&lt;=U248,"keyhole Ⅱ"
)</f>
        <v>transition</v>
      </c>
      <c r="X248">
        <f t="shared" si="11"/>
        <v>2.891382113821138</v>
      </c>
    </row>
    <row r="249" spans="1:24">
      <c r="A249" s="2" t="s">
        <v>49</v>
      </c>
      <c r="B249" s="4">
        <v>250</v>
      </c>
      <c r="C249" s="4">
        <v>900</v>
      </c>
      <c r="D249" s="4">
        <v>8.9</v>
      </c>
      <c r="E249" s="4">
        <v>16.2</v>
      </c>
      <c r="F249" s="4">
        <v>377</v>
      </c>
      <c r="G249" s="16" t="s">
        <v>91</v>
      </c>
      <c r="H249" s="4">
        <v>0.42099999999999999</v>
      </c>
      <c r="I249" s="4">
        <v>100</v>
      </c>
      <c r="J249" s="4">
        <v>1495</v>
      </c>
      <c r="K249" s="4">
        <v>2927</v>
      </c>
      <c r="L249" s="4">
        <v>0.65</v>
      </c>
      <c r="M249" s="4">
        <v>102.27</v>
      </c>
      <c r="N249" s="5">
        <v>50.81</v>
      </c>
      <c r="Q249" s="1">
        <f t="shared" si="9"/>
        <v>71.225071225071218</v>
      </c>
      <c r="R249" t="str" cm="1">
        <f t="array" ref="R249">_xlfn.IFS(Q249&lt;42.7, "low",
Q249&lt;85.4,"medium low",
Q249&lt;128,"medium high",
Q249&gt;=128,"high"
)</f>
        <v>medium low</v>
      </c>
      <c r="S249" t="str" cm="1">
        <f t="array" ref="S249">_xlfn.IFS(J249&lt;700,"low",J249&lt;1600,"medium low",J249&lt;2200,"medium high",J249&gt;=2200,"high")</f>
        <v>medium low</v>
      </c>
      <c r="T249" t="str" cm="1">
        <f t="array" ref="T249">_xlfn.IFS(
J249&lt;630,"Low",
J249&lt;1287,"Medium",
J249&lt;1495,"Intermediate",
J249&lt;1668,"Moderately",
J249&lt;1843,"Transition",
J249&lt;2477,"High",
J249&lt;2996,"Refractory I",
TRUE,"Refractory II"
)</f>
        <v>Moderately</v>
      </c>
      <c r="U249">
        <f t="shared" si="10"/>
        <v>0.49682213747922171</v>
      </c>
      <c r="V249" t="str" cm="1">
        <f t="array" ref="V249">_xlfn.IFS(U249&lt;0.25,"shallow condution",
U249&lt;0.5,"transition",
U249&lt;1,"conduction",
U249&lt;1.5,"transition",U249&lt;3,"keyholeⅠ",3&lt;=U249,"keyhole Ⅱ"
)</f>
        <v>transition</v>
      </c>
      <c r="X249">
        <f t="shared" si="11"/>
        <v>2.0127927573312339</v>
      </c>
    </row>
    <row r="250" spans="1:24" ht="14.45" thickBot="1">
      <c r="A250" s="3" t="s">
        <v>49</v>
      </c>
      <c r="B250" s="7">
        <v>300</v>
      </c>
      <c r="C250" s="7">
        <v>900</v>
      </c>
      <c r="D250" s="7">
        <v>8.9</v>
      </c>
      <c r="E250" s="7">
        <v>16.2</v>
      </c>
      <c r="F250" s="7">
        <v>377</v>
      </c>
      <c r="G250" s="16" t="s">
        <v>91</v>
      </c>
      <c r="H250" s="7">
        <v>0.42099999999999999</v>
      </c>
      <c r="I250" s="7">
        <v>100</v>
      </c>
      <c r="J250" s="7">
        <v>1495</v>
      </c>
      <c r="K250" s="7">
        <v>2927</v>
      </c>
      <c r="L250" s="7">
        <v>0.65</v>
      </c>
      <c r="M250" s="7">
        <v>106.73</v>
      </c>
      <c r="N250" s="15">
        <v>88.72</v>
      </c>
      <c r="Q250" s="1">
        <f t="shared" si="9"/>
        <v>85.470085470085465</v>
      </c>
      <c r="R250" t="str" cm="1">
        <f t="array" ref="R250">_xlfn.IFS(Q250&lt;42.7, "low",
Q250&lt;85.4,"medium low",
Q250&lt;128,"medium high",
Q250&gt;=128,"high"
)</f>
        <v>medium high</v>
      </c>
      <c r="S250" t="str" cm="1">
        <f t="array" ref="S250">_xlfn.IFS(J250&lt;700,"low",J250&lt;1600,"medium low",J250&lt;2200,"medium high",J250&gt;=2200,"high")</f>
        <v>medium low</v>
      </c>
      <c r="T250" t="str" cm="1">
        <f t="array" ref="T250">_xlfn.IFS(
J250&lt;630,"Low",
J250&lt;1287,"Medium",
J250&lt;1495,"Intermediate",
J250&lt;1668,"Moderately",
J250&lt;1843,"Transition",
J250&lt;2477,"High",
J250&lt;2996,"Refractory I",
TRUE,"Refractory II"
)</f>
        <v>Moderately</v>
      </c>
      <c r="U250">
        <f t="shared" si="10"/>
        <v>0.83125644148786659</v>
      </c>
      <c r="V250" t="str" cm="1">
        <f t="array" ref="V250">_xlfn.IFS(U250&lt;0.25,"shallow condution",
U250&lt;0.5,"transition",
U250&lt;1,"conduction",
U250&lt;1.5,"transition",U250&lt;3,"keyholeⅠ",3&lt;=U250,"keyhole Ⅱ"
)</f>
        <v>conduction</v>
      </c>
      <c r="X250">
        <f t="shared" si="11"/>
        <v>1.2029981965734897</v>
      </c>
    </row>
    <row r="251" spans="1:24">
      <c r="A251" s="19" t="s">
        <v>50</v>
      </c>
      <c r="B251" s="16">
        <v>200</v>
      </c>
      <c r="C251" s="16">
        <v>200</v>
      </c>
      <c r="D251" s="16">
        <v>8.9079999999999995</v>
      </c>
      <c r="E251" s="16">
        <v>17.2</v>
      </c>
      <c r="F251" s="16">
        <v>370.4</v>
      </c>
      <c r="G251" s="16" t="s">
        <v>92</v>
      </c>
      <c r="H251" s="16">
        <v>0.44400000000000001</v>
      </c>
      <c r="I251" s="16">
        <v>90.9</v>
      </c>
      <c r="J251" s="16">
        <v>1455</v>
      </c>
      <c r="K251" s="16">
        <v>2913</v>
      </c>
      <c r="L251" s="16">
        <v>0.7</v>
      </c>
      <c r="M251" s="16">
        <v>364.74</v>
      </c>
      <c r="N251" s="17">
        <v>573.91999999999996</v>
      </c>
      <c r="Q251" s="1">
        <f t="shared" si="9"/>
        <v>256.41025641025641</v>
      </c>
      <c r="R251" t="str" cm="1">
        <f t="array" ref="R251">_xlfn.IFS(Q251&lt;42.7, "low",
Q251&lt;85.4,"medium low",
Q251&lt;128,"medium high",
Q251&gt;=128,"high"
)</f>
        <v>high</v>
      </c>
      <c r="S251" t="str" cm="1">
        <f t="array" ref="S251">_xlfn.IFS(J251&lt;700,"low",J251&lt;1600,"medium low",J251&lt;2200,"medium high",J251&gt;=2200,"high")</f>
        <v>medium low</v>
      </c>
      <c r="T251" t="str" cm="1">
        <f t="array" ref="T251">_xlfn.IFS(
J251&lt;630,"Low",
J251&lt;1287,"Medium",
J251&lt;1495,"Intermediate",
J251&lt;1668,"Moderately",
J251&lt;1843,"Transition",
J251&lt;2477,"High",
J251&lt;2996,"Refractory I",
TRUE,"Refractory II"
)</f>
        <v>Intermediate</v>
      </c>
      <c r="U251">
        <f t="shared" si="10"/>
        <v>1.5735044141031966</v>
      </c>
      <c r="V251" t="str" cm="1">
        <f t="array" ref="V251">_xlfn.IFS(U251&lt;0.25,"shallow condution",
U251&lt;0.5,"transition",
U251&lt;1,"conduction",
U251&lt;1.5,"transition",U251&lt;3,"keyholeⅠ",3&lt;=U251,"keyhole Ⅱ"
)</f>
        <v>keyholeⅠ</v>
      </c>
      <c r="X251">
        <f t="shared" si="11"/>
        <v>0.6355241148592139</v>
      </c>
    </row>
    <row r="252" spans="1:24">
      <c r="A252" s="2" t="s">
        <v>50</v>
      </c>
      <c r="B252" s="4">
        <v>200</v>
      </c>
      <c r="C252" s="4">
        <v>400</v>
      </c>
      <c r="D252" s="4">
        <v>8.9079999999999995</v>
      </c>
      <c r="E252" s="4">
        <v>17.2</v>
      </c>
      <c r="F252" s="4">
        <v>370.4</v>
      </c>
      <c r="G252" s="16" t="s">
        <v>92</v>
      </c>
      <c r="H252" s="4">
        <v>0.44400000000000001</v>
      </c>
      <c r="I252" s="4">
        <v>90.9</v>
      </c>
      <c r="J252" s="4">
        <v>1455</v>
      </c>
      <c r="K252" s="4">
        <v>2913</v>
      </c>
      <c r="L252" s="4">
        <v>0.7</v>
      </c>
      <c r="M252" s="4">
        <v>296.64</v>
      </c>
      <c r="N252" s="5">
        <v>285.20999999999998</v>
      </c>
      <c r="Q252" s="1">
        <f t="shared" si="9"/>
        <v>128.2051282051282</v>
      </c>
      <c r="R252" t="str" cm="1">
        <f t="array" ref="R252">_xlfn.IFS(Q252&lt;42.7, "low",
Q252&lt;85.4,"medium low",
Q252&lt;128,"medium high",
Q252&gt;=128,"high"
)</f>
        <v>high</v>
      </c>
      <c r="S252" t="str" cm="1">
        <f t="array" ref="S252">_xlfn.IFS(J252&lt;700,"low",J252&lt;1600,"medium low",J252&lt;2200,"medium high",J252&gt;=2200,"high")</f>
        <v>medium low</v>
      </c>
      <c r="T252" t="str" cm="1">
        <f t="array" ref="T252">_xlfn.IFS(
J252&lt;630,"Low",
J252&lt;1287,"Medium",
J252&lt;1495,"Intermediate",
J252&lt;1668,"Moderately",
J252&lt;1843,"Transition",
J252&lt;2477,"High",
J252&lt;2996,"Refractory I",
TRUE,"Refractory II"
)</f>
        <v>Intermediate</v>
      </c>
      <c r="U252">
        <f t="shared" si="10"/>
        <v>0.96146844660194175</v>
      </c>
      <c r="V252" t="str" cm="1">
        <f t="array" ref="V252">_xlfn.IFS(U252&lt;0.25,"shallow condution",
U252&lt;0.5,"transition",
U252&lt;1,"conduction",
U252&lt;1.5,"transition",U252&lt;3,"keyholeⅠ",3&lt;=U252,"keyhole Ⅱ"
)</f>
        <v>conduction</v>
      </c>
      <c r="X252">
        <f t="shared" si="11"/>
        <v>1.0400757336699273</v>
      </c>
    </row>
    <row r="253" spans="1:24">
      <c r="A253" s="2" t="s">
        <v>50</v>
      </c>
      <c r="B253" s="4">
        <v>200</v>
      </c>
      <c r="C253" s="4">
        <v>600</v>
      </c>
      <c r="D253" s="4">
        <v>8.9079999999999995</v>
      </c>
      <c r="E253" s="4">
        <v>17.2</v>
      </c>
      <c r="F253" s="4">
        <v>370.4</v>
      </c>
      <c r="G253" s="16" t="s">
        <v>92</v>
      </c>
      <c r="H253" s="4">
        <v>0.44400000000000001</v>
      </c>
      <c r="I253" s="4">
        <v>90.9</v>
      </c>
      <c r="J253" s="4">
        <v>1455</v>
      </c>
      <c r="K253" s="4">
        <v>2913</v>
      </c>
      <c r="L253" s="4">
        <v>0.7</v>
      </c>
      <c r="M253" s="4">
        <v>233</v>
      </c>
      <c r="N253" s="5">
        <v>137.63999999999999</v>
      </c>
      <c r="Q253" s="1">
        <f t="shared" si="9"/>
        <v>85.470085470085465</v>
      </c>
      <c r="R253" t="str" cm="1">
        <f t="array" ref="R253">_xlfn.IFS(Q253&lt;42.7, "low",
Q253&lt;85.4,"medium low",
Q253&lt;128,"medium high",
Q253&gt;=128,"high"
)</f>
        <v>medium high</v>
      </c>
      <c r="S253" t="str" cm="1">
        <f t="array" ref="S253">_xlfn.IFS(J253&lt;700,"low",J253&lt;1600,"medium low",J253&lt;2200,"medium high",J253&gt;=2200,"high")</f>
        <v>medium low</v>
      </c>
      <c r="T253" t="str" cm="1">
        <f t="array" ref="T253">_xlfn.IFS(
J253&lt;630,"Low",
J253&lt;1287,"Medium",
J253&lt;1495,"Intermediate",
J253&lt;1668,"Moderately",
J253&lt;1843,"Transition",
J253&lt;2477,"High",
J253&lt;2996,"Refractory I",
TRUE,"Refractory II"
)</f>
        <v>Intermediate</v>
      </c>
      <c r="U253">
        <f t="shared" si="10"/>
        <v>0.59072961373390553</v>
      </c>
      <c r="V253" t="str" cm="1">
        <f t="array" ref="V253">_xlfn.IFS(U253&lt;0.25,"shallow condution",
U253&lt;0.5,"transition",
U253&lt;1,"conduction",
U253&lt;1.5,"transition",U253&lt;3,"keyholeⅠ",3&lt;=U253,"keyhole Ⅱ"
)</f>
        <v>conduction</v>
      </c>
      <c r="X253">
        <f t="shared" si="11"/>
        <v>1.6928218541121769</v>
      </c>
    </row>
    <row r="254" spans="1:24">
      <c r="A254" s="2" t="s">
        <v>50</v>
      </c>
      <c r="B254" s="4">
        <v>200</v>
      </c>
      <c r="C254" s="4">
        <v>800</v>
      </c>
      <c r="D254" s="4">
        <v>8.9079999999999995</v>
      </c>
      <c r="E254" s="4">
        <v>17.2</v>
      </c>
      <c r="F254" s="4">
        <v>370.4</v>
      </c>
      <c r="G254" s="16" t="s">
        <v>92</v>
      </c>
      <c r="H254" s="4">
        <v>0.44400000000000001</v>
      </c>
      <c r="I254" s="4">
        <v>90.9</v>
      </c>
      <c r="J254" s="4">
        <v>1455</v>
      </c>
      <c r="K254" s="4">
        <v>2913</v>
      </c>
      <c r="L254" s="4">
        <v>0.7</v>
      </c>
      <c r="M254" s="4">
        <v>185.19</v>
      </c>
      <c r="N254" s="5">
        <v>75.83</v>
      </c>
      <c r="Q254" s="1">
        <f t="shared" si="9"/>
        <v>64.102564102564102</v>
      </c>
      <c r="R254" t="str" cm="1">
        <f t="array" ref="R254">_xlfn.IFS(Q254&lt;42.7, "low",
Q254&lt;85.4,"medium low",
Q254&lt;128,"medium high",
Q254&gt;=128,"high"
)</f>
        <v>medium low</v>
      </c>
      <c r="S254" t="str" cm="1">
        <f t="array" ref="S254">_xlfn.IFS(J254&lt;700,"low",J254&lt;1600,"medium low",J254&lt;2200,"medium high",J254&gt;=2200,"high")</f>
        <v>medium low</v>
      </c>
      <c r="T254" t="str" cm="1">
        <f t="array" ref="T254">_xlfn.IFS(
J254&lt;630,"Low",
J254&lt;1287,"Medium",
J254&lt;1495,"Intermediate",
J254&lt;1668,"Moderately",
J254&lt;1843,"Transition",
J254&lt;2477,"High",
J254&lt;2996,"Refractory I",
TRUE,"Refractory II"
)</f>
        <v>Intermediate</v>
      </c>
      <c r="U254">
        <f t="shared" si="10"/>
        <v>0.40947135374480265</v>
      </c>
      <c r="V254" t="str" cm="1">
        <f t="array" ref="V254">_xlfn.IFS(U254&lt;0.25,"shallow condution",
U254&lt;0.5,"transition",
U254&lt;1,"conduction",
U254&lt;1.5,"transition",U254&lt;3,"keyholeⅠ",3&lt;=U254,"keyhole Ⅱ"
)</f>
        <v>transition</v>
      </c>
      <c r="X254">
        <f t="shared" si="11"/>
        <v>2.4421732823420812</v>
      </c>
    </row>
    <row r="255" spans="1:24">
      <c r="A255" s="2" t="s">
        <v>50</v>
      </c>
      <c r="B255" s="4">
        <v>200</v>
      </c>
      <c r="C255" s="4">
        <v>1200</v>
      </c>
      <c r="D255" s="4">
        <v>8.9079999999999995</v>
      </c>
      <c r="E255" s="4">
        <v>17.2</v>
      </c>
      <c r="F255" s="4">
        <v>370.4</v>
      </c>
      <c r="G255" s="16" t="s">
        <v>92</v>
      </c>
      <c r="H255" s="4">
        <v>0.44400000000000001</v>
      </c>
      <c r="I255" s="4">
        <v>90.9</v>
      </c>
      <c r="J255" s="4">
        <v>1455</v>
      </c>
      <c r="K255" s="4">
        <v>2913</v>
      </c>
      <c r="L255" s="4">
        <v>0.7</v>
      </c>
      <c r="M255" s="4">
        <v>131.93</v>
      </c>
      <c r="N255" s="5">
        <v>59</v>
      </c>
      <c r="Q255" s="1">
        <f t="shared" si="9"/>
        <v>42.735042735042732</v>
      </c>
      <c r="R255" t="str" cm="1">
        <f t="array" ref="R255">_xlfn.IFS(Q255&lt;42.7, "low",
Q255&lt;85.4,"medium low",
Q255&lt;128,"medium high",
Q255&gt;=128,"high"
)</f>
        <v>medium low</v>
      </c>
      <c r="S255" t="str" cm="1">
        <f t="array" ref="S255">_xlfn.IFS(J255&lt;700,"low",J255&lt;1600,"medium low",J255&lt;2200,"medium high",J255&gt;=2200,"high")</f>
        <v>medium low</v>
      </c>
      <c r="T255" t="str" cm="1">
        <f t="array" ref="T255">_xlfn.IFS(
J255&lt;630,"Low",
J255&lt;1287,"Medium",
J255&lt;1495,"Intermediate",
J255&lt;1668,"Moderately",
J255&lt;1843,"Transition",
J255&lt;2477,"High",
J255&lt;2996,"Refractory I",
TRUE,"Refractory II"
)</f>
        <v>Intermediate</v>
      </c>
      <c r="U255">
        <f t="shared" si="10"/>
        <v>0.44720685211854772</v>
      </c>
      <c r="V255" t="str" cm="1">
        <f t="array" ref="V255">_xlfn.IFS(U255&lt;0.25,"shallow condution",
U255&lt;0.5,"transition",
U255&lt;1,"conduction",
U255&lt;1.5,"transition",U255&lt;3,"keyholeⅠ",3&lt;=U255,"keyhole Ⅱ"
)</f>
        <v>transition</v>
      </c>
      <c r="X255">
        <f t="shared" si="11"/>
        <v>2.2361016949152543</v>
      </c>
    </row>
    <row r="256" spans="1:24">
      <c r="A256" s="2" t="s">
        <v>50</v>
      </c>
      <c r="B256" s="4">
        <v>200</v>
      </c>
      <c r="C256" s="4">
        <v>1600</v>
      </c>
      <c r="D256" s="4">
        <v>8.9079999999999995</v>
      </c>
      <c r="E256" s="4">
        <v>17.2</v>
      </c>
      <c r="F256" s="4">
        <v>370.4</v>
      </c>
      <c r="G256" s="16" t="s">
        <v>92</v>
      </c>
      <c r="H256" s="4">
        <v>0.44400000000000001</v>
      </c>
      <c r="I256" s="4">
        <v>90.9</v>
      </c>
      <c r="J256" s="4">
        <v>1455</v>
      </c>
      <c r="K256" s="4">
        <v>2913</v>
      </c>
      <c r="L256" s="4">
        <v>0.7</v>
      </c>
      <c r="M256" s="4">
        <v>122.72</v>
      </c>
      <c r="N256" s="5">
        <v>31.97</v>
      </c>
      <c r="Q256" s="1">
        <f t="shared" si="9"/>
        <v>32.051282051282051</v>
      </c>
      <c r="R256" t="str" cm="1">
        <f t="array" ref="R256">_xlfn.IFS(Q256&lt;42.7, "low",
Q256&lt;85.4,"medium low",
Q256&lt;128,"medium high",
Q256&gt;=128,"high"
)</f>
        <v>low</v>
      </c>
      <c r="S256" t="str" cm="1">
        <f t="array" ref="S256">_xlfn.IFS(J256&lt;700,"low",J256&lt;1600,"medium low",J256&lt;2200,"medium high",J256&gt;=2200,"high")</f>
        <v>medium low</v>
      </c>
      <c r="T256" t="str" cm="1">
        <f t="array" ref="T256">_xlfn.IFS(
J256&lt;630,"Low",
J256&lt;1287,"Medium",
J256&lt;1495,"Intermediate",
J256&lt;1668,"Moderately",
J256&lt;1843,"Transition",
J256&lt;2477,"High",
J256&lt;2996,"Refractory I",
TRUE,"Refractory II"
)</f>
        <v>Intermediate</v>
      </c>
      <c r="U256">
        <f t="shared" si="10"/>
        <v>0.26051173402868316</v>
      </c>
      <c r="V256" t="str" cm="1">
        <f t="array" ref="V256">_xlfn.IFS(U256&lt;0.25,"shallow condution",
U256&lt;0.5,"transition",
U256&lt;1,"conduction",
U256&lt;1.5,"transition",U256&lt;3,"keyholeⅠ",3&lt;=U256,"keyhole Ⅱ"
)</f>
        <v>transition</v>
      </c>
      <c r="X256">
        <f t="shared" si="11"/>
        <v>3.8385986862683765</v>
      </c>
    </row>
    <row r="257" spans="1:24">
      <c r="A257" s="2" t="s">
        <v>50</v>
      </c>
      <c r="B257" s="4">
        <v>200</v>
      </c>
      <c r="C257" s="4">
        <v>2000</v>
      </c>
      <c r="D257" s="4">
        <v>8.9079999999999995</v>
      </c>
      <c r="E257" s="4">
        <v>17.2</v>
      </c>
      <c r="F257" s="4">
        <v>370.4</v>
      </c>
      <c r="G257" s="16" t="s">
        <v>92</v>
      </c>
      <c r="H257" s="4">
        <v>0.44400000000000001</v>
      </c>
      <c r="I257" s="4">
        <v>90.9</v>
      </c>
      <c r="J257" s="4">
        <v>1455</v>
      </c>
      <c r="K257" s="4">
        <v>2913</v>
      </c>
      <c r="L257" s="4">
        <v>0.7</v>
      </c>
      <c r="M257" s="4">
        <v>89.73</v>
      </c>
      <c r="N257" s="5">
        <v>23.36</v>
      </c>
      <c r="Q257" s="1">
        <f t="shared" si="9"/>
        <v>25.641025641025642</v>
      </c>
      <c r="R257" t="str" cm="1">
        <f t="array" ref="R257">_xlfn.IFS(Q257&lt;42.7, "low",
Q257&lt;85.4,"medium low",
Q257&lt;128,"medium high",
Q257&gt;=128,"high"
)</f>
        <v>low</v>
      </c>
      <c r="S257" t="str" cm="1">
        <f t="array" ref="S257">_xlfn.IFS(J257&lt;700,"low",J257&lt;1600,"medium low",J257&lt;2200,"medium high",J257&gt;=2200,"high")</f>
        <v>medium low</v>
      </c>
      <c r="T257" t="str" cm="1">
        <f t="array" ref="T257">_xlfn.IFS(
J257&lt;630,"Low",
J257&lt;1287,"Medium",
J257&lt;1495,"Intermediate",
J257&lt;1668,"Moderately",
J257&lt;1843,"Transition",
J257&lt;2477,"High",
J257&lt;2996,"Refractory I",
TRUE,"Refractory II"
)</f>
        <v>Intermediate</v>
      </c>
      <c r="U257">
        <f t="shared" si="10"/>
        <v>0.26033656525130949</v>
      </c>
      <c r="V257" t="str" cm="1">
        <f t="array" ref="V257">_xlfn.IFS(U257&lt;0.25,"shallow condution",
U257&lt;0.5,"transition",
U257&lt;1,"conduction",
U257&lt;1.5,"transition",U257&lt;3,"keyholeⅠ",3&lt;=U257,"keyhole Ⅱ"
)</f>
        <v>transition</v>
      </c>
      <c r="X257">
        <f t="shared" si="11"/>
        <v>3.8411815068493151</v>
      </c>
    </row>
    <row r="258" spans="1:24">
      <c r="A258" s="2" t="s">
        <v>50</v>
      </c>
      <c r="B258" s="4">
        <v>200</v>
      </c>
      <c r="C258" s="4">
        <v>2400</v>
      </c>
      <c r="D258" s="4">
        <v>8.9079999999999995</v>
      </c>
      <c r="E258" s="4">
        <v>17.2</v>
      </c>
      <c r="F258" s="4">
        <v>370.4</v>
      </c>
      <c r="G258" s="16" t="s">
        <v>92</v>
      </c>
      <c r="H258" s="4">
        <v>0.44400000000000001</v>
      </c>
      <c r="I258" s="4">
        <v>90.9</v>
      </c>
      <c r="J258" s="4">
        <v>1455</v>
      </c>
      <c r="K258" s="4">
        <v>2913</v>
      </c>
      <c r="L258" s="4">
        <v>0.7</v>
      </c>
      <c r="M258" s="4">
        <v>71.91</v>
      </c>
      <c r="N258" s="5">
        <v>17.63</v>
      </c>
      <c r="Q258" s="1">
        <f t="shared" si="9"/>
        <v>21.367521367521366</v>
      </c>
      <c r="R258" t="str" cm="1">
        <f t="array" ref="R258">_xlfn.IFS(Q258&lt;42.7, "low",
Q258&lt;85.4,"medium low",
Q258&lt;128,"medium high",
Q258&gt;=128,"high"
)</f>
        <v>low</v>
      </c>
      <c r="S258" t="str" cm="1">
        <f t="array" ref="S258">_xlfn.IFS(J258&lt;700,"low",J258&lt;1600,"medium low",J258&lt;2200,"medium high",J258&gt;=2200,"high")</f>
        <v>medium low</v>
      </c>
      <c r="T258" t="str" cm="1">
        <f t="array" ref="T258">_xlfn.IFS(
J258&lt;630,"Low",
J258&lt;1287,"Medium",
J258&lt;1495,"Intermediate",
J258&lt;1668,"Moderately",
J258&lt;1843,"Transition",
J258&lt;2477,"High",
J258&lt;2996,"Refractory I",
TRUE,"Refractory II"
)</f>
        <v>Intermediate</v>
      </c>
      <c r="U258">
        <f t="shared" si="10"/>
        <v>0.24516757057432903</v>
      </c>
      <c r="V258" t="str" cm="1">
        <f t="array" ref="V258">_xlfn.IFS(U258&lt;0.25,"shallow condution",
U258&lt;0.5,"transition",
U258&lt;1,"conduction",
U258&lt;1.5,"transition",U258&lt;3,"keyholeⅠ",3&lt;=U258,"keyhole Ⅱ"
)</f>
        <v>shallow condution</v>
      </c>
      <c r="X258">
        <f t="shared" si="11"/>
        <v>4.0788428814520703</v>
      </c>
    </row>
    <row r="259" spans="1:24">
      <c r="A259" s="2" t="s">
        <v>50</v>
      </c>
      <c r="B259" s="4">
        <v>350</v>
      </c>
      <c r="C259" s="4">
        <v>400</v>
      </c>
      <c r="D259" s="4">
        <v>8.9079999999999995</v>
      </c>
      <c r="E259" s="4">
        <v>17.2</v>
      </c>
      <c r="F259" s="4">
        <v>370.4</v>
      </c>
      <c r="G259" s="16" t="s">
        <v>92</v>
      </c>
      <c r="H259" s="4">
        <v>0.44400000000000001</v>
      </c>
      <c r="I259" s="4">
        <v>90.9</v>
      </c>
      <c r="J259" s="4">
        <v>1455</v>
      </c>
      <c r="K259" s="4">
        <v>2913</v>
      </c>
      <c r="L259" s="4">
        <v>0.7</v>
      </c>
      <c r="M259" s="4">
        <v>224.12</v>
      </c>
      <c r="N259" s="5">
        <v>253.21</v>
      </c>
      <c r="Q259" s="1">
        <f t="shared" si="9"/>
        <v>224.35897435897436</v>
      </c>
      <c r="R259" t="str" cm="1">
        <f t="array" ref="R259">_xlfn.IFS(Q259&lt;42.7, "low",
Q259&lt;85.4,"medium low",
Q259&lt;128,"medium high",
Q259&gt;=128,"high"
)</f>
        <v>high</v>
      </c>
      <c r="S259" t="str" cm="1">
        <f t="array" ref="S259">_xlfn.IFS(J259&lt;700,"low",J259&lt;1600,"medium low",J259&lt;2200,"medium high",J259&gt;=2200,"high")</f>
        <v>medium low</v>
      </c>
      <c r="T259" t="str" cm="1">
        <f t="array" ref="T259">_xlfn.IFS(
J259&lt;630,"Low",
J259&lt;1287,"Medium",
J259&lt;1495,"Intermediate",
J259&lt;1668,"Moderately",
J259&lt;1843,"Transition",
J259&lt;2477,"High",
J259&lt;2996,"Refractory I",
TRUE,"Refractory II"
)</f>
        <v>Intermediate</v>
      </c>
      <c r="U259">
        <f t="shared" si="10"/>
        <v>1.1297965375691594</v>
      </c>
      <c r="V259" t="str" cm="1">
        <f t="array" ref="V259">_xlfn.IFS(U259&lt;0.25,"shallow condution",
U259&lt;0.5,"transition",
U259&lt;1,"conduction",
U259&lt;1.5,"transition",U259&lt;3,"keyholeⅠ",3&lt;=U259,"keyhole Ⅱ"
)</f>
        <v>transition</v>
      </c>
      <c r="X259">
        <f t="shared" si="11"/>
        <v>0.88511512183563046</v>
      </c>
    </row>
    <row r="260" spans="1:24">
      <c r="A260" s="2" t="s">
        <v>50</v>
      </c>
      <c r="B260" s="4">
        <v>350</v>
      </c>
      <c r="C260" s="4">
        <v>600</v>
      </c>
      <c r="D260" s="4">
        <v>8.9079999999999995</v>
      </c>
      <c r="E260" s="4">
        <v>17.2</v>
      </c>
      <c r="F260" s="4">
        <v>370.4</v>
      </c>
      <c r="G260" s="16" t="s">
        <v>92</v>
      </c>
      <c r="H260" s="4">
        <v>0.44400000000000001</v>
      </c>
      <c r="I260" s="4">
        <v>90.9</v>
      </c>
      <c r="J260" s="4">
        <v>1455</v>
      </c>
      <c r="K260" s="4">
        <v>2913</v>
      </c>
      <c r="L260" s="4">
        <v>0.7</v>
      </c>
      <c r="M260" s="4">
        <v>173.31</v>
      </c>
      <c r="N260" s="5">
        <v>150.80000000000001</v>
      </c>
      <c r="Q260" s="1">
        <f t="shared" ref="Q260:Q323" si="12">B260*10^6/(C260*130*30)</f>
        <v>149.57264957264957</v>
      </c>
      <c r="R260" t="str" cm="1">
        <f t="array" ref="R260">_xlfn.IFS(Q260&lt;42.7, "low",
Q260&lt;85.4,"medium low",
Q260&lt;128,"medium high",
Q260&gt;=128,"high"
)</f>
        <v>high</v>
      </c>
      <c r="S260" t="str" cm="1">
        <f t="array" ref="S260">_xlfn.IFS(J260&lt;700,"low",J260&lt;1600,"medium low",J260&lt;2200,"medium high",J260&gt;=2200,"high")</f>
        <v>medium low</v>
      </c>
      <c r="T260" t="str" cm="1">
        <f t="array" ref="T260">_xlfn.IFS(
J260&lt;630,"Low",
J260&lt;1287,"Medium",
J260&lt;1495,"Intermediate",
J260&lt;1668,"Moderately",
J260&lt;1843,"Transition",
J260&lt;2477,"High",
J260&lt;2996,"Refractory I",
TRUE,"Refractory II"
)</f>
        <v>Intermediate</v>
      </c>
      <c r="U260">
        <f t="shared" ref="U260:U323" si="13">N260/M260</f>
        <v>0.87011713115227052</v>
      </c>
      <c r="V260" t="str" cm="1">
        <f t="array" ref="V260">_xlfn.IFS(U260&lt;0.25,"shallow condution",
U260&lt;0.5,"transition",
U260&lt;1,"conduction",
U260&lt;1.5,"transition",U260&lt;3,"keyholeⅠ",3&lt;=U260,"keyhole Ⅱ"
)</f>
        <v>conduction</v>
      </c>
      <c r="X260">
        <f t="shared" ref="X260:X323" si="14">M260/N260</f>
        <v>1.1492705570291777</v>
      </c>
    </row>
    <row r="261" spans="1:24">
      <c r="A261" s="2" t="s">
        <v>50</v>
      </c>
      <c r="B261" s="4">
        <v>350</v>
      </c>
      <c r="C261" s="4">
        <v>800</v>
      </c>
      <c r="D261" s="4">
        <v>8.9079999999999995</v>
      </c>
      <c r="E261" s="4">
        <v>17.2</v>
      </c>
      <c r="F261" s="4">
        <v>370.4</v>
      </c>
      <c r="G261" s="16" t="s">
        <v>92</v>
      </c>
      <c r="H261" s="4">
        <v>0.44400000000000001</v>
      </c>
      <c r="I261" s="4">
        <v>90.9</v>
      </c>
      <c r="J261" s="4">
        <v>1455</v>
      </c>
      <c r="K261" s="4">
        <v>2913</v>
      </c>
      <c r="L261" s="4">
        <v>0.7</v>
      </c>
      <c r="M261" s="4">
        <v>162.25</v>
      </c>
      <c r="N261" s="5">
        <v>112.54</v>
      </c>
      <c r="Q261" s="1">
        <f t="shared" si="12"/>
        <v>112.17948717948718</v>
      </c>
      <c r="R261" t="str" cm="1">
        <f t="array" ref="R261">_xlfn.IFS(Q261&lt;42.7, "low",
Q261&lt;85.4,"medium low",
Q261&lt;128,"medium high",
Q261&gt;=128,"high"
)</f>
        <v>medium high</v>
      </c>
      <c r="S261" t="str" cm="1">
        <f t="array" ref="S261">_xlfn.IFS(J261&lt;700,"low",J261&lt;1600,"medium low",J261&lt;2200,"medium high",J261&gt;=2200,"high")</f>
        <v>medium low</v>
      </c>
      <c r="T261" t="str" cm="1">
        <f t="array" ref="T261">_xlfn.IFS(
J261&lt;630,"Low",
J261&lt;1287,"Medium",
J261&lt;1495,"Intermediate",
J261&lt;1668,"Moderately",
J261&lt;1843,"Transition",
J261&lt;2477,"High",
J261&lt;2996,"Refractory I",
TRUE,"Refractory II"
)</f>
        <v>Intermediate</v>
      </c>
      <c r="U261">
        <f t="shared" si="13"/>
        <v>0.69362095531587065</v>
      </c>
      <c r="V261" t="str" cm="1">
        <f t="array" ref="V261">_xlfn.IFS(U261&lt;0.25,"shallow condution",
U261&lt;0.5,"transition",
U261&lt;1,"conduction",
U261&lt;1.5,"transition",U261&lt;3,"keyholeⅠ",3&lt;=U261,"keyhole Ⅱ"
)</f>
        <v>conduction</v>
      </c>
      <c r="X261">
        <f t="shared" si="14"/>
        <v>1.4417096143593389</v>
      </c>
    </row>
    <row r="262" spans="1:24">
      <c r="A262" s="2" t="s">
        <v>50</v>
      </c>
      <c r="B262" s="4">
        <v>350</v>
      </c>
      <c r="C262" s="4">
        <v>1000</v>
      </c>
      <c r="D262" s="4">
        <v>8.9079999999999995</v>
      </c>
      <c r="E262" s="4">
        <v>17.2</v>
      </c>
      <c r="F262" s="4">
        <v>370.4</v>
      </c>
      <c r="G262" s="16" t="s">
        <v>92</v>
      </c>
      <c r="H262" s="4">
        <v>0.44400000000000001</v>
      </c>
      <c r="I262" s="4">
        <v>90.9</v>
      </c>
      <c r="J262" s="4">
        <v>1455</v>
      </c>
      <c r="K262" s="4">
        <v>2913</v>
      </c>
      <c r="L262" s="4">
        <v>0.7</v>
      </c>
      <c r="M262" s="4">
        <v>141.76</v>
      </c>
      <c r="N262" s="5">
        <v>70.680000000000007</v>
      </c>
      <c r="Q262" s="1">
        <f t="shared" si="12"/>
        <v>89.743589743589737</v>
      </c>
      <c r="R262" t="str" cm="1">
        <f t="array" ref="R262">_xlfn.IFS(Q262&lt;42.7, "low",
Q262&lt;85.4,"medium low",
Q262&lt;128,"medium high",
Q262&gt;=128,"high"
)</f>
        <v>medium high</v>
      </c>
      <c r="S262" t="str" cm="1">
        <f t="array" ref="S262">_xlfn.IFS(J262&lt;700,"low",J262&lt;1600,"medium low",J262&lt;2200,"medium high",J262&gt;=2200,"high")</f>
        <v>medium low</v>
      </c>
      <c r="T262" t="str" cm="1">
        <f t="array" ref="T262">_xlfn.IFS(
J262&lt;630,"Low",
J262&lt;1287,"Medium",
J262&lt;1495,"Intermediate",
J262&lt;1668,"Moderately",
J262&lt;1843,"Transition",
J262&lt;2477,"High",
J262&lt;2996,"Refractory I",
TRUE,"Refractory II"
)</f>
        <v>Intermediate</v>
      </c>
      <c r="U262">
        <f t="shared" si="13"/>
        <v>0.49858916478555315</v>
      </c>
      <c r="V262" t="str" cm="1">
        <f t="array" ref="V262">_xlfn.IFS(U262&lt;0.25,"shallow condution",
U262&lt;0.5,"transition",
U262&lt;1,"conduction",
U262&lt;1.5,"transition",U262&lt;3,"keyholeⅠ",3&lt;=U262,"keyhole Ⅱ"
)</f>
        <v>transition</v>
      </c>
      <c r="X262">
        <f t="shared" si="14"/>
        <v>2.005659309564233</v>
      </c>
    </row>
    <row r="263" spans="1:24">
      <c r="A263" s="2" t="s">
        <v>50</v>
      </c>
      <c r="B263" s="4">
        <v>350</v>
      </c>
      <c r="C263" s="4">
        <v>1200</v>
      </c>
      <c r="D263" s="4">
        <v>8.9079999999999995</v>
      </c>
      <c r="E263" s="4">
        <v>17.2</v>
      </c>
      <c r="F263" s="4">
        <v>370.4</v>
      </c>
      <c r="G263" s="16" t="s">
        <v>92</v>
      </c>
      <c r="H263" s="4">
        <v>0.44400000000000001</v>
      </c>
      <c r="I263" s="4">
        <v>90.9</v>
      </c>
      <c r="J263" s="4">
        <v>1455</v>
      </c>
      <c r="K263" s="4">
        <v>2913</v>
      </c>
      <c r="L263" s="4">
        <v>0.7</v>
      </c>
      <c r="M263" s="4">
        <v>118.82</v>
      </c>
      <c r="N263" s="5">
        <v>53.07</v>
      </c>
      <c r="Q263" s="1">
        <f t="shared" si="12"/>
        <v>74.786324786324784</v>
      </c>
      <c r="R263" t="str" cm="1">
        <f t="array" ref="R263">_xlfn.IFS(Q263&lt;42.7, "low",
Q263&lt;85.4,"medium low",
Q263&lt;128,"medium high",
Q263&gt;=128,"high"
)</f>
        <v>medium low</v>
      </c>
      <c r="S263" t="str" cm="1">
        <f t="array" ref="S263">_xlfn.IFS(J263&lt;700,"low",J263&lt;1600,"medium low",J263&lt;2200,"medium high",J263&gt;=2200,"high")</f>
        <v>medium low</v>
      </c>
      <c r="T263" t="str" cm="1">
        <f t="array" ref="T263">_xlfn.IFS(
J263&lt;630,"Low",
J263&lt;1287,"Medium",
J263&lt;1495,"Intermediate",
J263&lt;1668,"Moderately",
J263&lt;1843,"Transition",
J263&lt;2477,"High",
J263&lt;2996,"Refractory I",
TRUE,"Refractory II"
)</f>
        <v>Intermediate</v>
      </c>
      <c r="U263">
        <f t="shared" si="13"/>
        <v>0.4466419794647366</v>
      </c>
      <c r="V263" t="str" cm="1">
        <f t="array" ref="V263">_xlfn.IFS(U263&lt;0.25,"shallow condution",
U263&lt;0.5,"transition",
U263&lt;1,"conduction",
U263&lt;1.5,"transition",U263&lt;3,"keyholeⅠ",3&lt;=U263,"keyhole Ⅱ"
)</f>
        <v>transition</v>
      </c>
      <c r="X263">
        <f t="shared" si="14"/>
        <v>2.2389297154701335</v>
      </c>
    </row>
    <row r="264" spans="1:24">
      <c r="A264" s="2" t="s">
        <v>50</v>
      </c>
      <c r="B264" s="4">
        <v>350</v>
      </c>
      <c r="C264" s="4">
        <v>1600</v>
      </c>
      <c r="D264" s="4">
        <v>8.9079999999999995</v>
      </c>
      <c r="E264" s="4">
        <v>17.2</v>
      </c>
      <c r="F264" s="4">
        <v>370.4</v>
      </c>
      <c r="G264" s="16" t="s">
        <v>92</v>
      </c>
      <c r="H264" s="4">
        <v>0.44400000000000001</v>
      </c>
      <c r="I264" s="4">
        <v>90.9</v>
      </c>
      <c r="J264" s="4">
        <v>1455</v>
      </c>
      <c r="K264" s="4">
        <v>2913</v>
      </c>
      <c r="L264" s="4">
        <v>0.7</v>
      </c>
      <c r="M264" s="4">
        <v>106.53</v>
      </c>
      <c r="N264" s="5">
        <v>29.91</v>
      </c>
      <c r="Q264" s="1">
        <f t="shared" si="12"/>
        <v>56.089743589743591</v>
      </c>
      <c r="R264" t="str" cm="1">
        <f t="array" ref="R264">_xlfn.IFS(Q264&lt;42.7, "low",
Q264&lt;85.4,"medium low",
Q264&lt;128,"medium high",
Q264&gt;=128,"high"
)</f>
        <v>medium low</v>
      </c>
      <c r="S264" t="str" cm="1">
        <f t="array" ref="S264">_xlfn.IFS(J264&lt;700,"low",J264&lt;1600,"medium low",J264&lt;2200,"medium high",J264&gt;=2200,"high")</f>
        <v>medium low</v>
      </c>
      <c r="T264" t="str" cm="1">
        <f t="array" ref="T264">_xlfn.IFS(
J264&lt;630,"Low",
J264&lt;1287,"Medium",
J264&lt;1495,"Intermediate",
J264&lt;1668,"Moderately",
J264&lt;1843,"Transition",
J264&lt;2477,"High",
J264&lt;2996,"Refractory I",
TRUE,"Refractory II"
)</f>
        <v>Intermediate</v>
      </c>
      <c r="U264">
        <f t="shared" si="13"/>
        <v>0.28076598141368631</v>
      </c>
      <c r="V264" t="str" cm="1">
        <f t="array" ref="V264">_xlfn.IFS(U264&lt;0.25,"shallow condution",
U264&lt;0.5,"transition",
U264&lt;1,"conduction",
U264&lt;1.5,"transition",U264&lt;3,"keyholeⅠ",3&lt;=U264,"keyhole Ⅱ"
)</f>
        <v>transition</v>
      </c>
      <c r="X264">
        <f t="shared" si="14"/>
        <v>3.5616850551654964</v>
      </c>
    </row>
    <row r="265" spans="1:24">
      <c r="A265" s="2" t="s">
        <v>50</v>
      </c>
      <c r="B265" s="4">
        <v>350</v>
      </c>
      <c r="C265" s="4">
        <v>2000</v>
      </c>
      <c r="D265" s="4">
        <v>8.9079999999999995</v>
      </c>
      <c r="E265" s="4">
        <v>17.2</v>
      </c>
      <c r="F265" s="4">
        <v>370.4</v>
      </c>
      <c r="G265" s="16" t="s">
        <v>92</v>
      </c>
      <c r="H265" s="4">
        <v>0.44400000000000001</v>
      </c>
      <c r="I265" s="4">
        <v>90.9</v>
      </c>
      <c r="J265" s="4">
        <v>1455</v>
      </c>
      <c r="K265" s="4">
        <v>2913</v>
      </c>
      <c r="L265" s="4">
        <v>0.7</v>
      </c>
      <c r="M265" s="4">
        <v>100.59</v>
      </c>
      <c r="N265" s="5">
        <v>47.32</v>
      </c>
      <c r="Q265" s="1">
        <f t="shared" si="12"/>
        <v>44.871794871794869</v>
      </c>
      <c r="R265" t="str" cm="1">
        <f t="array" ref="R265">_xlfn.IFS(Q265&lt;42.7, "low",
Q265&lt;85.4,"medium low",
Q265&lt;128,"medium high",
Q265&gt;=128,"high"
)</f>
        <v>medium low</v>
      </c>
      <c r="S265" t="str" cm="1">
        <f t="array" ref="S265">_xlfn.IFS(J265&lt;700,"low",J265&lt;1600,"medium low",J265&lt;2200,"medium high",J265&gt;=2200,"high")</f>
        <v>medium low</v>
      </c>
      <c r="T265" t="str" cm="1">
        <f t="array" ref="T265">_xlfn.IFS(
J265&lt;630,"Low",
J265&lt;1287,"Medium",
J265&lt;1495,"Intermediate",
J265&lt;1668,"Moderately",
J265&lt;1843,"Transition",
J265&lt;2477,"High",
J265&lt;2996,"Refractory I",
TRUE,"Refractory II"
)</f>
        <v>Intermediate</v>
      </c>
      <c r="U265">
        <f t="shared" si="13"/>
        <v>0.47042449547668752</v>
      </c>
      <c r="V265" t="str" cm="1">
        <f t="array" ref="V265">_xlfn.IFS(U265&lt;0.25,"shallow condution",
U265&lt;0.5,"transition",
U265&lt;1,"conduction",
U265&lt;1.5,"transition",U265&lt;3,"keyholeⅠ",3&lt;=U265,"keyhole Ⅱ"
)</f>
        <v>transition</v>
      </c>
      <c r="X265">
        <f t="shared" si="14"/>
        <v>2.1257396449704142</v>
      </c>
    </row>
    <row r="266" spans="1:24">
      <c r="A266" s="2" t="s">
        <v>50</v>
      </c>
      <c r="B266" s="4">
        <v>350</v>
      </c>
      <c r="C266" s="4">
        <v>2400</v>
      </c>
      <c r="D266" s="4">
        <v>8.9079999999999995</v>
      </c>
      <c r="E266" s="4">
        <v>17.2</v>
      </c>
      <c r="F266" s="4">
        <v>370.4</v>
      </c>
      <c r="G266" s="16" t="s">
        <v>92</v>
      </c>
      <c r="H266" s="4">
        <v>0.44400000000000001</v>
      </c>
      <c r="I266" s="4">
        <v>90.9</v>
      </c>
      <c r="J266" s="4">
        <v>1455</v>
      </c>
      <c r="K266" s="4">
        <v>2913</v>
      </c>
      <c r="L266" s="4">
        <v>0.7</v>
      </c>
      <c r="M266" s="4">
        <v>92.21</v>
      </c>
      <c r="N266" s="5">
        <v>19.670000000000002</v>
      </c>
      <c r="Q266" s="1">
        <f t="shared" si="12"/>
        <v>37.393162393162392</v>
      </c>
      <c r="R266" t="str" cm="1">
        <f t="array" ref="R266">_xlfn.IFS(Q266&lt;42.7, "low",
Q266&lt;85.4,"medium low",
Q266&lt;128,"medium high",
Q266&gt;=128,"high"
)</f>
        <v>low</v>
      </c>
      <c r="S266" t="str" cm="1">
        <f t="array" ref="S266">_xlfn.IFS(J266&lt;700,"low",J266&lt;1600,"medium low",J266&lt;2200,"medium high",J266&gt;=2200,"high")</f>
        <v>medium low</v>
      </c>
      <c r="T266" t="str" cm="1">
        <f t="array" ref="T266">_xlfn.IFS(
J266&lt;630,"Low",
J266&lt;1287,"Medium",
J266&lt;1495,"Intermediate",
J266&lt;1668,"Moderately",
J266&lt;1843,"Transition",
J266&lt;2477,"High",
J266&lt;2996,"Refractory I",
TRUE,"Refractory II"
)</f>
        <v>Intermediate</v>
      </c>
      <c r="U266">
        <f t="shared" si="13"/>
        <v>0.21331742761088823</v>
      </c>
      <c r="V266" t="str" cm="1">
        <f t="array" ref="V266">_xlfn.IFS(U266&lt;0.25,"shallow condution",
U266&lt;0.5,"transition",
U266&lt;1,"conduction",
U266&lt;1.5,"transition",U266&lt;3,"keyholeⅠ",3&lt;=U266,"keyhole Ⅱ"
)</f>
        <v>shallow condution</v>
      </c>
      <c r="X266">
        <f t="shared" si="14"/>
        <v>4.6878495170310108</v>
      </c>
    </row>
    <row r="267" spans="1:24">
      <c r="A267" s="2" t="s">
        <v>50</v>
      </c>
      <c r="B267" s="4">
        <v>100</v>
      </c>
      <c r="C267" s="4">
        <v>300</v>
      </c>
      <c r="D267" s="4">
        <v>8.9079999999999995</v>
      </c>
      <c r="E267" s="4">
        <v>17.2</v>
      </c>
      <c r="F267" s="4">
        <v>370.4</v>
      </c>
      <c r="G267" s="16" t="s">
        <v>92</v>
      </c>
      <c r="H267" s="4">
        <v>0.44400000000000001</v>
      </c>
      <c r="I267" s="4">
        <v>90.9</v>
      </c>
      <c r="J267" s="4">
        <v>1455</v>
      </c>
      <c r="K267" s="4">
        <v>2913</v>
      </c>
      <c r="L267" s="4">
        <v>0.7</v>
      </c>
      <c r="M267" s="4">
        <v>96.24</v>
      </c>
      <c r="N267" s="5">
        <v>34.450000000000003</v>
      </c>
      <c r="Q267" s="1">
        <f t="shared" si="12"/>
        <v>85.470085470085465</v>
      </c>
      <c r="R267" t="str" cm="1">
        <f t="array" ref="R267">_xlfn.IFS(Q267&lt;42.7, "low",
Q267&lt;85.4,"medium low",
Q267&lt;128,"medium high",
Q267&gt;=128,"high"
)</f>
        <v>medium high</v>
      </c>
      <c r="S267" t="str" cm="1">
        <f t="array" ref="S267">_xlfn.IFS(J267&lt;700,"low",J267&lt;1600,"medium low",J267&lt;2200,"medium high",J267&gt;=2200,"high")</f>
        <v>medium low</v>
      </c>
      <c r="T267" t="str" cm="1">
        <f t="array" ref="T267">_xlfn.IFS(
J267&lt;630,"Low",
J267&lt;1287,"Medium",
J267&lt;1495,"Intermediate",
J267&lt;1668,"Moderately",
J267&lt;1843,"Transition",
J267&lt;2477,"High",
J267&lt;2996,"Refractory I",
TRUE,"Refractory II"
)</f>
        <v>Intermediate</v>
      </c>
      <c r="U267">
        <f t="shared" si="13"/>
        <v>0.35795926849542814</v>
      </c>
      <c r="V267" t="str" cm="1">
        <f t="array" ref="V267">_xlfn.IFS(U267&lt;0.25,"shallow condution",
U267&lt;0.5,"transition",
U267&lt;1,"conduction",
U267&lt;1.5,"transition",U267&lt;3,"keyholeⅠ",3&lt;=U267,"keyhole Ⅱ"
)</f>
        <v>transition</v>
      </c>
      <c r="X267">
        <f t="shared" si="14"/>
        <v>2.7936139332365744</v>
      </c>
    </row>
    <row r="268" spans="1:24">
      <c r="A268" s="2" t="s">
        <v>50</v>
      </c>
      <c r="B268" s="4">
        <v>150</v>
      </c>
      <c r="C268" s="4">
        <v>300</v>
      </c>
      <c r="D268" s="4">
        <v>8.9079999999999995</v>
      </c>
      <c r="E268" s="4">
        <v>17.2</v>
      </c>
      <c r="F268" s="4">
        <v>370.4</v>
      </c>
      <c r="G268" s="16" t="s">
        <v>92</v>
      </c>
      <c r="H268" s="4">
        <v>0.44400000000000001</v>
      </c>
      <c r="I268" s="4">
        <v>90.9</v>
      </c>
      <c r="J268" s="4">
        <v>1455</v>
      </c>
      <c r="K268" s="4">
        <v>2913</v>
      </c>
      <c r="L268" s="4">
        <v>0.7</v>
      </c>
      <c r="M268" s="4">
        <v>116.58</v>
      </c>
      <c r="N268" s="5">
        <v>113</v>
      </c>
      <c r="Q268" s="1">
        <f t="shared" si="12"/>
        <v>128.2051282051282</v>
      </c>
      <c r="R268" t="str" cm="1">
        <f t="array" ref="R268">_xlfn.IFS(Q268&lt;42.7, "low",
Q268&lt;85.4,"medium low",
Q268&lt;128,"medium high",
Q268&gt;=128,"high"
)</f>
        <v>high</v>
      </c>
      <c r="S268" t="str" cm="1">
        <f t="array" ref="S268">_xlfn.IFS(J268&lt;700,"low",J268&lt;1600,"medium low",J268&lt;2200,"medium high",J268&gt;=2200,"high")</f>
        <v>medium low</v>
      </c>
      <c r="T268" t="str" cm="1">
        <f t="array" ref="T268">_xlfn.IFS(
J268&lt;630,"Low",
J268&lt;1287,"Medium",
J268&lt;1495,"Intermediate",
J268&lt;1668,"Moderately",
J268&lt;1843,"Transition",
J268&lt;2477,"High",
J268&lt;2996,"Refractory I",
TRUE,"Refractory II"
)</f>
        <v>Intermediate</v>
      </c>
      <c r="U268">
        <f t="shared" si="13"/>
        <v>0.96929147366615198</v>
      </c>
      <c r="V268" t="str" cm="1">
        <f t="array" ref="V268">_xlfn.IFS(U268&lt;0.25,"shallow condution",
U268&lt;0.5,"transition",
U268&lt;1,"conduction",
U268&lt;1.5,"transition",U268&lt;3,"keyholeⅠ",3&lt;=U268,"keyhole Ⅱ"
)</f>
        <v>conduction</v>
      </c>
      <c r="X268">
        <f t="shared" si="14"/>
        <v>1.0316814159292036</v>
      </c>
    </row>
    <row r="269" spans="1:24">
      <c r="A269" s="2" t="s">
        <v>50</v>
      </c>
      <c r="B269" s="4">
        <v>200</v>
      </c>
      <c r="C269" s="4">
        <v>300</v>
      </c>
      <c r="D269" s="4">
        <v>8.9079999999999995</v>
      </c>
      <c r="E269" s="4">
        <v>17.2</v>
      </c>
      <c r="F269" s="4">
        <v>370.4</v>
      </c>
      <c r="G269" s="16" t="s">
        <v>92</v>
      </c>
      <c r="H269" s="4">
        <v>0.44400000000000001</v>
      </c>
      <c r="I269" s="4">
        <v>90.9</v>
      </c>
      <c r="J269" s="4">
        <v>1455</v>
      </c>
      <c r="K269" s="4">
        <v>2913</v>
      </c>
      <c r="L269" s="4">
        <v>0.7</v>
      </c>
      <c r="M269" s="4">
        <v>161.25</v>
      </c>
      <c r="N269" s="5">
        <v>145.87</v>
      </c>
      <c r="Q269" s="1">
        <f t="shared" si="12"/>
        <v>170.94017094017093</v>
      </c>
      <c r="R269" t="str" cm="1">
        <f t="array" ref="R269">_xlfn.IFS(Q269&lt;42.7, "low",
Q269&lt;85.4,"medium low",
Q269&lt;128,"medium high",
Q269&gt;=128,"high"
)</f>
        <v>high</v>
      </c>
      <c r="S269" t="str" cm="1">
        <f t="array" ref="S269">_xlfn.IFS(J269&lt;700,"low",J269&lt;1600,"medium low",J269&lt;2200,"medium high",J269&gt;=2200,"high")</f>
        <v>medium low</v>
      </c>
      <c r="T269" t="str" cm="1">
        <f t="array" ref="T269">_xlfn.IFS(
J269&lt;630,"Low",
J269&lt;1287,"Medium",
J269&lt;1495,"Intermediate",
J269&lt;1668,"Moderately",
J269&lt;1843,"Transition",
J269&lt;2477,"High",
J269&lt;2996,"Refractory I",
TRUE,"Refractory II"
)</f>
        <v>Intermediate</v>
      </c>
      <c r="U269">
        <f t="shared" si="13"/>
        <v>0.9046201550387597</v>
      </c>
      <c r="V269" t="str" cm="1">
        <f t="array" ref="V269">_xlfn.IFS(U269&lt;0.25,"shallow condution",
U269&lt;0.5,"transition",
U269&lt;1,"conduction",
U269&lt;1.5,"transition",U269&lt;3,"keyholeⅠ",3&lt;=U269,"keyhole Ⅱ"
)</f>
        <v>conduction</v>
      </c>
      <c r="X269">
        <f t="shared" si="14"/>
        <v>1.1054363474326454</v>
      </c>
    </row>
    <row r="270" spans="1:24">
      <c r="A270" s="2" t="s">
        <v>50</v>
      </c>
      <c r="B270" s="4">
        <v>250</v>
      </c>
      <c r="C270" s="4">
        <v>300</v>
      </c>
      <c r="D270" s="4">
        <v>8.9079999999999995</v>
      </c>
      <c r="E270" s="4">
        <v>17.2</v>
      </c>
      <c r="F270" s="4">
        <v>370.4</v>
      </c>
      <c r="G270" s="16" t="s">
        <v>92</v>
      </c>
      <c r="H270" s="4">
        <v>0.44400000000000001</v>
      </c>
      <c r="I270" s="4">
        <v>90.9</v>
      </c>
      <c r="J270" s="4">
        <v>1455</v>
      </c>
      <c r="K270" s="4">
        <v>2913</v>
      </c>
      <c r="L270" s="4">
        <v>0.7</v>
      </c>
      <c r="M270" s="4">
        <v>187.99</v>
      </c>
      <c r="N270" s="5">
        <v>209.54</v>
      </c>
      <c r="Q270" s="1">
        <f t="shared" si="12"/>
        <v>213.67521367521368</v>
      </c>
      <c r="R270" t="str" cm="1">
        <f t="array" ref="R270">_xlfn.IFS(Q270&lt;42.7, "low",
Q270&lt;85.4,"medium low",
Q270&lt;128,"medium high",
Q270&gt;=128,"high"
)</f>
        <v>high</v>
      </c>
      <c r="S270" t="str" cm="1">
        <f t="array" ref="S270">_xlfn.IFS(J270&lt;700,"low",J270&lt;1600,"medium low",J270&lt;2200,"medium high",J270&gt;=2200,"high")</f>
        <v>medium low</v>
      </c>
      <c r="T270" t="str" cm="1">
        <f t="array" ref="T270">_xlfn.IFS(
J270&lt;630,"Low",
J270&lt;1287,"Medium",
J270&lt;1495,"Intermediate",
J270&lt;1668,"Moderately",
J270&lt;1843,"Transition",
J270&lt;2477,"High",
J270&lt;2996,"Refractory I",
TRUE,"Refractory II"
)</f>
        <v>Intermediate</v>
      </c>
      <c r="U270">
        <f t="shared" si="13"/>
        <v>1.11463375711474</v>
      </c>
      <c r="V270" t="str" cm="1">
        <f t="array" ref="V270">_xlfn.IFS(U270&lt;0.25,"shallow condution",
U270&lt;0.5,"transition",
U270&lt;1,"conduction",
U270&lt;1.5,"transition",U270&lt;3,"keyholeⅠ",3&lt;=U270,"keyhole Ⅱ"
)</f>
        <v>transition</v>
      </c>
      <c r="X270">
        <f t="shared" si="14"/>
        <v>0.89715567433425603</v>
      </c>
    </row>
    <row r="271" spans="1:24">
      <c r="A271" s="2" t="s">
        <v>50</v>
      </c>
      <c r="B271" s="4">
        <v>300</v>
      </c>
      <c r="C271" s="4">
        <v>300</v>
      </c>
      <c r="D271" s="4">
        <v>8.9079999999999995</v>
      </c>
      <c r="E271" s="4">
        <v>17.2</v>
      </c>
      <c r="F271" s="4">
        <v>370.4</v>
      </c>
      <c r="G271" s="16" t="s">
        <v>92</v>
      </c>
      <c r="H271" s="4">
        <v>0.44400000000000001</v>
      </c>
      <c r="I271" s="4">
        <v>90.9</v>
      </c>
      <c r="J271" s="4">
        <v>1455</v>
      </c>
      <c r="K271" s="4">
        <v>2913</v>
      </c>
      <c r="L271" s="4">
        <v>0.7</v>
      </c>
      <c r="M271" s="4">
        <v>250.64</v>
      </c>
      <c r="N271" s="5">
        <v>189.84</v>
      </c>
      <c r="Q271" s="1">
        <f t="shared" si="12"/>
        <v>256.41025641025641</v>
      </c>
      <c r="R271" t="str" cm="1">
        <f t="array" ref="R271">_xlfn.IFS(Q271&lt;42.7, "low",
Q271&lt;85.4,"medium low",
Q271&lt;128,"medium high",
Q271&gt;=128,"high"
)</f>
        <v>high</v>
      </c>
      <c r="S271" t="str" cm="1">
        <f t="array" ref="S271">_xlfn.IFS(J271&lt;700,"low",J271&lt;1600,"medium low",J271&lt;2200,"medium high",J271&gt;=2200,"high")</f>
        <v>medium low</v>
      </c>
      <c r="T271" t="str" cm="1">
        <f t="array" ref="T271">_xlfn.IFS(
J271&lt;630,"Low",
J271&lt;1287,"Medium",
J271&lt;1495,"Intermediate",
J271&lt;1668,"Moderately",
J271&lt;1843,"Transition",
J271&lt;2477,"High",
J271&lt;2996,"Refractory I",
TRUE,"Refractory II"
)</f>
        <v>Intermediate</v>
      </c>
      <c r="U271">
        <f t="shared" si="13"/>
        <v>0.75742100223428033</v>
      </c>
      <c r="V271" t="str" cm="1">
        <f t="array" ref="V271">_xlfn.IFS(U271&lt;0.25,"shallow condution",
U271&lt;0.5,"transition",
U271&lt;1,"conduction",
U271&lt;1.5,"transition",U271&lt;3,"keyholeⅠ",3&lt;=U271,"keyhole Ⅱ"
)</f>
        <v>conduction</v>
      </c>
      <c r="X271">
        <f t="shared" si="14"/>
        <v>1.3202697008006741</v>
      </c>
    </row>
    <row r="272" spans="1:24">
      <c r="A272" s="2" t="s">
        <v>50</v>
      </c>
      <c r="B272" s="4">
        <v>100</v>
      </c>
      <c r="C272" s="4">
        <v>600</v>
      </c>
      <c r="D272" s="4">
        <v>8.9079999999999995</v>
      </c>
      <c r="E272" s="4">
        <v>17.2</v>
      </c>
      <c r="F272" s="4">
        <v>370.4</v>
      </c>
      <c r="G272" s="16" t="s">
        <v>92</v>
      </c>
      <c r="H272" s="4">
        <v>0.44400000000000001</v>
      </c>
      <c r="I272" s="4">
        <v>90.9</v>
      </c>
      <c r="J272" s="4">
        <v>1455</v>
      </c>
      <c r="K272" s="4">
        <v>2913</v>
      </c>
      <c r="L272" s="4">
        <v>0.7</v>
      </c>
      <c r="M272" s="4">
        <v>61.65</v>
      </c>
      <c r="N272" s="5">
        <v>20.57</v>
      </c>
      <c r="Q272" s="1">
        <f t="shared" si="12"/>
        <v>42.735042735042732</v>
      </c>
      <c r="R272" t="str" cm="1">
        <f t="array" ref="R272">_xlfn.IFS(Q272&lt;42.7, "low",
Q272&lt;85.4,"medium low",
Q272&lt;128,"medium high",
Q272&gt;=128,"high"
)</f>
        <v>medium low</v>
      </c>
      <c r="S272" t="str" cm="1">
        <f t="array" ref="S272">_xlfn.IFS(J272&lt;700,"low",J272&lt;1600,"medium low",J272&lt;2200,"medium high",J272&gt;=2200,"high")</f>
        <v>medium low</v>
      </c>
      <c r="T272" t="str" cm="1">
        <f t="array" ref="T272">_xlfn.IFS(
J272&lt;630,"Low",
J272&lt;1287,"Medium",
J272&lt;1495,"Intermediate",
J272&lt;1668,"Moderately",
J272&lt;1843,"Transition",
J272&lt;2477,"High",
J272&lt;2996,"Refractory I",
TRUE,"Refractory II"
)</f>
        <v>Intermediate</v>
      </c>
      <c r="U272">
        <f t="shared" si="13"/>
        <v>0.33365774533657744</v>
      </c>
      <c r="V272" t="str" cm="1">
        <f t="array" ref="V272">_xlfn.IFS(U272&lt;0.25,"shallow condution",
U272&lt;0.5,"transition",
U272&lt;1,"conduction",
U272&lt;1.5,"transition",U272&lt;3,"keyholeⅠ",3&lt;=U272,"keyhole Ⅱ"
)</f>
        <v>transition</v>
      </c>
      <c r="X272">
        <f t="shared" si="14"/>
        <v>2.9970831307729702</v>
      </c>
    </row>
    <row r="273" spans="1:24">
      <c r="A273" s="2" t="s">
        <v>50</v>
      </c>
      <c r="B273" s="4">
        <v>150</v>
      </c>
      <c r="C273" s="4">
        <v>600</v>
      </c>
      <c r="D273" s="4">
        <v>8.9079999999999995</v>
      </c>
      <c r="E273" s="4">
        <v>17.2</v>
      </c>
      <c r="F273" s="4">
        <v>370.4</v>
      </c>
      <c r="G273" s="16" t="s">
        <v>92</v>
      </c>
      <c r="H273" s="4">
        <v>0.44400000000000001</v>
      </c>
      <c r="I273" s="4">
        <v>90.9</v>
      </c>
      <c r="J273" s="4">
        <v>1455</v>
      </c>
      <c r="K273" s="4">
        <v>2913</v>
      </c>
      <c r="L273" s="4">
        <v>0.7</v>
      </c>
      <c r="M273" s="4">
        <v>87.23</v>
      </c>
      <c r="N273" s="5">
        <v>28.98</v>
      </c>
      <c r="Q273" s="1">
        <f t="shared" si="12"/>
        <v>64.102564102564102</v>
      </c>
      <c r="R273" t="str" cm="1">
        <f t="array" ref="R273">_xlfn.IFS(Q273&lt;42.7, "low",
Q273&lt;85.4,"medium low",
Q273&lt;128,"medium high",
Q273&gt;=128,"high"
)</f>
        <v>medium low</v>
      </c>
      <c r="S273" t="str" cm="1">
        <f t="array" ref="S273">_xlfn.IFS(J273&lt;700,"low",J273&lt;1600,"medium low",J273&lt;2200,"medium high",J273&gt;=2200,"high")</f>
        <v>medium low</v>
      </c>
      <c r="T273" t="str" cm="1">
        <f t="array" ref="T273">_xlfn.IFS(
J273&lt;630,"Low",
J273&lt;1287,"Medium",
J273&lt;1495,"Intermediate",
J273&lt;1668,"Moderately",
J273&lt;1843,"Transition",
J273&lt;2477,"High",
J273&lt;2996,"Refractory I",
TRUE,"Refractory II"
)</f>
        <v>Intermediate</v>
      </c>
      <c r="U273">
        <f t="shared" si="13"/>
        <v>0.33222515189728302</v>
      </c>
      <c r="V273" t="str" cm="1">
        <f t="array" ref="V273">_xlfn.IFS(U273&lt;0.25,"shallow condution",
U273&lt;0.5,"transition",
U273&lt;1,"conduction",
U273&lt;1.5,"transition",U273&lt;3,"keyholeⅠ",3&lt;=U273,"keyhole Ⅱ"
)</f>
        <v>transition</v>
      </c>
      <c r="X273">
        <f t="shared" si="14"/>
        <v>3.0100069013112494</v>
      </c>
    </row>
    <row r="274" spans="1:24">
      <c r="A274" s="2" t="s">
        <v>50</v>
      </c>
      <c r="B274" s="4">
        <v>200</v>
      </c>
      <c r="C274" s="4">
        <v>600</v>
      </c>
      <c r="D274" s="4">
        <v>8.9079999999999995</v>
      </c>
      <c r="E274" s="4">
        <v>17.2</v>
      </c>
      <c r="F274" s="4">
        <v>370.4</v>
      </c>
      <c r="G274" s="16" t="s">
        <v>92</v>
      </c>
      <c r="H274" s="4">
        <v>0.44400000000000001</v>
      </c>
      <c r="I274" s="4">
        <v>90.9</v>
      </c>
      <c r="J274" s="4">
        <v>1455</v>
      </c>
      <c r="K274" s="4">
        <v>2913</v>
      </c>
      <c r="L274" s="4">
        <v>0.7</v>
      </c>
      <c r="M274" s="4">
        <v>101.72</v>
      </c>
      <c r="N274" s="5">
        <v>31.06</v>
      </c>
      <c r="Q274" s="1">
        <f t="shared" si="12"/>
        <v>85.470085470085465</v>
      </c>
      <c r="R274" t="str" cm="1">
        <f t="array" ref="R274">_xlfn.IFS(Q274&lt;42.7, "low",
Q274&lt;85.4,"medium low",
Q274&lt;128,"medium high",
Q274&gt;=128,"high"
)</f>
        <v>medium high</v>
      </c>
      <c r="S274" t="str" cm="1">
        <f t="array" ref="S274">_xlfn.IFS(J274&lt;700,"low",J274&lt;1600,"medium low",J274&lt;2200,"medium high",J274&gt;=2200,"high")</f>
        <v>medium low</v>
      </c>
      <c r="T274" t="str" cm="1">
        <f t="array" ref="T274">_xlfn.IFS(
J274&lt;630,"Low",
J274&lt;1287,"Medium",
J274&lt;1495,"Intermediate",
J274&lt;1668,"Moderately",
J274&lt;1843,"Transition",
J274&lt;2477,"High",
J274&lt;2996,"Refractory I",
TRUE,"Refractory II"
)</f>
        <v>Intermediate</v>
      </c>
      <c r="U274">
        <f t="shared" si="13"/>
        <v>0.30534801415650803</v>
      </c>
      <c r="V274" t="str" cm="1">
        <f t="array" ref="V274">_xlfn.IFS(U274&lt;0.25,"shallow condution",
U274&lt;0.5,"transition",
U274&lt;1,"conduction",
U274&lt;1.5,"transition",U274&lt;3,"keyholeⅠ",3&lt;=U274,"keyhole Ⅱ"
)</f>
        <v>transition</v>
      </c>
      <c r="X274">
        <f t="shared" si="14"/>
        <v>3.2749517063747584</v>
      </c>
    </row>
    <row r="275" spans="1:24">
      <c r="A275" s="2" t="s">
        <v>50</v>
      </c>
      <c r="B275" s="4">
        <v>250</v>
      </c>
      <c r="C275" s="4">
        <v>600</v>
      </c>
      <c r="D275" s="4">
        <v>8.9079999999999995</v>
      </c>
      <c r="E275" s="4">
        <v>17.2</v>
      </c>
      <c r="F275" s="4">
        <v>370.4</v>
      </c>
      <c r="G275" s="16" t="s">
        <v>92</v>
      </c>
      <c r="H275" s="4">
        <v>0.44400000000000001</v>
      </c>
      <c r="I275" s="4">
        <v>90.9</v>
      </c>
      <c r="J275" s="4">
        <v>1455</v>
      </c>
      <c r="K275" s="4">
        <v>2913</v>
      </c>
      <c r="L275" s="4">
        <v>0.7</v>
      </c>
      <c r="M275" s="4">
        <v>157.75</v>
      </c>
      <c r="N275" s="5">
        <v>67.22</v>
      </c>
      <c r="Q275" s="1">
        <f t="shared" si="12"/>
        <v>106.83760683760684</v>
      </c>
      <c r="R275" t="str" cm="1">
        <f t="array" ref="R275">_xlfn.IFS(Q275&lt;42.7, "low",
Q275&lt;85.4,"medium low",
Q275&lt;128,"medium high",
Q275&gt;=128,"high"
)</f>
        <v>medium high</v>
      </c>
      <c r="S275" t="str" cm="1">
        <f t="array" ref="S275">_xlfn.IFS(J275&lt;700,"low",J275&lt;1600,"medium low",J275&lt;2200,"medium high",J275&gt;=2200,"high")</f>
        <v>medium low</v>
      </c>
      <c r="T275" t="str" cm="1">
        <f t="array" ref="T275">_xlfn.IFS(
J275&lt;630,"Low",
J275&lt;1287,"Medium",
J275&lt;1495,"Intermediate",
J275&lt;1668,"Moderately",
J275&lt;1843,"Transition",
J275&lt;2477,"High",
J275&lt;2996,"Refractory I",
TRUE,"Refractory II"
)</f>
        <v>Intermediate</v>
      </c>
      <c r="U275">
        <f t="shared" si="13"/>
        <v>0.42611727416798734</v>
      </c>
      <c r="V275" t="str" cm="1">
        <f t="array" ref="V275">_xlfn.IFS(U275&lt;0.25,"shallow condution",
U275&lt;0.5,"transition",
U275&lt;1,"conduction",
U275&lt;1.5,"transition",U275&lt;3,"keyholeⅠ",3&lt;=U275,"keyhole Ⅱ"
)</f>
        <v>transition</v>
      </c>
      <c r="X275">
        <f t="shared" si="14"/>
        <v>2.3467717941088964</v>
      </c>
    </row>
    <row r="276" spans="1:24">
      <c r="A276" s="2" t="s">
        <v>50</v>
      </c>
      <c r="B276" s="4">
        <v>300</v>
      </c>
      <c r="C276" s="4">
        <v>600</v>
      </c>
      <c r="D276" s="4">
        <v>8.9079999999999995</v>
      </c>
      <c r="E276" s="4">
        <v>17.2</v>
      </c>
      <c r="F276" s="4">
        <v>370.4</v>
      </c>
      <c r="G276" s="16" t="s">
        <v>92</v>
      </c>
      <c r="H276" s="4">
        <v>0.44400000000000001</v>
      </c>
      <c r="I276" s="4">
        <v>90.9</v>
      </c>
      <c r="J276" s="4">
        <v>1455</v>
      </c>
      <c r="K276" s="4">
        <v>2913</v>
      </c>
      <c r="L276" s="4">
        <v>0.7</v>
      </c>
      <c r="M276" s="4">
        <v>160</v>
      </c>
      <c r="N276" s="5">
        <v>122.92</v>
      </c>
      <c r="Q276" s="1">
        <f t="shared" si="12"/>
        <v>128.2051282051282</v>
      </c>
      <c r="R276" t="str" cm="1">
        <f t="array" ref="R276">_xlfn.IFS(Q276&lt;42.7, "low",
Q276&lt;85.4,"medium low",
Q276&lt;128,"medium high",
Q276&gt;=128,"high"
)</f>
        <v>high</v>
      </c>
      <c r="S276" t="str" cm="1">
        <f t="array" ref="S276">_xlfn.IFS(J276&lt;700,"low",J276&lt;1600,"medium low",J276&lt;2200,"medium high",J276&gt;=2200,"high")</f>
        <v>medium low</v>
      </c>
      <c r="T276" t="str" cm="1">
        <f t="array" ref="T276">_xlfn.IFS(
J276&lt;630,"Low",
J276&lt;1287,"Medium",
J276&lt;1495,"Intermediate",
J276&lt;1668,"Moderately",
J276&lt;1843,"Transition",
J276&lt;2477,"High",
J276&lt;2996,"Refractory I",
TRUE,"Refractory II"
)</f>
        <v>Intermediate</v>
      </c>
      <c r="U276">
        <f t="shared" si="13"/>
        <v>0.76824999999999999</v>
      </c>
      <c r="V276" t="str" cm="1">
        <f t="array" ref="V276">_xlfn.IFS(U276&lt;0.25,"shallow condution",
U276&lt;0.5,"transition",
U276&lt;1,"conduction",
U276&lt;1.5,"transition",U276&lt;3,"keyholeⅠ",3&lt;=U276,"keyhole Ⅱ"
)</f>
        <v>conduction</v>
      </c>
      <c r="X276">
        <f t="shared" si="14"/>
        <v>1.3016596160104132</v>
      </c>
    </row>
    <row r="277" spans="1:24">
      <c r="A277" s="2" t="s">
        <v>50</v>
      </c>
      <c r="B277" s="4">
        <v>100</v>
      </c>
      <c r="C277" s="4">
        <v>900</v>
      </c>
      <c r="D277" s="4">
        <v>8.9079999999999995</v>
      </c>
      <c r="E277" s="4">
        <v>17.2</v>
      </c>
      <c r="F277" s="4">
        <v>370.4</v>
      </c>
      <c r="G277" s="16" t="s">
        <v>92</v>
      </c>
      <c r="H277" s="4">
        <v>0.44400000000000001</v>
      </c>
      <c r="I277" s="4">
        <v>90.9</v>
      </c>
      <c r="J277" s="4">
        <v>1455</v>
      </c>
      <c r="K277" s="4">
        <v>2913</v>
      </c>
      <c r="L277" s="4">
        <v>0.7</v>
      </c>
      <c r="M277" s="4">
        <v>42.64</v>
      </c>
      <c r="N277" s="5">
        <v>14.49</v>
      </c>
      <c r="Q277" s="1">
        <f t="shared" si="12"/>
        <v>28.490028490028489</v>
      </c>
      <c r="R277" t="str" cm="1">
        <f t="array" ref="R277">_xlfn.IFS(Q277&lt;42.7, "low",
Q277&lt;85.4,"medium low",
Q277&lt;128,"medium high",
Q277&gt;=128,"high"
)</f>
        <v>low</v>
      </c>
      <c r="S277" t="str" cm="1">
        <f t="array" ref="S277">_xlfn.IFS(J277&lt;700,"low",J277&lt;1600,"medium low",J277&lt;2200,"medium high",J277&gt;=2200,"high")</f>
        <v>medium low</v>
      </c>
      <c r="T277" t="str" cm="1">
        <f t="array" ref="T277">_xlfn.IFS(
J277&lt;630,"Low",
J277&lt;1287,"Medium",
J277&lt;1495,"Intermediate",
J277&lt;1668,"Moderately",
J277&lt;1843,"Transition",
J277&lt;2477,"High",
J277&lt;2996,"Refractory I",
TRUE,"Refractory II"
)</f>
        <v>Intermediate</v>
      </c>
      <c r="U277">
        <f t="shared" si="13"/>
        <v>0.33982176360225141</v>
      </c>
      <c r="V277" t="str" cm="1">
        <f t="array" ref="V277">_xlfn.IFS(U277&lt;0.25,"shallow condution",
U277&lt;0.5,"transition",
U277&lt;1,"conduction",
U277&lt;1.5,"transition",U277&lt;3,"keyholeⅠ",3&lt;=U277,"keyhole Ⅱ"
)</f>
        <v>transition</v>
      </c>
      <c r="X277">
        <f t="shared" si="14"/>
        <v>2.9427191166321602</v>
      </c>
    </row>
    <row r="278" spans="1:24">
      <c r="A278" s="2" t="s">
        <v>50</v>
      </c>
      <c r="B278" s="4">
        <v>150</v>
      </c>
      <c r="C278" s="4">
        <v>900</v>
      </c>
      <c r="D278" s="4">
        <v>8.9079999999999995</v>
      </c>
      <c r="E278" s="4">
        <v>17.2</v>
      </c>
      <c r="F278" s="4">
        <v>370.4</v>
      </c>
      <c r="G278" s="16" t="s">
        <v>92</v>
      </c>
      <c r="H278" s="4">
        <v>0.44400000000000001</v>
      </c>
      <c r="I278" s="4">
        <v>90.9</v>
      </c>
      <c r="J278" s="4">
        <v>1455</v>
      </c>
      <c r="K278" s="4">
        <v>2913</v>
      </c>
      <c r="L278" s="4">
        <v>0.7</v>
      </c>
      <c r="M278" s="4">
        <v>65.45</v>
      </c>
      <c r="N278" s="5">
        <v>16.54</v>
      </c>
      <c r="Q278" s="1">
        <f t="shared" si="12"/>
        <v>42.735042735042732</v>
      </c>
      <c r="R278" t="str" cm="1">
        <f t="array" ref="R278">_xlfn.IFS(Q278&lt;42.7, "low",
Q278&lt;85.4,"medium low",
Q278&lt;128,"medium high",
Q278&gt;=128,"high"
)</f>
        <v>medium low</v>
      </c>
      <c r="S278" t="str" cm="1">
        <f t="array" ref="S278">_xlfn.IFS(J278&lt;700,"low",J278&lt;1600,"medium low",J278&lt;2200,"medium high",J278&gt;=2200,"high")</f>
        <v>medium low</v>
      </c>
      <c r="T278" t="str" cm="1">
        <f t="array" ref="T278">_xlfn.IFS(
J278&lt;630,"Low",
J278&lt;1287,"Medium",
J278&lt;1495,"Intermediate",
J278&lt;1668,"Moderately",
J278&lt;1843,"Transition",
J278&lt;2477,"High",
J278&lt;2996,"Refractory I",
TRUE,"Refractory II"
)</f>
        <v>Intermediate</v>
      </c>
      <c r="U278">
        <f t="shared" si="13"/>
        <v>0.25271199388846444</v>
      </c>
      <c r="V278" t="str" cm="1">
        <f t="array" ref="V278">_xlfn.IFS(U278&lt;0.25,"shallow condution",
U278&lt;0.5,"transition",
U278&lt;1,"conduction",
U278&lt;1.5,"transition",U278&lt;3,"keyholeⅠ",3&lt;=U278,"keyhole Ⅱ"
)</f>
        <v>transition</v>
      </c>
      <c r="X278">
        <f t="shared" si="14"/>
        <v>3.9570737605804114</v>
      </c>
    </row>
    <row r="279" spans="1:24">
      <c r="A279" s="2" t="s">
        <v>50</v>
      </c>
      <c r="B279" s="4">
        <v>200</v>
      </c>
      <c r="C279" s="4">
        <v>900</v>
      </c>
      <c r="D279" s="4">
        <v>8.9079999999999995</v>
      </c>
      <c r="E279" s="4">
        <v>17.2</v>
      </c>
      <c r="F279" s="4">
        <v>370.4</v>
      </c>
      <c r="G279" s="16" t="s">
        <v>92</v>
      </c>
      <c r="H279" s="4">
        <v>0.44400000000000001</v>
      </c>
      <c r="I279" s="4">
        <v>90.9</v>
      </c>
      <c r="J279" s="4">
        <v>1455</v>
      </c>
      <c r="K279" s="4">
        <v>2913</v>
      </c>
      <c r="L279" s="4">
        <v>0.7</v>
      </c>
      <c r="M279" s="4">
        <v>83</v>
      </c>
      <c r="N279" s="5">
        <v>20.34</v>
      </c>
      <c r="Q279" s="1">
        <f t="shared" si="12"/>
        <v>56.980056980056979</v>
      </c>
      <c r="R279" t="str" cm="1">
        <f t="array" ref="R279">_xlfn.IFS(Q279&lt;42.7, "low",
Q279&lt;85.4,"medium low",
Q279&lt;128,"medium high",
Q279&gt;=128,"high"
)</f>
        <v>medium low</v>
      </c>
      <c r="S279" t="str" cm="1">
        <f t="array" ref="S279">_xlfn.IFS(J279&lt;700,"low",J279&lt;1600,"medium low",J279&lt;2200,"medium high",J279&gt;=2200,"high")</f>
        <v>medium low</v>
      </c>
      <c r="T279" t="str" cm="1">
        <f t="array" ref="T279">_xlfn.IFS(
J279&lt;630,"Low",
J279&lt;1287,"Medium",
J279&lt;1495,"Intermediate",
J279&lt;1668,"Moderately",
J279&lt;1843,"Transition",
J279&lt;2477,"High",
J279&lt;2996,"Refractory I",
TRUE,"Refractory II"
)</f>
        <v>Intermediate</v>
      </c>
      <c r="U279">
        <f t="shared" si="13"/>
        <v>0.24506024096385542</v>
      </c>
      <c r="V279" t="str" cm="1">
        <f t="array" ref="V279">_xlfn.IFS(U279&lt;0.25,"shallow condution",
U279&lt;0.5,"transition",
U279&lt;1,"conduction",
U279&lt;1.5,"transition",U279&lt;3,"keyholeⅠ",3&lt;=U279,"keyhole Ⅱ"
)</f>
        <v>shallow condution</v>
      </c>
      <c r="X279">
        <f t="shared" si="14"/>
        <v>4.0806293018682398</v>
      </c>
    </row>
    <row r="280" spans="1:24">
      <c r="A280" s="2" t="s">
        <v>50</v>
      </c>
      <c r="B280" s="4">
        <v>250</v>
      </c>
      <c r="C280" s="4">
        <v>900</v>
      </c>
      <c r="D280" s="4">
        <v>8.9079999999999995</v>
      </c>
      <c r="E280" s="4">
        <v>17.2</v>
      </c>
      <c r="F280" s="4">
        <v>370.4</v>
      </c>
      <c r="G280" s="16" t="s">
        <v>92</v>
      </c>
      <c r="H280" s="4">
        <v>0.44400000000000001</v>
      </c>
      <c r="I280" s="4">
        <v>90.9</v>
      </c>
      <c r="J280" s="4">
        <v>1455</v>
      </c>
      <c r="K280" s="4">
        <v>2913</v>
      </c>
      <c r="L280" s="4">
        <v>0.7</v>
      </c>
      <c r="M280" s="4">
        <v>100.56</v>
      </c>
      <c r="N280" s="5">
        <v>51.35</v>
      </c>
      <c r="Q280" s="1">
        <f t="shared" si="12"/>
        <v>71.225071225071218</v>
      </c>
      <c r="R280" t="str" cm="1">
        <f t="array" ref="R280">_xlfn.IFS(Q280&lt;42.7, "low",
Q280&lt;85.4,"medium low",
Q280&lt;128,"medium high",
Q280&gt;=128,"high"
)</f>
        <v>medium low</v>
      </c>
      <c r="S280" t="str" cm="1">
        <f t="array" ref="S280">_xlfn.IFS(J280&lt;700,"low",J280&lt;1600,"medium low",J280&lt;2200,"medium high",J280&gt;=2200,"high")</f>
        <v>medium low</v>
      </c>
      <c r="T280" t="str" cm="1">
        <f t="array" ref="T280">_xlfn.IFS(
J280&lt;630,"Low",
J280&lt;1287,"Medium",
J280&lt;1495,"Intermediate",
J280&lt;1668,"Moderately",
J280&lt;1843,"Transition",
J280&lt;2477,"High",
J280&lt;2996,"Refractory I",
TRUE,"Refractory II"
)</f>
        <v>Intermediate</v>
      </c>
      <c r="U280">
        <f t="shared" si="13"/>
        <v>0.5106404136833731</v>
      </c>
      <c r="V280" t="str" cm="1">
        <f t="array" ref="V280">_xlfn.IFS(U280&lt;0.25,"shallow condution",
U280&lt;0.5,"transition",
U280&lt;1,"conduction",
U280&lt;1.5,"transition",U280&lt;3,"keyholeⅠ",3&lt;=U280,"keyhole Ⅱ"
)</f>
        <v>conduction</v>
      </c>
      <c r="X280">
        <f t="shared" si="14"/>
        <v>1.9583252190847127</v>
      </c>
    </row>
    <row r="281" spans="1:24" ht="14.45" thickBot="1">
      <c r="A281" s="3" t="s">
        <v>50</v>
      </c>
      <c r="B281" s="7">
        <v>300</v>
      </c>
      <c r="C281" s="7">
        <v>900</v>
      </c>
      <c r="D281" s="7">
        <v>8.9079999999999995</v>
      </c>
      <c r="E281" s="7">
        <v>17.2</v>
      </c>
      <c r="F281" s="7">
        <v>370.4</v>
      </c>
      <c r="G281" s="16" t="s">
        <v>92</v>
      </c>
      <c r="H281" s="7">
        <v>0.44400000000000001</v>
      </c>
      <c r="I281" s="7">
        <v>90.9</v>
      </c>
      <c r="J281" s="7">
        <v>1455</v>
      </c>
      <c r="K281" s="7">
        <v>2913</v>
      </c>
      <c r="L281" s="7">
        <v>0.7</v>
      </c>
      <c r="M281" s="7">
        <v>113.31</v>
      </c>
      <c r="N281" s="15">
        <v>71.31</v>
      </c>
      <c r="Q281" s="1">
        <f t="shared" si="12"/>
        <v>85.470085470085465</v>
      </c>
      <c r="R281" t="str" cm="1">
        <f t="array" ref="R281">_xlfn.IFS(Q281&lt;42.7, "low",
Q281&lt;85.4,"medium low",
Q281&lt;128,"medium high",
Q281&gt;=128,"high"
)</f>
        <v>medium high</v>
      </c>
      <c r="S281" t="str" cm="1">
        <f t="array" ref="S281">_xlfn.IFS(J281&lt;700,"low",J281&lt;1600,"medium low",J281&lt;2200,"medium high",J281&gt;=2200,"high")</f>
        <v>medium low</v>
      </c>
      <c r="T281" t="str" cm="1">
        <f t="array" ref="T281">_xlfn.IFS(
J281&lt;630,"Low",
J281&lt;1287,"Medium",
J281&lt;1495,"Intermediate",
J281&lt;1668,"Moderately",
J281&lt;1843,"Transition",
J281&lt;2477,"High",
J281&lt;2996,"Refractory I",
TRUE,"Refractory II"
)</f>
        <v>Intermediate</v>
      </c>
      <c r="U281">
        <f t="shared" si="13"/>
        <v>0.62933545141646807</v>
      </c>
      <c r="V281" t="str" cm="1">
        <f t="array" ref="V281">_xlfn.IFS(U281&lt;0.25,"shallow condution",
U281&lt;0.5,"transition",
U281&lt;1,"conduction",
U281&lt;1.5,"transition",U281&lt;3,"keyholeⅠ",3&lt;=U281,"keyhole Ⅱ"
)</f>
        <v>conduction</v>
      </c>
      <c r="X281">
        <f t="shared" si="14"/>
        <v>1.5889777029869583</v>
      </c>
    </row>
    <row r="282" spans="1:24">
      <c r="A282" s="19" t="s">
        <v>51</v>
      </c>
      <c r="B282" s="16">
        <v>200</v>
      </c>
      <c r="C282" s="16">
        <v>200</v>
      </c>
      <c r="D282" s="16">
        <v>4.47</v>
      </c>
      <c r="E282" s="16">
        <v>11.4</v>
      </c>
      <c r="F282" s="16">
        <v>365</v>
      </c>
      <c r="G282" s="16" t="s">
        <v>93</v>
      </c>
      <c r="H282" s="16">
        <v>0.29799999999999999</v>
      </c>
      <c r="I282" s="16">
        <v>17.2</v>
      </c>
      <c r="J282" s="16">
        <v>1526</v>
      </c>
      <c r="K282" s="16">
        <v>3338</v>
      </c>
      <c r="L282" s="16">
        <v>0.65</v>
      </c>
      <c r="M282" s="16">
        <v>387.99</v>
      </c>
      <c r="N282" s="17">
        <v>1274.98</v>
      </c>
      <c r="Q282" s="1">
        <f t="shared" si="12"/>
        <v>256.41025641025641</v>
      </c>
      <c r="R282" t="str" cm="1">
        <f t="array" ref="R282">_xlfn.IFS(Q282&lt;42.7, "low",
Q282&lt;85.4,"medium low",
Q282&lt;128,"medium high",
Q282&gt;=128,"high"
)</f>
        <v>high</v>
      </c>
      <c r="S282" t="str" cm="1">
        <f t="array" ref="S282">_xlfn.IFS(J282&lt;700,"low",J282&lt;1600,"medium low",J282&lt;2200,"medium high",J282&gt;=2200,"high")</f>
        <v>medium low</v>
      </c>
      <c r="T282" t="str" cm="1">
        <f t="array" ref="T282">_xlfn.IFS(
J282&lt;630,"Low",
J282&lt;1287,"Medium",
J282&lt;1495,"Intermediate",
J282&lt;1668,"Moderately",
J282&lt;1843,"Transition",
J282&lt;2477,"High",
J282&lt;2996,"Refractory I",
TRUE,"Refractory II"
)</f>
        <v>Moderately</v>
      </c>
      <c r="U282">
        <f t="shared" si="13"/>
        <v>3.2861156215366374</v>
      </c>
      <c r="V282" t="str" cm="1">
        <f t="array" ref="V282">_xlfn.IFS(U282&lt;0.25,"shallow condution",
U282&lt;0.5,"transition",
U282&lt;1,"conduction",
U282&lt;1.5,"transition",U282&lt;3,"keyholeⅠ",3&lt;=U282,"keyhole Ⅱ"
)</f>
        <v>keyhole Ⅱ</v>
      </c>
      <c r="X282">
        <f t="shared" si="14"/>
        <v>0.30431065585342515</v>
      </c>
    </row>
    <row r="283" spans="1:24">
      <c r="A283" s="2" t="s">
        <v>51</v>
      </c>
      <c r="B283" s="4">
        <v>200</v>
      </c>
      <c r="C283" s="4">
        <v>400</v>
      </c>
      <c r="D283" s="4">
        <v>4.47</v>
      </c>
      <c r="E283" s="4">
        <v>11.4</v>
      </c>
      <c r="F283" s="4">
        <v>365</v>
      </c>
      <c r="G283" s="16" t="s">
        <v>93</v>
      </c>
      <c r="H283" s="4">
        <v>0.29799999999999999</v>
      </c>
      <c r="I283" s="4">
        <v>17.2</v>
      </c>
      <c r="J283" s="4">
        <v>1526</v>
      </c>
      <c r="K283" s="4">
        <v>3338</v>
      </c>
      <c r="L283" s="4">
        <v>0.65</v>
      </c>
      <c r="M283" s="4">
        <v>301.12</v>
      </c>
      <c r="N283" s="5">
        <v>905.41</v>
      </c>
      <c r="Q283" s="1">
        <f t="shared" si="12"/>
        <v>128.2051282051282</v>
      </c>
      <c r="R283" t="str" cm="1">
        <f t="array" ref="R283">_xlfn.IFS(Q283&lt;42.7, "low",
Q283&lt;85.4,"medium low",
Q283&lt;128,"medium high",
Q283&gt;=128,"high"
)</f>
        <v>high</v>
      </c>
      <c r="S283" t="str" cm="1">
        <f t="array" ref="S283">_xlfn.IFS(J283&lt;700,"low",J283&lt;1600,"medium low",J283&lt;2200,"medium high",J283&gt;=2200,"high")</f>
        <v>medium low</v>
      </c>
      <c r="T283" t="str" cm="1">
        <f t="array" ref="T283">_xlfn.IFS(
J283&lt;630,"Low",
J283&lt;1287,"Medium",
J283&lt;1495,"Intermediate",
J283&lt;1668,"Moderately",
J283&lt;1843,"Transition",
J283&lt;2477,"High",
J283&lt;2996,"Refractory I",
TRUE,"Refractory II"
)</f>
        <v>Moderately</v>
      </c>
      <c r="U283">
        <f t="shared" si="13"/>
        <v>3.0068079171094579</v>
      </c>
      <c r="V283" t="str" cm="1">
        <f t="array" ref="V283">_xlfn.IFS(U283&lt;0.25,"shallow condution",
U283&lt;0.5,"transition",
U283&lt;1,"conduction",
U283&lt;1.5,"transition",U283&lt;3,"keyholeⅠ",3&lt;=U283,"keyhole Ⅱ"
)</f>
        <v>keyhole Ⅱ</v>
      </c>
      <c r="X283">
        <f t="shared" si="14"/>
        <v>0.33257861079510942</v>
      </c>
    </row>
    <row r="284" spans="1:24">
      <c r="A284" s="2" t="s">
        <v>51</v>
      </c>
      <c r="B284" s="4">
        <v>200</v>
      </c>
      <c r="C284" s="4">
        <v>600</v>
      </c>
      <c r="D284" s="4">
        <v>4.47</v>
      </c>
      <c r="E284" s="4">
        <v>11.4</v>
      </c>
      <c r="F284" s="4">
        <v>365</v>
      </c>
      <c r="G284" s="16" t="s">
        <v>93</v>
      </c>
      <c r="H284" s="4">
        <v>0.29799999999999999</v>
      </c>
      <c r="I284" s="4">
        <v>17.2</v>
      </c>
      <c r="J284" s="4">
        <v>1526</v>
      </c>
      <c r="K284" s="4">
        <v>3338</v>
      </c>
      <c r="L284" s="4">
        <v>0.65</v>
      </c>
      <c r="M284" s="4">
        <v>189.17</v>
      </c>
      <c r="N284" s="5">
        <v>608.11</v>
      </c>
      <c r="Q284" s="1">
        <f t="shared" si="12"/>
        <v>85.470085470085465</v>
      </c>
      <c r="R284" t="str" cm="1">
        <f t="array" ref="R284">_xlfn.IFS(Q284&lt;42.7, "low",
Q284&lt;85.4,"medium low",
Q284&lt;128,"medium high",
Q284&gt;=128,"high"
)</f>
        <v>medium high</v>
      </c>
      <c r="S284" t="str" cm="1">
        <f t="array" ref="S284">_xlfn.IFS(J284&lt;700,"low",J284&lt;1600,"medium low",J284&lt;2200,"medium high",J284&gt;=2200,"high")</f>
        <v>medium low</v>
      </c>
      <c r="T284" t="str" cm="1">
        <f t="array" ref="T284">_xlfn.IFS(
J284&lt;630,"Low",
J284&lt;1287,"Medium",
J284&lt;1495,"Intermediate",
J284&lt;1668,"Moderately",
J284&lt;1843,"Transition",
J284&lt;2477,"High",
J284&lt;2996,"Refractory I",
TRUE,"Refractory II"
)</f>
        <v>Moderately</v>
      </c>
      <c r="U284">
        <f t="shared" si="13"/>
        <v>3.2146217687794052</v>
      </c>
      <c r="V284" t="str" cm="1">
        <f t="array" ref="V284">_xlfn.IFS(U284&lt;0.25,"shallow condution",
U284&lt;0.5,"transition",
U284&lt;1,"conduction",
U284&lt;1.5,"transition",U284&lt;3,"keyholeⅠ",3&lt;=U284,"keyhole Ⅱ"
)</f>
        <v>keyhole Ⅱ</v>
      </c>
      <c r="X284">
        <f t="shared" si="14"/>
        <v>0.31107858775550473</v>
      </c>
    </row>
    <row r="285" spans="1:24">
      <c r="A285" s="2" t="s">
        <v>51</v>
      </c>
      <c r="B285" s="4">
        <v>200</v>
      </c>
      <c r="C285" s="4">
        <v>800</v>
      </c>
      <c r="D285" s="4">
        <v>4.47</v>
      </c>
      <c r="E285" s="4">
        <v>11.4</v>
      </c>
      <c r="F285" s="4">
        <v>365</v>
      </c>
      <c r="G285" s="16" t="s">
        <v>93</v>
      </c>
      <c r="H285" s="4">
        <v>0.29799999999999999</v>
      </c>
      <c r="I285" s="4">
        <v>17.2</v>
      </c>
      <c r="J285" s="4">
        <v>1526</v>
      </c>
      <c r="K285" s="4">
        <v>3338</v>
      </c>
      <c r="L285" s="4">
        <v>0.65</v>
      </c>
      <c r="M285" s="4">
        <v>164.34</v>
      </c>
      <c r="N285" s="5">
        <v>363.45</v>
      </c>
      <c r="Q285" s="1">
        <f t="shared" si="12"/>
        <v>64.102564102564102</v>
      </c>
      <c r="R285" t="str" cm="1">
        <f t="array" ref="R285">_xlfn.IFS(Q285&lt;42.7, "low",
Q285&lt;85.4,"medium low",
Q285&lt;128,"medium high",
Q285&gt;=128,"high"
)</f>
        <v>medium low</v>
      </c>
      <c r="S285" t="str" cm="1">
        <f t="array" ref="S285">_xlfn.IFS(J285&lt;700,"low",J285&lt;1600,"medium low",J285&lt;2200,"medium high",J285&gt;=2200,"high")</f>
        <v>medium low</v>
      </c>
      <c r="T285" t="str" cm="1">
        <f t="array" ref="T285">_xlfn.IFS(
J285&lt;630,"Low",
J285&lt;1287,"Medium",
J285&lt;1495,"Intermediate",
J285&lt;1668,"Moderately",
J285&lt;1843,"Transition",
J285&lt;2477,"High",
J285&lt;2996,"Refractory I",
TRUE,"Refractory II"
)</f>
        <v>Moderately</v>
      </c>
      <c r="U285">
        <f t="shared" si="13"/>
        <v>2.2115735669952534</v>
      </c>
      <c r="V285" t="str" cm="1">
        <f t="array" ref="V285">_xlfn.IFS(U285&lt;0.25,"shallow condution",
U285&lt;0.5,"transition",
U285&lt;1,"conduction",
U285&lt;1.5,"transition",U285&lt;3,"keyholeⅠ",3&lt;=U285,"keyhole Ⅱ"
)</f>
        <v>keyholeⅠ</v>
      </c>
      <c r="X285">
        <f t="shared" si="14"/>
        <v>0.45216673545191916</v>
      </c>
    </row>
    <row r="286" spans="1:24">
      <c r="A286" s="2" t="s">
        <v>51</v>
      </c>
      <c r="B286" s="4">
        <v>200</v>
      </c>
      <c r="C286" s="4">
        <v>1200</v>
      </c>
      <c r="D286" s="4">
        <v>4.47</v>
      </c>
      <c r="E286" s="4">
        <v>11.4</v>
      </c>
      <c r="F286" s="4">
        <v>365</v>
      </c>
      <c r="G286" s="16" t="s">
        <v>93</v>
      </c>
      <c r="H286" s="4">
        <v>0.29799999999999999</v>
      </c>
      <c r="I286" s="4">
        <v>17.2</v>
      </c>
      <c r="J286" s="4">
        <v>1526</v>
      </c>
      <c r="K286" s="4">
        <v>3338</v>
      </c>
      <c r="L286" s="4">
        <v>0.65</v>
      </c>
      <c r="M286" s="4">
        <v>138.02000000000001</v>
      </c>
      <c r="N286" s="5">
        <v>308.08</v>
      </c>
      <c r="Q286" s="1">
        <f t="shared" si="12"/>
        <v>42.735042735042732</v>
      </c>
      <c r="R286" t="str" cm="1">
        <f t="array" ref="R286">_xlfn.IFS(Q286&lt;42.7, "low",
Q286&lt;85.4,"medium low",
Q286&lt;128,"medium high",
Q286&gt;=128,"high"
)</f>
        <v>medium low</v>
      </c>
      <c r="S286" t="str" cm="1">
        <f t="array" ref="S286">_xlfn.IFS(J286&lt;700,"low",J286&lt;1600,"medium low",J286&lt;2200,"medium high",J286&gt;=2200,"high")</f>
        <v>medium low</v>
      </c>
      <c r="T286" t="str" cm="1">
        <f t="array" ref="T286">_xlfn.IFS(
J286&lt;630,"Low",
J286&lt;1287,"Medium",
J286&lt;1495,"Intermediate",
J286&lt;1668,"Moderately",
J286&lt;1843,"Transition",
J286&lt;2477,"High",
J286&lt;2996,"Refractory I",
TRUE,"Refractory II"
)</f>
        <v>Moderately</v>
      </c>
      <c r="U286">
        <f t="shared" si="13"/>
        <v>2.2321402695261554</v>
      </c>
      <c r="V286" t="str" cm="1">
        <f t="array" ref="V286">_xlfn.IFS(U286&lt;0.25,"shallow condution",
U286&lt;0.5,"transition",
U286&lt;1,"conduction",
U286&lt;1.5,"transition",U286&lt;3,"keyholeⅠ",3&lt;=U286,"keyhole Ⅱ"
)</f>
        <v>keyholeⅠ</v>
      </c>
      <c r="X286">
        <f t="shared" si="14"/>
        <v>0.44800051934562457</v>
      </c>
    </row>
    <row r="287" spans="1:24">
      <c r="A287" s="2" t="s">
        <v>51</v>
      </c>
      <c r="B287" s="4">
        <v>200</v>
      </c>
      <c r="C287" s="4">
        <v>1600</v>
      </c>
      <c r="D287" s="4">
        <v>4.47</v>
      </c>
      <c r="E287" s="4">
        <v>11.4</v>
      </c>
      <c r="F287" s="4">
        <v>365</v>
      </c>
      <c r="G287" s="16" t="s">
        <v>93</v>
      </c>
      <c r="H287" s="4">
        <v>0.29799999999999999</v>
      </c>
      <c r="I287" s="4">
        <v>17.2</v>
      </c>
      <c r="J287" s="4">
        <v>1526</v>
      </c>
      <c r="K287" s="4">
        <v>3338</v>
      </c>
      <c r="L287" s="4">
        <v>0.65</v>
      </c>
      <c r="M287" s="4">
        <v>130.6</v>
      </c>
      <c r="N287" s="5">
        <v>186.57</v>
      </c>
      <c r="Q287" s="1">
        <f t="shared" si="12"/>
        <v>32.051282051282051</v>
      </c>
      <c r="R287" t="str" cm="1">
        <f t="array" ref="R287">_xlfn.IFS(Q287&lt;42.7, "low",
Q287&lt;85.4,"medium low",
Q287&lt;128,"medium high",
Q287&gt;=128,"high"
)</f>
        <v>low</v>
      </c>
      <c r="S287" t="str" cm="1">
        <f t="array" ref="S287">_xlfn.IFS(J287&lt;700,"low",J287&lt;1600,"medium low",J287&lt;2200,"medium high",J287&gt;=2200,"high")</f>
        <v>medium low</v>
      </c>
      <c r="T287" t="str" cm="1">
        <f t="array" ref="T287">_xlfn.IFS(
J287&lt;630,"Low",
J287&lt;1287,"Medium",
J287&lt;1495,"Intermediate",
J287&lt;1668,"Moderately",
J287&lt;1843,"Transition",
J287&lt;2477,"High",
J287&lt;2996,"Refractory I",
TRUE,"Refractory II"
)</f>
        <v>Moderately</v>
      </c>
      <c r="U287">
        <f t="shared" si="13"/>
        <v>1.4285604900459419</v>
      </c>
      <c r="V287" t="str" cm="1">
        <f t="array" ref="V287">_xlfn.IFS(U287&lt;0.25,"shallow condution",
U287&lt;0.5,"transition",
U287&lt;1,"conduction",
U287&lt;1.5,"transition",U287&lt;3,"keyholeⅠ",3&lt;=U287,"keyhole Ⅱ"
)</f>
        <v>transition</v>
      </c>
      <c r="X287">
        <f t="shared" si="14"/>
        <v>0.70000535991852919</v>
      </c>
    </row>
    <row r="288" spans="1:24">
      <c r="A288" s="2" t="s">
        <v>51</v>
      </c>
      <c r="B288" s="4">
        <v>200</v>
      </c>
      <c r="C288" s="4">
        <v>2000</v>
      </c>
      <c r="D288" s="4">
        <v>4.47</v>
      </c>
      <c r="E288" s="4">
        <v>11.4</v>
      </c>
      <c r="F288" s="4">
        <v>365</v>
      </c>
      <c r="G288" s="16" t="s">
        <v>93</v>
      </c>
      <c r="H288" s="4">
        <v>0.29799999999999999</v>
      </c>
      <c r="I288" s="4">
        <v>17.2</v>
      </c>
      <c r="J288" s="4">
        <v>1526</v>
      </c>
      <c r="K288" s="4">
        <v>3338</v>
      </c>
      <c r="L288" s="4">
        <v>0.65</v>
      </c>
      <c r="M288" s="4">
        <v>128.19</v>
      </c>
      <c r="N288" s="5">
        <v>105.85</v>
      </c>
      <c r="Q288" s="1">
        <f t="shared" si="12"/>
        <v>25.641025641025642</v>
      </c>
      <c r="R288" t="str" cm="1">
        <f t="array" ref="R288">_xlfn.IFS(Q288&lt;42.7, "low",
Q288&lt;85.4,"medium low",
Q288&lt;128,"medium high",
Q288&gt;=128,"high"
)</f>
        <v>low</v>
      </c>
      <c r="S288" t="str" cm="1">
        <f t="array" ref="S288">_xlfn.IFS(J288&lt;700,"low",J288&lt;1600,"medium low",J288&lt;2200,"medium high",J288&gt;=2200,"high")</f>
        <v>medium low</v>
      </c>
      <c r="T288" t="str" cm="1">
        <f t="array" ref="T288">_xlfn.IFS(
J288&lt;630,"Low",
J288&lt;1287,"Medium",
J288&lt;1495,"Intermediate",
J288&lt;1668,"Moderately",
J288&lt;1843,"Transition",
J288&lt;2477,"High",
J288&lt;2996,"Refractory I",
TRUE,"Refractory II"
)</f>
        <v>Moderately</v>
      </c>
      <c r="U288">
        <f t="shared" si="13"/>
        <v>0.8257274358374288</v>
      </c>
      <c r="V288" t="str" cm="1">
        <f t="array" ref="V288">_xlfn.IFS(U288&lt;0.25,"shallow condution",
U288&lt;0.5,"transition",
U288&lt;1,"conduction",
U288&lt;1.5,"transition",U288&lt;3,"keyholeⅠ",3&lt;=U288,"keyhole Ⅱ"
)</f>
        <v>conduction</v>
      </c>
      <c r="X288">
        <f t="shared" si="14"/>
        <v>1.2110533774208787</v>
      </c>
    </row>
    <row r="289" spans="1:24">
      <c r="A289" s="2" t="s">
        <v>51</v>
      </c>
      <c r="B289" s="4">
        <v>200</v>
      </c>
      <c r="C289" s="4">
        <v>2400</v>
      </c>
      <c r="D289" s="4">
        <v>4.47</v>
      </c>
      <c r="E289" s="4">
        <v>11.4</v>
      </c>
      <c r="F289" s="4">
        <v>365</v>
      </c>
      <c r="G289" s="16" t="s">
        <v>93</v>
      </c>
      <c r="H289" s="4">
        <v>0.29799999999999999</v>
      </c>
      <c r="I289" s="4">
        <v>17.2</v>
      </c>
      <c r="J289" s="4">
        <v>1526</v>
      </c>
      <c r="K289" s="4">
        <v>3338</v>
      </c>
      <c r="L289" s="4">
        <v>0.65</v>
      </c>
      <c r="M289" s="4">
        <v>125.55</v>
      </c>
      <c r="N289" s="5">
        <v>97.44</v>
      </c>
      <c r="Q289" s="1">
        <f t="shared" si="12"/>
        <v>21.367521367521366</v>
      </c>
      <c r="R289" t="str" cm="1">
        <f t="array" ref="R289">_xlfn.IFS(Q289&lt;42.7, "low",
Q289&lt;85.4,"medium low",
Q289&lt;128,"medium high",
Q289&gt;=128,"high"
)</f>
        <v>low</v>
      </c>
      <c r="S289" t="str" cm="1">
        <f t="array" ref="S289">_xlfn.IFS(J289&lt;700,"low",J289&lt;1600,"medium low",J289&lt;2200,"medium high",J289&gt;=2200,"high")</f>
        <v>medium low</v>
      </c>
      <c r="T289" t="str" cm="1">
        <f t="array" ref="T289">_xlfn.IFS(
J289&lt;630,"Low",
J289&lt;1287,"Medium",
J289&lt;1495,"Intermediate",
J289&lt;1668,"Moderately",
J289&lt;1843,"Transition",
J289&lt;2477,"High",
J289&lt;2996,"Refractory I",
TRUE,"Refractory II"
)</f>
        <v>Moderately</v>
      </c>
      <c r="U289">
        <f t="shared" si="13"/>
        <v>0.77610513739545994</v>
      </c>
      <c r="V289" t="str" cm="1">
        <f t="array" ref="V289">_xlfn.IFS(U289&lt;0.25,"shallow condution",
U289&lt;0.5,"transition",
U289&lt;1,"conduction",
U289&lt;1.5,"transition",U289&lt;3,"keyholeⅠ",3&lt;=U289,"keyhole Ⅱ"
)</f>
        <v>conduction</v>
      </c>
      <c r="X289">
        <f t="shared" si="14"/>
        <v>1.2884852216748768</v>
      </c>
    </row>
    <row r="290" spans="1:24">
      <c r="A290" s="2" t="s">
        <v>51</v>
      </c>
      <c r="B290" s="4">
        <v>350</v>
      </c>
      <c r="C290" s="4">
        <v>400</v>
      </c>
      <c r="D290" s="4">
        <v>4.47</v>
      </c>
      <c r="E290" s="4">
        <v>11.4</v>
      </c>
      <c r="F290" s="4">
        <v>365</v>
      </c>
      <c r="G290" s="16" t="s">
        <v>93</v>
      </c>
      <c r="H290" s="4">
        <v>0.29799999999999999</v>
      </c>
      <c r="I290" s="4">
        <v>17.2</v>
      </c>
      <c r="J290" s="4">
        <v>1526</v>
      </c>
      <c r="K290" s="4">
        <v>3338</v>
      </c>
      <c r="L290" s="4">
        <v>0.65</v>
      </c>
      <c r="M290" s="4">
        <v>227.38</v>
      </c>
      <c r="N290" s="5">
        <v>888.05</v>
      </c>
      <c r="Q290" s="1">
        <f t="shared" si="12"/>
        <v>224.35897435897436</v>
      </c>
      <c r="R290" t="str" cm="1">
        <f t="array" ref="R290">_xlfn.IFS(Q290&lt;42.7, "low",
Q290&lt;85.4,"medium low",
Q290&lt;128,"medium high",
Q290&gt;=128,"high"
)</f>
        <v>high</v>
      </c>
      <c r="S290" t="str" cm="1">
        <f t="array" ref="S290">_xlfn.IFS(J290&lt;700,"low",J290&lt;1600,"medium low",J290&lt;2200,"medium high",J290&gt;=2200,"high")</f>
        <v>medium low</v>
      </c>
      <c r="T290" t="str" cm="1">
        <f t="array" ref="T290">_xlfn.IFS(
J290&lt;630,"Low",
J290&lt;1287,"Medium",
J290&lt;1495,"Intermediate",
J290&lt;1668,"Moderately",
J290&lt;1843,"Transition",
J290&lt;2477,"High",
J290&lt;2996,"Refractory I",
TRUE,"Refractory II"
)</f>
        <v>Moderately</v>
      </c>
      <c r="U290">
        <f t="shared" si="13"/>
        <v>3.9055765678599701</v>
      </c>
      <c r="V290" t="str" cm="1">
        <f t="array" ref="V290">_xlfn.IFS(U290&lt;0.25,"shallow condution",
U290&lt;0.5,"transition",
U290&lt;1,"conduction",
U290&lt;1.5,"transition",U290&lt;3,"keyholeⅠ",3&lt;=U290,"keyhole Ⅱ"
)</f>
        <v>keyhole Ⅱ</v>
      </c>
      <c r="X290">
        <f t="shared" si="14"/>
        <v>0.25604414165869038</v>
      </c>
    </row>
    <row r="291" spans="1:24">
      <c r="A291" s="2" t="s">
        <v>51</v>
      </c>
      <c r="B291" s="4">
        <v>350</v>
      </c>
      <c r="C291" s="4">
        <v>600</v>
      </c>
      <c r="D291" s="4">
        <v>4.47</v>
      </c>
      <c r="E291" s="4">
        <v>11.4</v>
      </c>
      <c r="F291" s="4">
        <v>365</v>
      </c>
      <c r="G291" s="16" t="s">
        <v>93</v>
      </c>
      <c r="H291" s="4">
        <v>0.29799999999999999</v>
      </c>
      <c r="I291" s="4">
        <v>17.2</v>
      </c>
      <c r="J291" s="4">
        <v>1526</v>
      </c>
      <c r="K291" s="4">
        <v>3338</v>
      </c>
      <c r="L291" s="4">
        <v>0.65</v>
      </c>
      <c r="M291" s="4">
        <v>270.07</v>
      </c>
      <c r="N291" s="5">
        <v>423.38</v>
      </c>
      <c r="Q291" s="1">
        <f t="shared" si="12"/>
        <v>149.57264957264957</v>
      </c>
      <c r="R291" t="str" cm="1">
        <f t="array" ref="R291">_xlfn.IFS(Q291&lt;42.7, "low",
Q291&lt;85.4,"medium low",
Q291&lt;128,"medium high",
Q291&gt;=128,"high"
)</f>
        <v>high</v>
      </c>
      <c r="S291" t="str" cm="1">
        <f t="array" ref="S291">_xlfn.IFS(J291&lt;700,"low",J291&lt;1600,"medium low",J291&lt;2200,"medium high",J291&gt;=2200,"high")</f>
        <v>medium low</v>
      </c>
      <c r="T291" t="str" cm="1">
        <f t="array" ref="T291">_xlfn.IFS(
J291&lt;630,"Low",
J291&lt;1287,"Medium",
J291&lt;1495,"Intermediate",
J291&lt;1668,"Moderately",
J291&lt;1843,"Transition",
J291&lt;2477,"High",
J291&lt;2996,"Refractory I",
TRUE,"Refractory II"
)</f>
        <v>Moderately</v>
      </c>
      <c r="U291">
        <f t="shared" si="13"/>
        <v>1.5676676417225164</v>
      </c>
      <c r="V291" t="str" cm="1">
        <f t="array" ref="V291">_xlfn.IFS(U291&lt;0.25,"shallow condution",
U291&lt;0.5,"transition",
U291&lt;1,"conduction",
U291&lt;1.5,"transition",U291&lt;3,"keyholeⅠ",3&lt;=U291,"keyhole Ⅱ"
)</f>
        <v>keyholeⅠ</v>
      </c>
      <c r="X291">
        <f t="shared" si="14"/>
        <v>0.63789031130426566</v>
      </c>
    </row>
    <row r="292" spans="1:24">
      <c r="A292" s="2" t="s">
        <v>51</v>
      </c>
      <c r="B292" s="4">
        <v>350</v>
      </c>
      <c r="C292" s="4">
        <v>800</v>
      </c>
      <c r="D292" s="4">
        <v>4.47</v>
      </c>
      <c r="E292" s="4">
        <v>11.4</v>
      </c>
      <c r="F292" s="4">
        <v>365</v>
      </c>
      <c r="G292" s="16" t="s">
        <v>93</v>
      </c>
      <c r="H292" s="4">
        <v>0.29799999999999999</v>
      </c>
      <c r="I292" s="4">
        <v>17.2</v>
      </c>
      <c r="J292" s="4">
        <v>1526</v>
      </c>
      <c r="K292" s="4">
        <v>3338</v>
      </c>
      <c r="L292" s="4">
        <v>0.65</v>
      </c>
      <c r="M292" s="4">
        <v>273.48</v>
      </c>
      <c r="N292" s="5">
        <v>258.89</v>
      </c>
      <c r="Q292" s="1">
        <f t="shared" si="12"/>
        <v>112.17948717948718</v>
      </c>
      <c r="R292" t="str" cm="1">
        <f t="array" ref="R292">_xlfn.IFS(Q292&lt;42.7, "low",
Q292&lt;85.4,"medium low",
Q292&lt;128,"medium high",
Q292&gt;=128,"high"
)</f>
        <v>medium high</v>
      </c>
      <c r="S292" t="str" cm="1">
        <f t="array" ref="S292">_xlfn.IFS(J292&lt;700,"low",J292&lt;1600,"medium low",J292&lt;2200,"medium high",J292&gt;=2200,"high")</f>
        <v>medium low</v>
      </c>
      <c r="T292" t="str" cm="1">
        <f t="array" ref="T292">_xlfn.IFS(
J292&lt;630,"Low",
J292&lt;1287,"Medium",
J292&lt;1495,"Intermediate",
J292&lt;1668,"Moderately",
J292&lt;1843,"Transition",
J292&lt;2477,"High",
J292&lt;2996,"Refractory I",
TRUE,"Refractory II"
)</f>
        <v>Moderately</v>
      </c>
      <c r="U292">
        <f t="shared" si="13"/>
        <v>0.94665057773877426</v>
      </c>
      <c r="V292" t="str" cm="1">
        <f t="array" ref="V292">_xlfn.IFS(U292&lt;0.25,"shallow condution",
U292&lt;0.5,"transition",
U292&lt;1,"conduction",
U292&lt;1.5,"transition",U292&lt;3,"keyholeⅠ",3&lt;=U292,"keyhole Ⅱ"
)</f>
        <v>conduction</v>
      </c>
      <c r="X292">
        <f t="shared" si="14"/>
        <v>1.0563559813048014</v>
      </c>
    </row>
    <row r="293" spans="1:24">
      <c r="A293" s="2" t="s">
        <v>51</v>
      </c>
      <c r="B293" s="4">
        <v>350</v>
      </c>
      <c r="C293" s="4">
        <v>1000</v>
      </c>
      <c r="D293" s="4">
        <v>4.47</v>
      </c>
      <c r="E293" s="4">
        <v>11.4</v>
      </c>
      <c r="F293" s="4">
        <v>365</v>
      </c>
      <c r="G293" s="16" t="s">
        <v>93</v>
      </c>
      <c r="H293" s="4">
        <v>0.29799999999999999</v>
      </c>
      <c r="I293" s="4">
        <v>17.2</v>
      </c>
      <c r="J293" s="4">
        <v>1526</v>
      </c>
      <c r="K293" s="4">
        <v>3338</v>
      </c>
      <c r="L293" s="4">
        <v>0.65</v>
      </c>
      <c r="M293" s="4">
        <v>167.75</v>
      </c>
      <c r="N293" s="5">
        <v>381.34</v>
      </c>
      <c r="Q293" s="1">
        <f t="shared" si="12"/>
        <v>89.743589743589737</v>
      </c>
      <c r="R293" t="str" cm="1">
        <f t="array" ref="R293">_xlfn.IFS(Q293&lt;42.7, "low",
Q293&lt;85.4,"medium low",
Q293&lt;128,"medium high",
Q293&gt;=128,"high"
)</f>
        <v>medium high</v>
      </c>
      <c r="S293" t="str" cm="1">
        <f t="array" ref="S293">_xlfn.IFS(J293&lt;700,"low",J293&lt;1600,"medium low",J293&lt;2200,"medium high",J293&gt;=2200,"high")</f>
        <v>medium low</v>
      </c>
      <c r="T293" t="str" cm="1">
        <f t="array" ref="T293">_xlfn.IFS(
J293&lt;630,"Low",
J293&lt;1287,"Medium",
J293&lt;1495,"Intermediate",
J293&lt;1668,"Moderately",
J293&lt;1843,"Transition",
J293&lt;2477,"High",
J293&lt;2996,"Refractory I",
TRUE,"Refractory II"
)</f>
        <v>Moderately</v>
      </c>
      <c r="U293">
        <f t="shared" si="13"/>
        <v>2.2732637853949327</v>
      </c>
      <c r="V293" t="str" cm="1">
        <f t="array" ref="V293">_xlfn.IFS(U293&lt;0.25,"shallow condution",
U293&lt;0.5,"transition",
U293&lt;1,"conduction",
U293&lt;1.5,"transition",U293&lt;3,"keyholeⅠ",3&lt;=U293,"keyhole Ⅱ"
)</f>
        <v>keyholeⅠ</v>
      </c>
      <c r="X293">
        <f t="shared" si="14"/>
        <v>0.43989615566161433</v>
      </c>
    </row>
    <row r="294" spans="1:24">
      <c r="A294" s="2" t="s">
        <v>51</v>
      </c>
      <c r="B294" s="4">
        <v>350</v>
      </c>
      <c r="C294" s="4">
        <v>1200</v>
      </c>
      <c r="D294" s="4">
        <v>4.47</v>
      </c>
      <c r="E294" s="4">
        <v>11.4</v>
      </c>
      <c r="F294" s="4">
        <v>365</v>
      </c>
      <c r="G294" s="16" t="s">
        <v>93</v>
      </c>
      <c r="H294" s="4">
        <v>0.29799999999999999</v>
      </c>
      <c r="I294" s="4">
        <v>17.2</v>
      </c>
      <c r="J294" s="4">
        <v>1526</v>
      </c>
      <c r="K294" s="4">
        <v>3338</v>
      </c>
      <c r="L294" s="4">
        <v>0.65</v>
      </c>
      <c r="M294" s="4">
        <v>195.16</v>
      </c>
      <c r="N294" s="5">
        <v>290.16000000000003</v>
      </c>
      <c r="Q294" s="1">
        <f t="shared" si="12"/>
        <v>74.786324786324784</v>
      </c>
      <c r="R294" t="str" cm="1">
        <f t="array" ref="R294">_xlfn.IFS(Q294&lt;42.7, "low",
Q294&lt;85.4,"medium low",
Q294&lt;128,"medium high",
Q294&gt;=128,"high"
)</f>
        <v>medium low</v>
      </c>
      <c r="S294" t="str" cm="1">
        <f t="array" ref="S294">_xlfn.IFS(J294&lt;700,"low",J294&lt;1600,"medium low",J294&lt;2200,"medium high",J294&gt;=2200,"high")</f>
        <v>medium low</v>
      </c>
      <c r="T294" t="str" cm="1">
        <f t="array" ref="T294">_xlfn.IFS(
J294&lt;630,"Low",
J294&lt;1287,"Medium",
J294&lt;1495,"Intermediate",
J294&lt;1668,"Moderately",
J294&lt;1843,"Transition",
J294&lt;2477,"High",
J294&lt;2996,"Refractory I",
TRUE,"Refractory II"
)</f>
        <v>Moderately</v>
      </c>
      <c r="U294">
        <f t="shared" si="13"/>
        <v>1.4867800778848126</v>
      </c>
      <c r="V294" t="str" cm="1">
        <f t="array" ref="V294">_xlfn.IFS(U294&lt;0.25,"shallow condution",
U294&lt;0.5,"transition",
U294&lt;1,"conduction",
U294&lt;1.5,"transition",U294&lt;3,"keyholeⅠ",3&lt;=U294,"keyhole Ⅱ"
)</f>
        <v>transition</v>
      </c>
      <c r="X294">
        <f t="shared" si="14"/>
        <v>0.67259443065894675</v>
      </c>
    </row>
    <row r="295" spans="1:24">
      <c r="A295" s="2" t="s">
        <v>51</v>
      </c>
      <c r="B295" s="4">
        <v>350</v>
      </c>
      <c r="C295" s="4">
        <v>1600</v>
      </c>
      <c r="D295" s="4">
        <v>4.47</v>
      </c>
      <c r="E295" s="4">
        <v>11.4</v>
      </c>
      <c r="F295" s="4">
        <v>365</v>
      </c>
      <c r="G295" s="16" t="s">
        <v>93</v>
      </c>
      <c r="H295" s="4">
        <v>0.29799999999999999</v>
      </c>
      <c r="I295" s="4">
        <v>17.2</v>
      </c>
      <c r="J295" s="4">
        <v>1526</v>
      </c>
      <c r="K295" s="4">
        <v>3338</v>
      </c>
      <c r="L295" s="4">
        <v>0.65</v>
      </c>
      <c r="M295" s="4">
        <v>190.58</v>
      </c>
      <c r="N295" s="5">
        <v>239.05</v>
      </c>
      <c r="Q295" s="1">
        <f t="shared" si="12"/>
        <v>56.089743589743591</v>
      </c>
      <c r="R295" t="str" cm="1">
        <f t="array" ref="R295">_xlfn.IFS(Q295&lt;42.7, "low",
Q295&lt;85.4,"medium low",
Q295&lt;128,"medium high",
Q295&gt;=128,"high"
)</f>
        <v>medium low</v>
      </c>
      <c r="S295" t="str" cm="1">
        <f t="array" ref="S295">_xlfn.IFS(J295&lt;700,"low",J295&lt;1600,"medium low",J295&lt;2200,"medium high",J295&gt;=2200,"high")</f>
        <v>medium low</v>
      </c>
      <c r="T295" t="str" cm="1">
        <f t="array" ref="T295">_xlfn.IFS(
J295&lt;630,"Low",
J295&lt;1287,"Medium",
J295&lt;1495,"Intermediate",
J295&lt;1668,"Moderately",
J295&lt;1843,"Transition",
J295&lt;2477,"High",
J295&lt;2996,"Refractory I",
TRUE,"Refractory II"
)</f>
        <v>Moderately</v>
      </c>
      <c r="U295">
        <f t="shared" si="13"/>
        <v>1.2543288907545387</v>
      </c>
      <c r="V295" t="str" cm="1">
        <f t="array" ref="V295">_xlfn.IFS(U295&lt;0.25,"shallow condution",
U295&lt;0.5,"transition",
U295&lt;1,"conduction",
U295&lt;1.5,"transition",U295&lt;3,"keyholeⅠ",3&lt;=U295,"keyhole Ⅱ"
)</f>
        <v>transition</v>
      </c>
      <c r="X295">
        <f t="shared" si="14"/>
        <v>0.79723907132399086</v>
      </c>
    </row>
    <row r="296" spans="1:24">
      <c r="A296" s="2" t="s">
        <v>51</v>
      </c>
      <c r="B296" s="4">
        <v>350</v>
      </c>
      <c r="C296" s="4">
        <v>2000</v>
      </c>
      <c r="D296" s="4">
        <v>4.47</v>
      </c>
      <c r="E296" s="4">
        <v>11.4</v>
      </c>
      <c r="F296" s="4">
        <v>365</v>
      </c>
      <c r="G296" s="16" t="s">
        <v>93</v>
      </c>
      <c r="H296" s="4">
        <v>0.29799999999999999</v>
      </c>
      <c r="I296" s="4">
        <v>17.2</v>
      </c>
      <c r="J296" s="4">
        <v>1526</v>
      </c>
      <c r="K296" s="4">
        <v>3338</v>
      </c>
      <c r="L296" s="4">
        <v>0.65</v>
      </c>
      <c r="M296" s="4">
        <v>164.6</v>
      </c>
      <c r="N296" s="5">
        <v>178.97</v>
      </c>
      <c r="Q296" s="1">
        <f t="shared" si="12"/>
        <v>44.871794871794869</v>
      </c>
      <c r="R296" t="str" cm="1">
        <f t="array" ref="R296">_xlfn.IFS(Q296&lt;42.7, "low",
Q296&lt;85.4,"medium low",
Q296&lt;128,"medium high",
Q296&gt;=128,"high"
)</f>
        <v>medium low</v>
      </c>
      <c r="S296" t="str" cm="1">
        <f t="array" ref="S296">_xlfn.IFS(J296&lt;700,"low",J296&lt;1600,"medium low",J296&lt;2200,"medium high",J296&gt;=2200,"high")</f>
        <v>medium low</v>
      </c>
      <c r="T296" t="str" cm="1">
        <f t="array" ref="T296">_xlfn.IFS(
J296&lt;630,"Low",
J296&lt;1287,"Medium",
J296&lt;1495,"Intermediate",
J296&lt;1668,"Moderately",
J296&lt;1843,"Transition",
J296&lt;2477,"High",
J296&lt;2996,"Refractory I",
TRUE,"Refractory II"
)</f>
        <v>Moderately</v>
      </c>
      <c r="U296">
        <f t="shared" si="13"/>
        <v>1.0873025516403403</v>
      </c>
      <c r="V296" t="str" cm="1">
        <f t="array" ref="V296">_xlfn.IFS(U296&lt;0.25,"shallow condution",
U296&lt;0.5,"transition",
U296&lt;1,"conduction",
U296&lt;1.5,"transition",U296&lt;3,"keyholeⅠ",3&lt;=U296,"keyhole Ⅱ"
)</f>
        <v>transition</v>
      </c>
      <c r="X296">
        <f t="shared" si="14"/>
        <v>0.91970721349946916</v>
      </c>
    </row>
    <row r="297" spans="1:24">
      <c r="A297" s="2" t="s">
        <v>51</v>
      </c>
      <c r="B297" s="4">
        <v>350</v>
      </c>
      <c r="C297" s="4">
        <v>2400</v>
      </c>
      <c r="D297" s="4">
        <v>4.47</v>
      </c>
      <c r="E297" s="4">
        <v>11.4</v>
      </c>
      <c r="F297" s="4">
        <v>365</v>
      </c>
      <c r="G297" s="16" t="s">
        <v>93</v>
      </c>
      <c r="H297" s="4">
        <v>0.29799999999999999</v>
      </c>
      <c r="I297" s="4">
        <v>17.2</v>
      </c>
      <c r="J297" s="4">
        <v>1526</v>
      </c>
      <c r="K297" s="4">
        <v>3338</v>
      </c>
      <c r="L297" s="4">
        <v>0.65</v>
      </c>
      <c r="M297" s="4">
        <v>178.52</v>
      </c>
      <c r="N297" s="5">
        <v>83.79</v>
      </c>
      <c r="Q297" s="1">
        <f t="shared" si="12"/>
        <v>37.393162393162392</v>
      </c>
      <c r="R297" t="str" cm="1">
        <f t="array" ref="R297">_xlfn.IFS(Q297&lt;42.7, "low",
Q297&lt;85.4,"medium low",
Q297&lt;128,"medium high",
Q297&gt;=128,"high"
)</f>
        <v>low</v>
      </c>
      <c r="S297" t="str" cm="1">
        <f t="array" ref="S297">_xlfn.IFS(J297&lt;700,"low",J297&lt;1600,"medium low",J297&lt;2200,"medium high",J297&gt;=2200,"high")</f>
        <v>medium low</v>
      </c>
      <c r="T297" t="str" cm="1">
        <f t="array" ref="T297">_xlfn.IFS(
J297&lt;630,"Low",
J297&lt;1287,"Medium",
J297&lt;1495,"Intermediate",
J297&lt;1668,"Moderately",
J297&lt;1843,"Transition",
J297&lt;2477,"High",
J297&lt;2996,"Refractory I",
TRUE,"Refractory II"
)</f>
        <v>Moderately</v>
      </c>
      <c r="U297">
        <f t="shared" si="13"/>
        <v>0.46935917544252748</v>
      </c>
      <c r="V297" t="str" cm="1">
        <f t="array" ref="V297">_xlfn.IFS(U297&lt;0.25,"shallow condution",
U297&lt;0.5,"transition",
U297&lt;1,"conduction",
U297&lt;1.5,"transition",U297&lt;3,"keyholeⅠ",3&lt;=U297,"keyhole Ⅱ"
)</f>
        <v>transition</v>
      </c>
      <c r="X297">
        <f t="shared" si="14"/>
        <v>2.1305645065043559</v>
      </c>
    </row>
    <row r="298" spans="1:24">
      <c r="A298" s="2" t="s">
        <v>51</v>
      </c>
      <c r="B298" s="4">
        <v>100</v>
      </c>
      <c r="C298" s="4">
        <v>300</v>
      </c>
      <c r="D298" s="4">
        <v>4.47</v>
      </c>
      <c r="E298" s="4">
        <v>11.4</v>
      </c>
      <c r="F298" s="4">
        <v>365</v>
      </c>
      <c r="G298" s="16" t="s">
        <v>93</v>
      </c>
      <c r="H298" s="4">
        <v>0.29799999999999999</v>
      </c>
      <c r="I298" s="4">
        <v>17.2</v>
      </c>
      <c r="J298" s="4">
        <v>1526</v>
      </c>
      <c r="K298" s="4">
        <v>3338</v>
      </c>
      <c r="L298" s="4">
        <v>0.65</v>
      </c>
      <c r="M298" s="4">
        <v>159.97</v>
      </c>
      <c r="N298" s="5">
        <v>332.55</v>
      </c>
      <c r="Q298" s="1">
        <f t="shared" si="12"/>
        <v>85.470085470085465</v>
      </c>
      <c r="R298" t="str" cm="1">
        <f t="array" ref="R298">_xlfn.IFS(Q298&lt;42.7, "low",
Q298&lt;85.4,"medium low",
Q298&lt;128,"medium high",
Q298&gt;=128,"high"
)</f>
        <v>medium high</v>
      </c>
      <c r="S298" t="str" cm="1">
        <f t="array" ref="S298">_xlfn.IFS(J298&lt;700,"low",J298&lt;1600,"medium low",J298&lt;2200,"medium high",J298&gt;=2200,"high")</f>
        <v>medium low</v>
      </c>
      <c r="T298" t="str" cm="1">
        <f t="array" ref="T298">_xlfn.IFS(
J298&lt;630,"Low",
J298&lt;1287,"Medium",
J298&lt;1495,"Intermediate",
J298&lt;1668,"Moderately",
J298&lt;1843,"Transition",
J298&lt;2477,"High",
J298&lt;2996,"Refractory I",
TRUE,"Refractory II"
)</f>
        <v>Moderately</v>
      </c>
      <c r="U298">
        <f t="shared" si="13"/>
        <v>2.0788272801150218</v>
      </c>
      <c r="V298" t="str" cm="1">
        <f t="array" ref="V298">_xlfn.IFS(U298&lt;0.25,"shallow condution",
U298&lt;0.5,"transition",
U298&lt;1,"conduction",
U298&lt;1.5,"transition",U298&lt;3,"keyholeⅠ",3&lt;=U298,"keyhole Ⅱ"
)</f>
        <v>keyholeⅠ</v>
      </c>
      <c r="X298">
        <f t="shared" si="14"/>
        <v>0.48104044504585775</v>
      </c>
    </row>
    <row r="299" spans="1:24">
      <c r="A299" s="2" t="s">
        <v>51</v>
      </c>
      <c r="B299" s="4">
        <v>150</v>
      </c>
      <c r="C299" s="4">
        <v>300</v>
      </c>
      <c r="D299" s="4">
        <v>4.47</v>
      </c>
      <c r="E299" s="4">
        <v>11.4</v>
      </c>
      <c r="F299" s="4">
        <v>365</v>
      </c>
      <c r="G299" s="16" t="s">
        <v>93</v>
      </c>
      <c r="H299" s="4">
        <v>0.29799999999999999</v>
      </c>
      <c r="I299" s="4">
        <v>17.2</v>
      </c>
      <c r="J299" s="4">
        <v>1526</v>
      </c>
      <c r="K299" s="4">
        <v>3338</v>
      </c>
      <c r="L299" s="4">
        <v>0.65</v>
      </c>
      <c r="M299" s="4">
        <v>263.95999999999998</v>
      </c>
      <c r="N299" s="5">
        <v>505.7</v>
      </c>
      <c r="Q299" s="1">
        <f t="shared" si="12"/>
        <v>128.2051282051282</v>
      </c>
      <c r="R299" t="str" cm="1">
        <f t="array" ref="R299">_xlfn.IFS(Q299&lt;42.7, "low",
Q299&lt;85.4,"medium low",
Q299&lt;128,"medium high",
Q299&gt;=128,"high"
)</f>
        <v>high</v>
      </c>
      <c r="S299" t="str" cm="1">
        <f t="array" ref="S299">_xlfn.IFS(J299&lt;700,"low",J299&lt;1600,"medium low",J299&lt;2200,"medium high",J299&gt;=2200,"high")</f>
        <v>medium low</v>
      </c>
      <c r="T299" t="str" cm="1">
        <f t="array" ref="T299">_xlfn.IFS(
J299&lt;630,"Low",
J299&lt;1287,"Medium",
J299&lt;1495,"Intermediate",
J299&lt;1668,"Moderately",
J299&lt;1843,"Transition",
J299&lt;2477,"High",
J299&lt;2996,"Refractory I",
TRUE,"Refractory II"
)</f>
        <v>Moderately</v>
      </c>
      <c r="U299">
        <f t="shared" si="13"/>
        <v>1.9158205788755873</v>
      </c>
      <c r="V299" t="str" cm="1">
        <f t="array" ref="V299">_xlfn.IFS(U299&lt;0.25,"shallow condution",
U299&lt;0.5,"transition",
U299&lt;1,"conduction",
U299&lt;1.5,"transition",U299&lt;3,"keyholeⅠ",3&lt;=U299,"keyhole Ⅱ"
)</f>
        <v>keyholeⅠ</v>
      </c>
      <c r="X299">
        <f t="shared" si="14"/>
        <v>0.52196954716234922</v>
      </c>
    </row>
    <row r="300" spans="1:24">
      <c r="A300" s="2" t="s">
        <v>51</v>
      </c>
      <c r="B300" s="4">
        <v>200</v>
      </c>
      <c r="C300" s="4">
        <v>300</v>
      </c>
      <c r="D300" s="4">
        <v>4.47</v>
      </c>
      <c r="E300" s="4">
        <v>11.4</v>
      </c>
      <c r="F300" s="4">
        <v>365</v>
      </c>
      <c r="G300" s="16" t="s">
        <v>93</v>
      </c>
      <c r="H300" s="4">
        <v>0.29799999999999999</v>
      </c>
      <c r="I300" s="4">
        <v>17.2</v>
      </c>
      <c r="J300" s="4">
        <v>1526</v>
      </c>
      <c r="K300" s="4">
        <v>3338</v>
      </c>
      <c r="L300" s="4">
        <v>0.65</v>
      </c>
      <c r="M300" s="4">
        <v>253.76</v>
      </c>
      <c r="N300" s="5">
        <v>675.58</v>
      </c>
      <c r="Q300" s="1">
        <f t="shared" si="12"/>
        <v>170.94017094017093</v>
      </c>
      <c r="R300" t="str" cm="1">
        <f t="array" ref="R300">_xlfn.IFS(Q300&lt;42.7, "low",
Q300&lt;85.4,"medium low",
Q300&lt;128,"medium high",
Q300&gt;=128,"high"
)</f>
        <v>high</v>
      </c>
      <c r="S300" t="str" cm="1">
        <f t="array" ref="S300">_xlfn.IFS(J300&lt;700,"low",J300&lt;1600,"medium low",J300&lt;2200,"medium high",J300&gt;=2200,"high")</f>
        <v>medium low</v>
      </c>
      <c r="T300" t="str" cm="1">
        <f t="array" ref="T300">_xlfn.IFS(
J300&lt;630,"Low",
J300&lt;1287,"Medium",
J300&lt;1495,"Intermediate",
J300&lt;1668,"Moderately",
J300&lt;1843,"Transition",
J300&lt;2477,"High",
J300&lt;2996,"Refractory I",
TRUE,"Refractory II"
)</f>
        <v>Moderately</v>
      </c>
      <c r="U300">
        <f t="shared" si="13"/>
        <v>2.6622793190416143</v>
      </c>
      <c r="V300" t="str" cm="1">
        <f t="array" ref="V300">_xlfn.IFS(U300&lt;0.25,"shallow condution",
U300&lt;0.5,"transition",
U300&lt;1,"conduction",
U300&lt;1.5,"transition",U300&lt;3,"keyholeⅠ",3&lt;=U300,"keyhole Ⅱ"
)</f>
        <v>keyholeⅠ</v>
      </c>
      <c r="X300">
        <f t="shared" si="14"/>
        <v>0.37561798750703096</v>
      </c>
    </row>
    <row r="301" spans="1:24">
      <c r="A301" s="2" t="s">
        <v>51</v>
      </c>
      <c r="B301" s="4">
        <v>250</v>
      </c>
      <c r="C301" s="4">
        <v>300</v>
      </c>
      <c r="D301" s="4">
        <v>4.47</v>
      </c>
      <c r="E301" s="4">
        <v>11.4</v>
      </c>
      <c r="F301" s="4">
        <v>365</v>
      </c>
      <c r="G301" s="16" t="s">
        <v>93</v>
      </c>
      <c r="H301" s="4">
        <v>0.29799999999999999</v>
      </c>
      <c r="I301" s="4">
        <v>17.2</v>
      </c>
      <c r="J301" s="4">
        <v>1526</v>
      </c>
      <c r="K301" s="4">
        <v>3338</v>
      </c>
      <c r="L301" s="4">
        <v>0.65</v>
      </c>
      <c r="M301" s="4">
        <v>228.93</v>
      </c>
      <c r="N301" s="5">
        <v>928.11</v>
      </c>
      <c r="Q301" s="1">
        <f t="shared" si="12"/>
        <v>213.67521367521368</v>
      </c>
      <c r="R301" t="str" cm="1">
        <f t="array" ref="R301">_xlfn.IFS(Q301&lt;42.7, "low",
Q301&lt;85.4,"medium low",
Q301&lt;128,"medium high",
Q301&gt;=128,"high"
)</f>
        <v>high</v>
      </c>
      <c r="S301" t="str" cm="1">
        <f t="array" ref="S301">_xlfn.IFS(J301&lt;700,"low",J301&lt;1600,"medium low",J301&lt;2200,"medium high",J301&gt;=2200,"high")</f>
        <v>medium low</v>
      </c>
      <c r="T301" t="str" cm="1">
        <f t="array" ref="T301">_xlfn.IFS(
J301&lt;630,"Low",
J301&lt;1287,"Medium",
J301&lt;1495,"Intermediate",
J301&lt;1668,"Moderately",
J301&lt;1843,"Transition",
J301&lt;2477,"High",
J301&lt;2996,"Refractory I",
TRUE,"Refractory II"
)</f>
        <v>Moderately</v>
      </c>
      <c r="U301">
        <f t="shared" si="13"/>
        <v>4.0541213471366797</v>
      </c>
      <c r="V301" t="str" cm="1">
        <f t="array" ref="V301">_xlfn.IFS(U301&lt;0.25,"shallow condution",
U301&lt;0.5,"transition",
U301&lt;1,"conduction",
U301&lt;1.5,"transition",U301&lt;3,"keyholeⅠ",3&lt;=U301,"keyhole Ⅱ"
)</f>
        <v>keyhole Ⅱ</v>
      </c>
      <c r="X301">
        <f t="shared" si="14"/>
        <v>0.2466625723244012</v>
      </c>
    </row>
    <row r="302" spans="1:24">
      <c r="A302" s="2" t="s">
        <v>51</v>
      </c>
      <c r="B302" s="4">
        <v>300</v>
      </c>
      <c r="C302" s="4">
        <v>300</v>
      </c>
      <c r="D302" s="4">
        <v>4.47</v>
      </c>
      <c r="E302" s="4">
        <v>11.4</v>
      </c>
      <c r="F302" s="4">
        <v>365</v>
      </c>
      <c r="G302" s="16" t="s">
        <v>93</v>
      </c>
      <c r="H302" s="4">
        <v>0.29799999999999999</v>
      </c>
      <c r="I302" s="4">
        <v>17.2</v>
      </c>
      <c r="J302" s="4">
        <v>1526</v>
      </c>
      <c r="K302" s="4">
        <v>3338</v>
      </c>
      <c r="L302" s="4">
        <v>0.65</v>
      </c>
      <c r="M302" s="4">
        <v>282</v>
      </c>
      <c r="N302" s="5">
        <v>1028.77</v>
      </c>
      <c r="Q302" s="1">
        <f t="shared" si="12"/>
        <v>256.41025641025641</v>
      </c>
      <c r="R302" t="str" cm="1">
        <f t="array" ref="R302">_xlfn.IFS(Q302&lt;42.7, "low",
Q302&lt;85.4,"medium low",
Q302&lt;128,"medium high",
Q302&gt;=128,"high"
)</f>
        <v>high</v>
      </c>
      <c r="S302" t="str" cm="1">
        <f t="array" ref="S302">_xlfn.IFS(J302&lt;700,"low",J302&lt;1600,"medium low",J302&lt;2200,"medium high",J302&gt;=2200,"high")</f>
        <v>medium low</v>
      </c>
      <c r="T302" t="str" cm="1">
        <f t="array" ref="T302">_xlfn.IFS(
J302&lt;630,"Low",
J302&lt;1287,"Medium",
J302&lt;1495,"Intermediate",
J302&lt;1668,"Moderately",
J302&lt;1843,"Transition",
J302&lt;2477,"High",
J302&lt;2996,"Refractory I",
TRUE,"Refractory II"
)</f>
        <v>Moderately</v>
      </c>
      <c r="U302">
        <f t="shared" si="13"/>
        <v>3.6481205673758863</v>
      </c>
      <c r="V302" t="str" cm="1">
        <f t="array" ref="V302">_xlfn.IFS(U302&lt;0.25,"shallow condution",
U302&lt;0.5,"transition",
U302&lt;1,"conduction",
U302&lt;1.5,"transition",U302&lt;3,"keyholeⅠ",3&lt;=U302,"keyhole Ⅱ"
)</f>
        <v>keyhole Ⅱ</v>
      </c>
      <c r="X302">
        <f t="shared" si="14"/>
        <v>0.27411374748486056</v>
      </c>
    </row>
    <row r="303" spans="1:24">
      <c r="A303" s="2" t="s">
        <v>51</v>
      </c>
      <c r="B303" s="4">
        <v>100</v>
      </c>
      <c r="C303" s="4">
        <v>600</v>
      </c>
      <c r="D303" s="4">
        <v>4.47</v>
      </c>
      <c r="E303" s="4">
        <v>11.4</v>
      </c>
      <c r="F303" s="4">
        <v>365</v>
      </c>
      <c r="G303" s="16" t="s">
        <v>93</v>
      </c>
      <c r="H303" s="4">
        <v>0.29799999999999999</v>
      </c>
      <c r="I303" s="4">
        <v>17.2</v>
      </c>
      <c r="J303" s="4">
        <v>1526</v>
      </c>
      <c r="K303" s="4">
        <v>3338</v>
      </c>
      <c r="L303" s="4">
        <v>0.65</v>
      </c>
      <c r="M303" s="4">
        <v>147.94999999999999</v>
      </c>
      <c r="N303" s="5">
        <v>190.2</v>
      </c>
      <c r="Q303" s="1">
        <f t="shared" si="12"/>
        <v>42.735042735042732</v>
      </c>
      <c r="R303" t="str" cm="1">
        <f t="array" ref="R303">_xlfn.IFS(Q303&lt;42.7, "low",
Q303&lt;85.4,"medium low",
Q303&lt;128,"medium high",
Q303&gt;=128,"high"
)</f>
        <v>medium low</v>
      </c>
      <c r="S303" t="str" cm="1">
        <f t="array" ref="S303">_xlfn.IFS(J303&lt;700,"low",J303&lt;1600,"medium low",J303&lt;2200,"medium high",J303&gt;=2200,"high")</f>
        <v>medium low</v>
      </c>
      <c r="T303" t="str" cm="1">
        <f t="array" ref="T303">_xlfn.IFS(
J303&lt;630,"Low",
J303&lt;1287,"Medium",
J303&lt;1495,"Intermediate",
J303&lt;1668,"Moderately",
J303&lt;1843,"Transition",
J303&lt;2477,"High",
J303&lt;2996,"Refractory I",
TRUE,"Refractory II"
)</f>
        <v>Moderately</v>
      </c>
      <c r="U303">
        <f t="shared" si="13"/>
        <v>1.2855694491382224</v>
      </c>
      <c r="V303" t="str" cm="1">
        <f t="array" ref="V303">_xlfn.IFS(U303&lt;0.25,"shallow condution",
U303&lt;0.5,"transition",
U303&lt;1,"conduction",
U303&lt;1.5,"transition",U303&lt;3,"keyholeⅠ",3&lt;=U303,"keyhole Ⅱ"
)</f>
        <v>transition</v>
      </c>
      <c r="X303">
        <f t="shared" si="14"/>
        <v>0.77786540483701361</v>
      </c>
    </row>
    <row r="304" spans="1:24">
      <c r="A304" s="2" t="s">
        <v>51</v>
      </c>
      <c r="B304" s="4">
        <v>150</v>
      </c>
      <c r="C304" s="4">
        <v>600</v>
      </c>
      <c r="D304" s="4">
        <v>4.47</v>
      </c>
      <c r="E304" s="4">
        <v>11.4</v>
      </c>
      <c r="F304" s="4">
        <v>365</v>
      </c>
      <c r="G304" s="16" t="s">
        <v>93</v>
      </c>
      <c r="H304" s="4">
        <v>0.29799999999999999</v>
      </c>
      <c r="I304" s="4">
        <v>17.2</v>
      </c>
      <c r="J304" s="4">
        <v>1526</v>
      </c>
      <c r="K304" s="4">
        <v>3338</v>
      </c>
      <c r="L304" s="4">
        <v>0.65</v>
      </c>
      <c r="M304" s="4">
        <v>165.13</v>
      </c>
      <c r="N304" s="5">
        <v>216.54</v>
      </c>
      <c r="Q304" s="1">
        <f t="shared" si="12"/>
        <v>64.102564102564102</v>
      </c>
      <c r="R304" t="str" cm="1">
        <f t="array" ref="R304">_xlfn.IFS(Q304&lt;42.7, "low",
Q304&lt;85.4,"medium low",
Q304&lt;128,"medium high",
Q304&gt;=128,"high"
)</f>
        <v>medium low</v>
      </c>
      <c r="S304" t="str" cm="1">
        <f t="array" ref="S304">_xlfn.IFS(J304&lt;700,"low",J304&lt;1600,"medium low",J304&lt;2200,"medium high",J304&gt;=2200,"high")</f>
        <v>medium low</v>
      </c>
      <c r="T304" t="str" cm="1">
        <f t="array" ref="T304">_xlfn.IFS(
J304&lt;630,"Low",
J304&lt;1287,"Medium",
J304&lt;1495,"Intermediate",
J304&lt;1668,"Moderately",
J304&lt;1843,"Transition",
J304&lt;2477,"High",
J304&lt;2996,"Refractory I",
TRUE,"Refractory II"
)</f>
        <v>Moderately</v>
      </c>
      <c r="U304">
        <f t="shared" si="13"/>
        <v>1.3113304669048629</v>
      </c>
      <c r="V304" t="str" cm="1">
        <f t="array" ref="V304">_xlfn.IFS(U304&lt;0.25,"shallow condution",
U304&lt;0.5,"transition",
U304&lt;1,"conduction",
U304&lt;1.5,"transition",U304&lt;3,"keyholeⅠ",3&lt;=U304,"keyhole Ⅱ"
)</f>
        <v>transition</v>
      </c>
      <c r="X304">
        <f t="shared" si="14"/>
        <v>0.76258428004063916</v>
      </c>
    </row>
    <row r="305" spans="1:24">
      <c r="A305" s="2" t="s">
        <v>51</v>
      </c>
      <c r="B305" s="4">
        <v>200</v>
      </c>
      <c r="C305" s="4">
        <v>600</v>
      </c>
      <c r="D305" s="4">
        <v>4.47</v>
      </c>
      <c r="E305" s="4">
        <v>11.4</v>
      </c>
      <c r="F305" s="4">
        <v>365</v>
      </c>
      <c r="G305" s="16" t="s">
        <v>93</v>
      </c>
      <c r="H305" s="4">
        <v>0.29799999999999999</v>
      </c>
      <c r="I305" s="4">
        <v>17.2</v>
      </c>
      <c r="J305" s="4">
        <v>1526</v>
      </c>
      <c r="K305" s="4">
        <v>3338</v>
      </c>
      <c r="L305" s="4">
        <v>0.65</v>
      </c>
      <c r="M305" s="4">
        <v>166.76</v>
      </c>
      <c r="N305" s="5">
        <v>326.81</v>
      </c>
      <c r="Q305" s="1">
        <f t="shared" si="12"/>
        <v>85.470085470085465</v>
      </c>
      <c r="R305" t="str" cm="1">
        <f t="array" ref="R305">_xlfn.IFS(Q305&lt;42.7, "low",
Q305&lt;85.4,"medium low",
Q305&lt;128,"medium high",
Q305&gt;=128,"high"
)</f>
        <v>medium high</v>
      </c>
      <c r="S305" t="str" cm="1">
        <f t="array" ref="S305">_xlfn.IFS(J305&lt;700,"low",J305&lt;1600,"medium low",J305&lt;2200,"medium high",J305&gt;=2200,"high")</f>
        <v>medium low</v>
      </c>
      <c r="T305" t="str" cm="1">
        <f t="array" ref="T305">_xlfn.IFS(
J305&lt;630,"Low",
J305&lt;1287,"Medium",
J305&lt;1495,"Intermediate",
J305&lt;1668,"Moderately",
J305&lt;1843,"Transition",
J305&lt;2477,"High",
J305&lt;2996,"Refractory I",
TRUE,"Refractory II"
)</f>
        <v>Moderately</v>
      </c>
      <c r="U305">
        <f t="shared" si="13"/>
        <v>1.9597625329815305</v>
      </c>
      <c r="V305" t="str" cm="1">
        <f t="array" ref="V305">_xlfn.IFS(U305&lt;0.25,"shallow condution",
U305&lt;0.5,"transition",
U305&lt;1,"conduction",
U305&lt;1.5,"transition",U305&lt;3,"keyholeⅠ",3&lt;=U305,"keyhole Ⅱ"
)</f>
        <v>keyholeⅠ</v>
      </c>
      <c r="X305">
        <f t="shared" si="14"/>
        <v>0.5102659037361158</v>
      </c>
    </row>
    <row r="306" spans="1:24">
      <c r="A306" s="2" t="s">
        <v>51</v>
      </c>
      <c r="B306" s="4">
        <v>250</v>
      </c>
      <c r="C306" s="4">
        <v>600</v>
      </c>
      <c r="D306" s="4">
        <v>4.47</v>
      </c>
      <c r="E306" s="4">
        <v>11.4</v>
      </c>
      <c r="F306" s="4">
        <v>365</v>
      </c>
      <c r="G306" s="16" t="s">
        <v>93</v>
      </c>
      <c r="H306" s="4">
        <v>0.29799999999999999</v>
      </c>
      <c r="I306" s="4">
        <v>17.2</v>
      </c>
      <c r="J306" s="4">
        <v>1526</v>
      </c>
      <c r="K306" s="4">
        <v>3338</v>
      </c>
      <c r="L306" s="4">
        <v>0.65</v>
      </c>
      <c r="M306" s="4">
        <v>180.25</v>
      </c>
      <c r="N306" s="5">
        <v>549.67999999999995</v>
      </c>
      <c r="Q306" s="1">
        <f t="shared" si="12"/>
        <v>106.83760683760684</v>
      </c>
      <c r="R306" t="str" cm="1">
        <f t="array" ref="R306">_xlfn.IFS(Q306&lt;42.7, "low",
Q306&lt;85.4,"medium low",
Q306&lt;128,"medium high",
Q306&gt;=128,"high"
)</f>
        <v>medium high</v>
      </c>
      <c r="S306" t="str" cm="1">
        <f t="array" ref="S306">_xlfn.IFS(J306&lt;700,"low",J306&lt;1600,"medium low",J306&lt;2200,"medium high",J306&gt;=2200,"high")</f>
        <v>medium low</v>
      </c>
      <c r="T306" t="str" cm="1">
        <f t="array" ref="T306">_xlfn.IFS(
J306&lt;630,"Low",
J306&lt;1287,"Medium",
J306&lt;1495,"Intermediate",
J306&lt;1668,"Moderately",
J306&lt;1843,"Transition",
J306&lt;2477,"High",
J306&lt;2996,"Refractory I",
TRUE,"Refractory II"
)</f>
        <v>Moderately</v>
      </c>
      <c r="U306">
        <f t="shared" si="13"/>
        <v>3.0495423023578359</v>
      </c>
      <c r="V306" t="str" cm="1">
        <f t="array" ref="V306">_xlfn.IFS(U306&lt;0.25,"shallow condution",
U306&lt;0.5,"transition",
U306&lt;1,"conduction",
U306&lt;1.5,"transition",U306&lt;3,"keyholeⅠ",3&lt;=U306,"keyhole Ⅱ"
)</f>
        <v>keyhole Ⅱ</v>
      </c>
      <c r="X306">
        <f t="shared" si="14"/>
        <v>0.32791806141755209</v>
      </c>
    </row>
    <row r="307" spans="1:24">
      <c r="A307" s="2" t="s">
        <v>51</v>
      </c>
      <c r="B307" s="4">
        <v>300</v>
      </c>
      <c r="C307" s="4">
        <v>600</v>
      </c>
      <c r="D307" s="4">
        <v>4.47</v>
      </c>
      <c r="E307" s="4">
        <v>11.4</v>
      </c>
      <c r="F307" s="4">
        <v>365</v>
      </c>
      <c r="G307" s="16" t="s">
        <v>93</v>
      </c>
      <c r="H307" s="4">
        <v>0.29799999999999999</v>
      </c>
      <c r="I307" s="4">
        <v>17.2</v>
      </c>
      <c r="J307" s="4">
        <v>1526</v>
      </c>
      <c r="K307" s="4">
        <v>3338</v>
      </c>
      <c r="L307" s="4">
        <v>0.65</v>
      </c>
      <c r="M307" s="4">
        <v>233.76</v>
      </c>
      <c r="N307" s="5">
        <v>322.64</v>
      </c>
      <c r="Q307" s="1">
        <f t="shared" si="12"/>
        <v>128.2051282051282</v>
      </c>
      <c r="R307" t="str" cm="1">
        <f t="array" ref="R307">_xlfn.IFS(Q307&lt;42.7, "low",
Q307&lt;85.4,"medium low",
Q307&lt;128,"medium high",
Q307&gt;=128,"high"
)</f>
        <v>high</v>
      </c>
      <c r="S307" t="str" cm="1">
        <f t="array" ref="S307">_xlfn.IFS(J307&lt;700,"low",J307&lt;1600,"medium low",J307&lt;2200,"medium high",J307&gt;=2200,"high")</f>
        <v>medium low</v>
      </c>
      <c r="T307" t="str" cm="1">
        <f t="array" ref="T307">_xlfn.IFS(
J307&lt;630,"Low",
J307&lt;1287,"Medium",
J307&lt;1495,"Intermediate",
J307&lt;1668,"Moderately",
J307&lt;1843,"Transition",
J307&lt;2477,"High",
J307&lt;2996,"Refractory I",
TRUE,"Refractory II"
)</f>
        <v>Moderately</v>
      </c>
      <c r="U307">
        <f t="shared" si="13"/>
        <v>1.3802190280629705</v>
      </c>
      <c r="V307" t="str" cm="1">
        <f t="array" ref="V307">_xlfn.IFS(U307&lt;0.25,"shallow condution",
U307&lt;0.5,"transition",
U307&lt;1,"conduction",
U307&lt;1.5,"transition",U307&lt;3,"keyholeⅠ",3&lt;=U307,"keyhole Ⅱ"
)</f>
        <v>transition</v>
      </c>
      <c r="X307">
        <f t="shared" si="14"/>
        <v>0.72452268782544016</v>
      </c>
    </row>
    <row r="308" spans="1:24">
      <c r="A308" s="2" t="s">
        <v>51</v>
      </c>
      <c r="B308" s="4">
        <v>100</v>
      </c>
      <c r="C308" s="4">
        <v>900</v>
      </c>
      <c r="D308" s="4">
        <v>4.47</v>
      </c>
      <c r="E308" s="4">
        <v>11.4</v>
      </c>
      <c r="F308" s="4">
        <v>365</v>
      </c>
      <c r="G308" s="16" t="s">
        <v>93</v>
      </c>
      <c r="H308" s="4">
        <v>0.29799999999999999</v>
      </c>
      <c r="I308" s="4">
        <v>17.2</v>
      </c>
      <c r="J308" s="4">
        <v>1526</v>
      </c>
      <c r="K308" s="4">
        <v>3338</v>
      </c>
      <c r="L308" s="4">
        <v>0.65</v>
      </c>
      <c r="M308" s="4">
        <v>112</v>
      </c>
      <c r="N308" s="5">
        <v>125</v>
      </c>
      <c r="Q308" s="1">
        <f t="shared" si="12"/>
        <v>28.490028490028489</v>
      </c>
      <c r="R308" t="str" cm="1">
        <f t="array" ref="R308">_xlfn.IFS(Q308&lt;42.7, "low",
Q308&lt;85.4,"medium low",
Q308&lt;128,"medium high",
Q308&gt;=128,"high"
)</f>
        <v>low</v>
      </c>
      <c r="S308" t="str" cm="1">
        <f t="array" ref="S308">_xlfn.IFS(J308&lt;700,"low",J308&lt;1600,"medium low",J308&lt;2200,"medium high",J308&gt;=2200,"high")</f>
        <v>medium low</v>
      </c>
      <c r="T308" t="str" cm="1">
        <f t="array" ref="T308">_xlfn.IFS(
J308&lt;630,"Low",
J308&lt;1287,"Medium",
J308&lt;1495,"Intermediate",
J308&lt;1668,"Moderately",
J308&lt;1843,"Transition",
J308&lt;2477,"High",
J308&lt;2996,"Refractory I",
TRUE,"Refractory II"
)</f>
        <v>Moderately</v>
      </c>
      <c r="U308">
        <f t="shared" si="13"/>
        <v>1.1160714285714286</v>
      </c>
      <c r="V308" t="str" cm="1">
        <f t="array" ref="V308">_xlfn.IFS(U308&lt;0.25,"shallow condution",
U308&lt;0.5,"transition",
U308&lt;1,"conduction",
U308&lt;1.5,"transition",U308&lt;3,"keyholeⅠ",3&lt;=U308,"keyhole Ⅱ"
)</f>
        <v>transition</v>
      </c>
      <c r="X308">
        <f t="shared" si="14"/>
        <v>0.89600000000000002</v>
      </c>
    </row>
    <row r="309" spans="1:24">
      <c r="A309" s="2" t="s">
        <v>51</v>
      </c>
      <c r="B309" s="4">
        <v>150</v>
      </c>
      <c r="C309" s="4">
        <v>900</v>
      </c>
      <c r="D309" s="4">
        <v>4.47</v>
      </c>
      <c r="E309" s="4">
        <v>11.4</v>
      </c>
      <c r="F309" s="4">
        <v>365</v>
      </c>
      <c r="G309" s="16" t="s">
        <v>93</v>
      </c>
      <c r="H309" s="4">
        <v>0.29799999999999999</v>
      </c>
      <c r="I309" s="4">
        <v>17.2</v>
      </c>
      <c r="J309" s="4">
        <v>1526</v>
      </c>
      <c r="K309" s="4">
        <v>3338</v>
      </c>
      <c r="L309" s="4">
        <v>0.65</v>
      </c>
      <c r="M309" s="4">
        <v>129.22999999999999</v>
      </c>
      <c r="N309" s="5">
        <v>177.13</v>
      </c>
      <c r="Q309" s="1">
        <f t="shared" si="12"/>
        <v>42.735042735042732</v>
      </c>
      <c r="R309" t="str" cm="1">
        <f t="array" ref="R309">_xlfn.IFS(Q309&lt;42.7, "low",
Q309&lt;85.4,"medium low",
Q309&lt;128,"medium high",
Q309&gt;=128,"high"
)</f>
        <v>medium low</v>
      </c>
      <c r="S309" t="str" cm="1">
        <f t="array" ref="S309">_xlfn.IFS(J309&lt;700,"low",J309&lt;1600,"medium low",J309&lt;2200,"medium high",J309&gt;=2200,"high")</f>
        <v>medium low</v>
      </c>
      <c r="T309" t="str" cm="1">
        <f t="array" ref="T309">_xlfn.IFS(
J309&lt;630,"Low",
J309&lt;1287,"Medium",
J309&lt;1495,"Intermediate",
J309&lt;1668,"Moderately",
J309&lt;1843,"Transition",
J309&lt;2477,"High",
J309&lt;2996,"Refractory I",
TRUE,"Refractory II"
)</f>
        <v>Moderately</v>
      </c>
      <c r="U309">
        <f t="shared" si="13"/>
        <v>1.3706569681962393</v>
      </c>
      <c r="V309" t="str" cm="1">
        <f t="array" ref="V309">_xlfn.IFS(U309&lt;0.25,"shallow condution",
U309&lt;0.5,"transition",
U309&lt;1,"conduction",
U309&lt;1.5,"transition",U309&lt;3,"keyholeⅠ",3&lt;=U309,"keyhole Ⅱ"
)</f>
        <v>transition</v>
      </c>
      <c r="X309">
        <f t="shared" si="14"/>
        <v>0.72957714672839158</v>
      </c>
    </row>
    <row r="310" spans="1:24">
      <c r="A310" s="2" t="s">
        <v>51</v>
      </c>
      <c r="B310" s="4">
        <v>200</v>
      </c>
      <c r="C310" s="4">
        <v>900</v>
      </c>
      <c r="D310" s="4">
        <v>4.47</v>
      </c>
      <c r="E310" s="4">
        <v>11.4</v>
      </c>
      <c r="F310" s="4">
        <v>365</v>
      </c>
      <c r="G310" s="16" t="s">
        <v>93</v>
      </c>
      <c r="H310" s="4">
        <v>0.29799999999999999</v>
      </c>
      <c r="I310" s="4">
        <v>17.2</v>
      </c>
      <c r="J310" s="4">
        <v>1526</v>
      </c>
      <c r="K310" s="4">
        <v>3338</v>
      </c>
      <c r="L310" s="4">
        <v>0.65</v>
      </c>
      <c r="M310" s="4">
        <v>128.66</v>
      </c>
      <c r="N310" s="5">
        <v>282.67</v>
      </c>
      <c r="Q310" s="1">
        <f t="shared" si="12"/>
        <v>56.980056980056979</v>
      </c>
      <c r="R310" t="str" cm="1">
        <f t="array" ref="R310">_xlfn.IFS(Q310&lt;42.7, "low",
Q310&lt;85.4,"medium low",
Q310&lt;128,"medium high",
Q310&gt;=128,"high"
)</f>
        <v>medium low</v>
      </c>
      <c r="S310" t="str" cm="1">
        <f t="array" ref="S310">_xlfn.IFS(J310&lt;700,"low",J310&lt;1600,"medium low",J310&lt;2200,"medium high",J310&gt;=2200,"high")</f>
        <v>medium low</v>
      </c>
      <c r="T310" t="str" cm="1">
        <f t="array" ref="T310">_xlfn.IFS(
J310&lt;630,"Low",
J310&lt;1287,"Medium",
J310&lt;1495,"Intermediate",
J310&lt;1668,"Moderately",
J310&lt;1843,"Transition",
J310&lt;2477,"High",
J310&lt;2996,"Refractory I",
TRUE,"Refractory II"
)</f>
        <v>Moderately</v>
      </c>
      <c r="U310">
        <f t="shared" si="13"/>
        <v>2.1970309342452978</v>
      </c>
      <c r="V310" t="str" cm="1">
        <f t="array" ref="V310">_xlfn.IFS(U310&lt;0.25,"shallow condution",
U310&lt;0.5,"transition",
U310&lt;1,"conduction",
U310&lt;1.5,"transition",U310&lt;3,"keyholeⅠ",3&lt;=U310,"keyhole Ⅱ"
)</f>
        <v>keyholeⅠ</v>
      </c>
      <c r="X310">
        <f t="shared" si="14"/>
        <v>0.45515972689001305</v>
      </c>
    </row>
    <row r="311" spans="1:24">
      <c r="A311" s="2" t="s">
        <v>51</v>
      </c>
      <c r="B311" s="4">
        <v>250</v>
      </c>
      <c r="C311" s="4">
        <v>900</v>
      </c>
      <c r="D311" s="4">
        <v>4.47</v>
      </c>
      <c r="E311" s="4">
        <v>11.4</v>
      </c>
      <c r="F311" s="4">
        <v>365</v>
      </c>
      <c r="G311" s="16" t="s">
        <v>93</v>
      </c>
      <c r="H311" s="4">
        <v>0.29799999999999999</v>
      </c>
      <c r="I311" s="4">
        <v>17.2</v>
      </c>
      <c r="J311" s="4">
        <v>1526</v>
      </c>
      <c r="K311" s="4">
        <v>3338</v>
      </c>
      <c r="L311" s="4">
        <v>0.65</v>
      </c>
      <c r="M311" s="4">
        <v>153</v>
      </c>
      <c r="N311" s="5">
        <v>380.5</v>
      </c>
      <c r="Q311" s="1">
        <f t="shared" si="12"/>
        <v>71.225071225071218</v>
      </c>
      <c r="R311" t="str" cm="1">
        <f t="array" ref="R311">_xlfn.IFS(Q311&lt;42.7, "low",
Q311&lt;85.4,"medium low",
Q311&lt;128,"medium high",
Q311&gt;=128,"high"
)</f>
        <v>medium low</v>
      </c>
      <c r="S311" t="str" cm="1">
        <f t="array" ref="S311">_xlfn.IFS(J311&lt;700,"low",J311&lt;1600,"medium low",J311&lt;2200,"medium high",J311&gt;=2200,"high")</f>
        <v>medium low</v>
      </c>
      <c r="T311" t="str" cm="1">
        <f t="array" ref="T311">_xlfn.IFS(
J311&lt;630,"Low",
J311&lt;1287,"Medium",
J311&lt;1495,"Intermediate",
J311&lt;1668,"Moderately",
J311&lt;1843,"Transition",
J311&lt;2477,"High",
J311&lt;2996,"Refractory I",
TRUE,"Refractory II"
)</f>
        <v>Moderately</v>
      </c>
      <c r="U311">
        <f t="shared" si="13"/>
        <v>2.4869281045751634</v>
      </c>
      <c r="V311" t="str" cm="1">
        <f t="array" ref="V311">_xlfn.IFS(U311&lt;0.25,"shallow condution",
U311&lt;0.5,"transition",
U311&lt;1,"conduction",
U311&lt;1.5,"transition",U311&lt;3,"keyholeⅠ",3&lt;=U311,"keyhole Ⅱ"
)</f>
        <v>keyholeⅠ</v>
      </c>
      <c r="X311">
        <f t="shared" si="14"/>
        <v>0.40210249671484888</v>
      </c>
    </row>
    <row r="312" spans="1:24" ht="14.45" thickBot="1">
      <c r="A312" s="3" t="s">
        <v>51</v>
      </c>
      <c r="B312" s="7">
        <v>300</v>
      </c>
      <c r="C312" s="7">
        <v>900</v>
      </c>
      <c r="D312" s="7">
        <v>4.47</v>
      </c>
      <c r="E312" s="7">
        <v>11.4</v>
      </c>
      <c r="F312" s="7">
        <v>365</v>
      </c>
      <c r="G312" s="16" t="s">
        <v>93</v>
      </c>
      <c r="H312" s="7">
        <v>0.29799999999999999</v>
      </c>
      <c r="I312" s="7">
        <v>17.2</v>
      </c>
      <c r="J312" s="7">
        <v>1526</v>
      </c>
      <c r="K312" s="7">
        <v>3338</v>
      </c>
      <c r="L312" s="7">
        <v>0.65</v>
      </c>
      <c r="M312" s="7">
        <v>184.9</v>
      </c>
      <c r="N312" s="15">
        <v>418.79</v>
      </c>
      <c r="Q312" s="1">
        <f t="shared" si="12"/>
        <v>85.470085470085465</v>
      </c>
      <c r="R312" t="str" cm="1">
        <f t="array" ref="R312">_xlfn.IFS(Q312&lt;42.7, "low",
Q312&lt;85.4,"medium low",
Q312&lt;128,"medium high",
Q312&gt;=128,"high"
)</f>
        <v>medium high</v>
      </c>
      <c r="S312" t="str" cm="1">
        <f t="array" ref="S312">_xlfn.IFS(J312&lt;700,"low",J312&lt;1600,"medium low",J312&lt;2200,"medium high",J312&gt;=2200,"high")</f>
        <v>medium low</v>
      </c>
      <c r="T312" t="str" cm="1">
        <f t="array" ref="T312">_xlfn.IFS(
J312&lt;630,"Low",
J312&lt;1287,"Medium",
J312&lt;1495,"Intermediate",
J312&lt;1668,"Moderately",
J312&lt;1843,"Transition",
J312&lt;2477,"High",
J312&lt;2996,"Refractory I",
TRUE,"Refractory II"
)</f>
        <v>Moderately</v>
      </c>
      <c r="U312">
        <f t="shared" si="13"/>
        <v>2.2649540292049757</v>
      </c>
      <c r="V312" t="str" cm="1">
        <f t="array" ref="V312">_xlfn.IFS(U312&lt;0.25,"shallow condution",
U312&lt;0.5,"transition",
U312&lt;1,"conduction",
U312&lt;1.5,"transition",U312&lt;3,"keyholeⅠ",3&lt;=U312,"keyhole Ⅱ"
)</f>
        <v>keyholeⅠ</v>
      </c>
      <c r="X312">
        <f t="shared" si="14"/>
        <v>0.44151006471023663</v>
      </c>
    </row>
    <row r="313" spans="1:24">
      <c r="A313" s="19" t="s">
        <v>52</v>
      </c>
      <c r="B313" s="16">
        <v>200</v>
      </c>
      <c r="C313" s="16">
        <v>200</v>
      </c>
      <c r="D313" s="16">
        <v>6.52</v>
      </c>
      <c r="E313" s="16">
        <v>14</v>
      </c>
      <c r="F313" s="16">
        <v>580</v>
      </c>
      <c r="G313" s="16" t="s">
        <v>94</v>
      </c>
      <c r="H313" s="16">
        <v>0.27800000000000002</v>
      </c>
      <c r="I313" s="16">
        <v>22.6</v>
      </c>
      <c r="J313" s="16">
        <v>1855</v>
      </c>
      <c r="K313" s="16">
        <v>4377</v>
      </c>
      <c r="L313" s="16">
        <v>0.65</v>
      </c>
      <c r="M313" s="16">
        <v>571.01</v>
      </c>
      <c r="N313" s="17">
        <v>688.6</v>
      </c>
      <c r="Q313" s="1">
        <f t="shared" si="12"/>
        <v>256.41025641025641</v>
      </c>
      <c r="R313" t="str" cm="1">
        <f t="array" ref="R313">_xlfn.IFS(Q313&lt;42.7, "low",
Q313&lt;85.4,"medium low",
Q313&lt;128,"medium high",
Q313&gt;=128,"high"
)</f>
        <v>high</v>
      </c>
      <c r="S313" t="str" cm="1">
        <f t="array" ref="S313">_xlfn.IFS(J313&lt;700,"low",J313&lt;1600,"medium low",J313&lt;2200,"medium high",J313&gt;=2200,"high")</f>
        <v>medium high</v>
      </c>
      <c r="T313" t="str" cm="1">
        <f t="array" ref="T313">_xlfn.IFS(
J313&lt;630,"Low",
J313&lt;1287,"Medium",
J313&lt;1495,"Intermediate",
J313&lt;1668,"Moderately",
J313&lt;1843,"Transition",
J313&lt;2477,"High",
J313&lt;2996,"Refractory I",
TRUE,"Refractory II"
)</f>
        <v>High</v>
      </c>
      <c r="U313">
        <f t="shared" si="13"/>
        <v>1.205933346176074</v>
      </c>
      <c r="V313" t="str" cm="1">
        <f t="array" ref="V313">_xlfn.IFS(U313&lt;0.25,"shallow condution",
U313&lt;0.5,"transition",
U313&lt;1,"conduction",
U313&lt;1.5,"transition",U313&lt;3,"keyholeⅠ",3&lt;=U313,"keyhole Ⅱ"
)</f>
        <v>transition</v>
      </c>
      <c r="X313">
        <f t="shared" si="14"/>
        <v>0.82923322683706069</v>
      </c>
    </row>
    <row r="314" spans="1:24">
      <c r="A314" s="2" t="s">
        <v>52</v>
      </c>
      <c r="B314" s="4">
        <v>200</v>
      </c>
      <c r="C314" s="4">
        <v>400</v>
      </c>
      <c r="D314" s="4">
        <v>6.52</v>
      </c>
      <c r="E314" s="4">
        <v>14</v>
      </c>
      <c r="F314" s="4">
        <v>580</v>
      </c>
      <c r="G314" s="16" t="s">
        <v>94</v>
      </c>
      <c r="H314" s="4">
        <v>0.27800000000000002</v>
      </c>
      <c r="I314" s="4">
        <v>22.6</v>
      </c>
      <c r="J314" s="4">
        <v>1855</v>
      </c>
      <c r="K314" s="4">
        <v>4377</v>
      </c>
      <c r="L314" s="4">
        <v>0.65</v>
      </c>
      <c r="M314" s="4">
        <v>334.42</v>
      </c>
      <c r="N314" s="5">
        <v>366.76</v>
      </c>
      <c r="Q314" s="1">
        <f t="shared" si="12"/>
        <v>128.2051282051282</v>
      </c>
      <c r="R314" t="str" cm="1">
        <f t="array" ref="R314">_xlfn.IFS(Q314&lt;42.7, "low",
Q314&lt;85.4,"medium low",
Q314&lt;128,"medium high",
Q314&gt;=128,"high"
)</f>
        <v>high</v>
      </c>
      <c r="S314" t="str" cm="1">
        <f t="array" ref="S314">_xlfn.IFS(J314&lt;700,"low",J314&lt;1600,"medium low",J314&lt;2200,"medium high",J314&gt;=2200,"high")</f>
        <v>medium high</v>
      </c>
      <c r="T314" t="str" cm="1">
        <f t="array" ref="T314">_xlfn.IFS(
J314&lt;630,"Low",
J314&lt;1287,"Medium",
J314&lt;1495,"Intermediate",
J314&lt;1668,"Moderately",
J314&lt;1843,"Transition",
J314&lt;2477,"High",
J314&lt;2996,"Refractory I",
TRUE,"Refractory II"
)</f>
        <v>High</v>
      </c>
      <c r="U314">
        <f t="shared" si="13"/>
        <v>1.0967047425393217</v>
      </c>
      <c r="V314" t="str" cm="1">
        <f t="array" ref="V314">_xlfn.IFS(U314&lt;0.25,"shallow condution",
U314&lt;0.5,"transition",
U314&lt;1,"conduction",
U314&lt;1.5,"transition",U314&lt;3,"keyholeⅠ",3&lt;=U314,"keyhole Ⅱ"
)</f>
        <v>transition</v>
      </c>
      <c r="X314">
        <f t="shared" si="14"/>
        <v>0.91182244519576838</v>
      </c>
    </row>
    <row r="315" spans="1:24">
      <c r="A315" s="2" t="s">
        <v>52</v>
      </c>
      <c r="B315" s="4">
        <v>200</v>
      </c>
      <c r="C315" s="4">
        <v>600</v>
      </c>
      <c r="D315" s="4">
        <v>6.52</v>
      </c>
      <c r="E315" s="4">
        <v>14</v>
      </c>
      <c r="F315" s="4">
        <v>580</v>
      </c>
      <c r="G315" s="16" t="s">
        <v>94</v>
      </c>
      <c r="H315" s="4">
        <v>0.27800000000000002</v>
      </c>
      <c r="I315" s="4">
        <v>22.6</v>
      </c>
      <c r="J315" s="4">
        <v>1855</v>
      </c>
      <c r="K315" s="4">
        <v>4377</v>
      </c>
      <c r="L315" s="4">
        <v>0.65</v>
      </c>
      <c r="M315" s="4">
        <v>231.09</v>
      </c>
      <c r="N315" s="5">
        <v>227.77</v>
      </c>
      <c r="Q315" s="1">
        <f t="shared" si="12"/>
        <v>85.470085470085465</v>
      </c>
      <c r="R315" t="str" cm="1">
        <f t="array" ref="R315">_xlfn.IFS(Q315&lt;42.7, "low",
Q315&lt;85.4,"medium low",
Q315&lt;128,"medium high",
Q315&gt;=128,"high"
)</f>
        <v>medium high</v>
      </c>
      <c r="S315" t="str" cm="1">
        <f t="array" ref="S315">_xlfn.IFS(J315&lt;700,"low",J315&lt;1600,"medium low",J315&lt;2200,"medium high",J315&gt;=2200,"high")</f>
        <v>medium high</v>
      </c>
      <c r="T315" t="str" cm="1">
        <f t="array" ref="T315">_xlfn.IFS(
J315&lt;630,"Low",
J315&lt;1287,"Medium",
J315&lt;1495,"Intermediate",
J315&lt;1668,"Moderately",
J315&lt;1843,"Transition",
J315&lt;2477,"High",
J315&lt;2996,"Refractory I",
TRUE,"Refractory II"
)</f>
        <v>High</v>
      </c>
      <c r="U315">
        <f t="shared" si="13"/>
        <v>0.98563330304210484</v>
      </c>
      <c r="V315" t="str" cm="1">
        <f t="array" ref="V315">_xlfn.IFS(U315&lt;0.25,"shallow condution",
U315&lt;0.5,"transition",
U315&lt;1,"conduction",
U315&lt;1.5,"transition",U315&lt;3,"keyholeⅠ",3&lt;=U315,"keyhole Ⅱ"
)</f>
        <v>conduction</v>
      </c>
      <c r="X315">
        <f t="shared" si="14"/>
        <v>1.0145761074768407</v>
      </c>
    </row>
    <row r="316" spans="1:24">
      <c r="A316" s="2" t="s">
        <v>52</v>
      </c>
      <c r="B316" s="4">
        <v>200</v>
      </c>
      <c r="C316" s="4">
        <v>800</v>
      </c>
      <c r="D316" s="4">
        <v>6.52</v>
      </c>
      <c r="E316" s="4">
        <v>14</v>
      </c>
      <c r="F316" s="4">
        <v>580</v>
      </c>
      <c r="G316" s="16" t="s">
        <v>94</v>
      </c>
      <c r="H316" s="4">
        <v>0.27800000000000002</v>
      </c>
      <c r="I316" s="4">
        <v>22.6</v>
      </c>
      <c r="J316" s="4">
        <v>1855</v>
      </c>
      <c r="K316" s="4">
        <v>4377</v>
      </c>
      <c r="L316" s="4">
        <v>0.65</v>
      </c>
      <c r="M316" s="4">
        <v>233.4</v>
      </c>
      <c r="N316" s="5">
        <v>174.93</v>
      </c>
      <c r="Q316" s="1">
        <f t="shared" si="12"/>
        <v>64.102564102564102</v>
      </c>
      <c r="R316" t="str" cm="1">
        <f t="array" ref="R316">_xlfn.IFS(Q316&lt;42.7, "low",
Q316&lt;85.4,"medium low",
Q316&lt;128,"medium high",
Q316&gt;=128,"high"
)</f>
        <v>medium low</v>
      </c>
      <c r="S316" t="str" cm="1">
        <f t="array" ref="S316">_xlfn.IFS(J316&lt;700,"low",J316&lt;1600,"medium low",J316&lt;2200,"medium high",J316&gt;=2200,"high")</f>
        <v>medium high</v>
      </c>
      <c r="T316" t="str" cm="1">
        <f t="array" ref="T316">_xlfn.IFS(
J316&lt;630,"Low",
J316&lt;1287,"Medium",
J316&lt;1495,"Intermediate",
J316&lt;1668,"Moderately",
J316&lt;1843,"Transition",
J316&lt;2477,"High",
J316&lt;2996,"Refractory I",
TRUE,"Refractory II"
)</f>
        <v>High</v>
      </c>
      <c r="U316">
        <f t="shared" si="13"/>
        <v>0.74948586118251925</v>
      </c>
      <c r="V316" t="str" cm="1">
        <f t="array" ref="V316">_xlfn.IFS(U316&lt;0.25,"shallow condution",
U316&lt;0.5,"transition",
U316&lt;1,"conduction",
U316&lt;1.5,"transition",U316&lt;3,"keyholeⅠ",3&lt;=U316,"keyhole Ⅱ"
)</f>
        <v>conduction</v>
      </c>
      <c r="X316">
        <f t="shared" si="14"/>
        <v>1.3342479849082489</v>
      </c>
    </row>
    <row r="317" spans="1:24">
      <c r="A317" s="2" t="s">
        <v>52</v>
      </c>
      <c r="B317" s="4">
        <v>200</v>
      </c>
      <c r="C317" s="4">
        <v>1200</v>
      </c>
      <c r="D317" s="4">
        <v>6.52</v>
      </c>
      <c r="E317" s="4">
        <v>14</v>
      </c>
      <c r="F317" s="4">
        <v>580</v>
      </c>
      <c r="G317" s="16" t="s">
        <v>94</v>
      </c>
      <c r="H317" s="4">
        <v>0.27800000000000002</v>
      </c>
      <c r="I317" s="4">
        <v>22.6</v>
      </c>
      <c r="J317" s="4">
        <v>1855</v>
      </c>
      <c r="K317" s="4">
        <v>4377</v>
      </c>
      <c r="L317" s="4">
        <v>0.65</v>
      </c>
      <c r="M317" s="4">
        <v>195.4</v>
      </c>
      <c r="N317" s="5">
        <v>83.99</v>
      </c>
      <c r="Q317" s="1">
        <f t="shared" si="12"/>
        <v>42.735042735042732</v>
      </c>
      <c r="R317" t="str" cm="1">
        <f t="array" ref="R317">_xlfn.IFS(Q317&lt;42.7, "low",
Q317&lt;85.4,"medium low",
Q317&lt;128,"medium high",
Q317&gt;=128,"high"
)</f>
        <v>medium low</v>
      </c>
      <c r="S317" t="str" cm="1">
        <f t="array" ref="S317">_xlfn.IFS(J317&lt;700,"low",J317&lt;1600,"medium low",J317&lt;2200,"medium high",J317&gt;=2200,"high")</f>
        <v>medium high</v>
      </c>
      <c r="T317" t="str" cm="1">
        <f t="array" ref="T317">_xlfn.IFS(
J317&lt;630,"Low",
J317&lt;1287,"Medium",
J317&lt;1495,"Intermediate",
J317&lt;1668,"Moderately",
J317&lt;1843,"Transition",
J317&lt;2477,"High",
J317&lt;2996,"Refractory I",
TRUE,"Refractory II"
)</f>
        <v>High</v>
      </c>
      <c r="U317">
        <f t="shared" si="13"/>
        <v>0.42983623336745136</v>
      </c>
      <c r="V317" t="str" cm="1">
        <f t="array" ref="V317">_xlfn.IFS(U317&lt;0.25,"shallow condution",
U317&lt;0.5,"transition",
U317&lt;1,"conduction",
U317&lt;1.5,"transition",U317&lt;3,"keyholeⅠ",3&lt;=U317,"keyhole Ⅱ"
)</f>
        <v>transition</v>
      </c>
      <c r="X317">
        <f t="shared" si="14"/>
        <v>2.3264674365995952</v>
      </c>
    </row>
    <row r="318" spans="1:24">
      <c r="A318" s="2" t="s">
        <v>52</v>
      </c>
      <c r="B318" s="4">
        <v>200</v>
      </c>
      <c r="C318" s="4">
        <v>1600</v>
      </c>
      <c r="D318" s="4">
        <v>6.52</v>
      </c>
      <c r="E318" s="4">
        <v>14</v>
      </c>
      <c r="F318" s="4">
        <v>580</v>
      </c>
      <c r="G318" s="16" t="s">
        <v>94</v>
      </c>
      <c r="H318" s="4">
        <v>0.27800000000000002</v>
      </c>
      <c r="I318" s="4">
        <v>22.6</v>
      </c>
      <c r="J318" s="4">
        <v>1855</v>
      </c>
      <c r="K318" s="4">
        <v>4377</v>
      </c>
      <c r="L318" s="4">
        <v>0.65</v>
      </c>
      <c r="M318" s="4">
        <v>136.86000000000001</v>
      </c>
      <c r="N318" s="5">
        <v>66.02</v>
      </c>
      <c r="Q318" s="1">
        <f t="shared" si="12"/>
        <v>32.051282051282051</v>
      </c>
      <c r="R318" t="str" cm="1">
        <f t="array" ref="R318">_xlfn.IFS(Q318&lt;42.7, "low",
Q318&lt;85.4,"medium low",
Q318&lt;128,"medium high",
Q318&gt;=128,"high"
)</f>
        <v>low</v>
      </c>
      <c r="S318" t="str" cm="1">
        <f t="array" ref="S318">_xlfn.IFS(J318&lt;700,"low",J318&lt;1600,"medium low",J318&lt;2200,"medium high",J318&gt;=2200,"high")</f>
        <v>medium high</v>
      </c>
      <c r="T318" t="str" cm="1">
        <f t="array" ref="T318">_xlfn.IFS(
J318&lt;630,"Low",
J318&lt;1287,"Medium",
J318&lt;1495,"Intermediate",
J318&lt;1668,"Moderately",
J318&lt;1843,"Transition",
J318&lt;2477,"High",
J318&lt;2996,"Refractory I",
TRUE,"Refractory II"
)</f>
        <v>High</v>
      </c>
      <c r="U318">
        <f t="shared" si="13"/>
        <v>0.48239076428467037</v>
      </c>
      <c r="V318" t="str" cm="1">
        <f t="array" ref="V318">_xlfn.IFS(U318&lt;0.25,"shallow condution",
U318&lt;0.5,"transition",
U318&lt;1,"conduction",
U318&lt;1.5,"transition",U318&lt;3,"keyholeⅠ",3&lt;=U318,"keyhole Ⅱ"
)</f>
        <v>transition</v>
      </c>
      <c r="X318">
        <f t="shared" si="14"/>
        <v>2.0730081793395945</v>
      </c>
    </row>
    <row r="319" spans="1:24">
      <c r="A319" s="2" t="s">
        <v>52</v>
      </c>
      <c r="B319" s="4">
        <v>200</v>
      </c>
      <c r="C319" s="4">
        <v>2000</v>
      </c>
      <c r="D319" s="4">
        <v>6.52</v>
      </c>
      <c r="E319" s="4">
        <v>14</v>
      </c>
      <c r="F319" s="4">
        <v>580</v>
      </c>
      <c r="G319" s="16" t="s">
        <v>94</v>
      </c>
      <c r="H319" s="4">
        <v>0.27800000000000002</v>
      </c>
      <c r="I319" s="4">
        <v>22.6</v>
      </c>
      <c r="J319" s="4">
        <v>1855</v>
      </c>
      <c r="K319" s="4">
        <v>4377</v>
      </c>
      <c r="L319" s="4">
        <v>0.65</v>
      </c>
      <c r="M319" s="4">
        <v>113.9</v>
      </c>
      <c r="N319" s="5">
        <v>36.880000000000003</v>
      </c>
      <c r="Q319" s="1">
        <f t="shared" si="12"/>
        <v>25.641025641025642</v>
      </c>
      <c r="R319" t="str" cm="1">
        <f t="array" ref="R319">_xlfn.IFS(Q319&lt;42.7, "low",
Q319&lt;85.4,"medium low",
Q319&lt;128,"medium high",
Q319&gt;=128,"high"
)</f>
        <v>low</v>
      </c>
      <c r="S319" t="str" cm="1">
        <f t="array" ref="S319">_xlfn.IFS(J319&lt;700,"low",J319&lt;1600,"medium low",J319&lt;2200,"medium high",J319&gt;=2200,"high")</f>
        <v>medium high</v>
      </c>
      <c r="T319" t="str" cm="1">
        <f t="array" ref="T319">_xlfn.IFS(
J319&lt;630,"Low",
J319&lt;1287,"Medium",
J319&lt;1495,"Intermediate",
J319&lt;1668,"Moderately",
J319&lt;1843,"Transition",
J319&lt;2477,"High",
J319&lt;2996,"Refractory I",
TRUE,"Refractory II"
)</f>
        <v>High</v>
      </c>
      <c r="U319">
        <f t="shared" si="13"/>
        <v>0.32379280070237049</v>
      </c>
      <c r="V319" t="str" cm="1">
        <f t="array" ref="V319">_xlfn.IFS(U319&lt;0.25,"shallow condution",
U319&lt;0.5,"transition",
U319&lt;1,"conduction",
U319&lt;1.5,"transition",U319&lt;3,"keyholeⅠ",3&lt;=U319,"keyhole Ⅱ"
)</f>
        <v>transition</v>
      </c>
      <c r="X319">
        <f t="shared" si="14"/>
        <v>3.0883947939262471</v>
      </c>
    </row>
    <row r="320" spans="1:24">
      <c r="A320" s="2" t="s">
        <v>52</v>
      </c>
      <c r="B320" s="4">
        <v>200</v>
      </c>
      <c r="C320" s="4">
        <v>2400</v>
      </c>
      <c r="D320" s="4">
        <v>6.52</v>
      </c>
      <c r="E320" s="4">
        <v>14</v>
      </c>
      <c r="F320" s="4">
        <v>580</v>
      </c>
      <c r="G320" s="16" t="s">
        <v>94</v>
      </c>
      <c r="H320" s="4">
        <v>0.27800000000000002</v>
      </c>
      <c r="I320" s="4">
        <v>22.6</v>
      </c>
      <c r="J320" s="4">
        <v>1855</v>
      </c>
      <c r="K320" s="4">
        <v>4377</v>
      </c>
      <c r="L320" s="4">
        <v>0.65</v>
      </c>
      <c r="M320" s="4">
        <v>98.63</v>
      </c>
      <c r="N320" s="5">
        <v>43.67</v>
      </c>
      <c r="Q320" s="1">
        <f t="shared" si="12"/>
        <v>21.367521367521366</v>
      </c>
      <c r="R320" t="str" cm="1">
        <f t="array" ref="R320">_xlfn.IFS(Q320&lt;42.7, "low",
Q320&lt;85.4,"medium low",
Q320&lt;128,"medium high",
Q320&gt;=128,"high"
)</f>
        <v>low</v>
      </c>
      <c r="S320" t="str" cm="1">
        <f t="array" ref="S320">_xlfn.IFS(J320&lt;700,"low",J320&lt;1600,"medium low",J320&lt;2200,"medium high",J320&gt;=2200,"high")</f>
        <v>medium high</v>
      </c>
      <c r="T320" t="str" cm="1">
        <f t="array" ref="T320">_xlfn.IFS(
J320&lt;630,"Low",
J320&lt;1287,"Medium",
J320&lt;1495,"Intermediate",
J320&lt;1668,"Moderately",
J320&lt;1843,"Transition",
J320&lt;2477,"High",
J320&lt;2996,"Refractory I",
TRUE,"Refractory II"
)</f>
        <v>High</v>
      </c>
      <c r="U320">
        <f t="shared" si="13"/>
        <v>0.44276589273040662</v>
      </c>
      <c r="V320" t="str" cm="1">
        <f t="array" ref="V320">_xlfn.IFS(U320&lt;0.25,"shallow condution",
U320&lt;0.5,"transition",
U320&lt;1,"conduction",
U320&lt;1.5,"transition",U320&lt;3,"keyholeⅠ",3&lt;=U320,"keyhole Ⅱ"
)</f>
        <v>transition</v>
      </c>
      <c r="X320">
        <f t="shared" si="14"/>
        <v>2.2585298832150213</v>
      </c>
    </row>
    <row r="321" spans="1:24">
      <c r="A321" s="2" t="s">
        <v>52</v>
      </c>
      <c r="B321" s="4">
        <v>350</v>
      </c>
      <c r="C321" s="4">
        <v>400</v>
      </c>
      <c r="D321" s="4">
        <v>6.52</v>
      </c>
      <c r="E321" s="4">
        <v>14</v>
      </c>
      <c r="F321" s="4">
        <v>580</v>
      </c>
      <c r="G321" s="16" t="s">
        <v>94</v>
      </c>
      <c r="H321" s="4">
        <v>0.27800000000000002</v>
      </c>
      <c r="I321" s="4">
        <v>22.6</v>
      </c>
      <c r="J321" s="4">
        <v>1855</v>
      </c>
      <c r="K321" s="4">
        <v>4377</v>
      </c>
      <c r="L321" s="4">
        <v>0.65</v>
      </c>
      <c r="M321" s="4">
        <v>338.12</v>
      </c>
      <c r="N321" s="5">
        <v>424.63</v>
      </c>
      <c r="Q321" s="1">
        <f t="shared" si="12"/>
        <v>224.35897435897436</v>
      </c>
      <c r="R321" t="str" cm="1">
        <f t="array" ref="R321">_xlfn.IFS(Q321&lt;42.7, "low",
Q321&lt;85.4,"medium low",
Q321&lt;128,"medium high",
Q321&gt;=128,"high"
)</f>
        <v>high</v>
      </c>
      <c r="S321" t="str" cm="1">
        <f t="array" ref="S321">_xlfn.IFS(J321&lt;700,"low",J321&lt;1600,"medium low",J321&lt;2200,"medium high",J321&gt;=2200,"high")</f>
        <v>medium high</v>
      </c>
      <c r="T321" t="str" cm="1">
        <f t="array" ref="T321">_xlfn.IFS(
J321&lt;630,"Low",
J321&lt;1287,"Medium",
J321&lt;1495,"Intermediate",
J321&lt;1668,"Moderately",
J321&lt;1843,"Transition",
J321&lt;2477,"High",
J321&lt;2996,"Refractory I",
TRUE,"Refractory II"
)</f>
        <v>High</v>
      </c>
      <c r="U321">
        <f t="shared" si="13"/>
        <v>1.2558559091446824</v>
      </c>
      <c r="V321" t="str" cm="1">
        <f t="array" ref="V321">_xlfn.IFS(U321&lt;0.25,"shallow condution",
U321&lt;0.5,"transition",
U321&lt;1,"conduction",
U321&lt;1.5,"transition",U321&lt;3,"keyholeⅠ",3&lt;=U321,"keyhole Ⅱ"
)</f>
        <v>transition</v>
      </c>
      <c r="X321">
        <f t="shared" si="14"/>
        <v>0.79626969361561828</v>
      </c>
    </row>
    <row r="322" spans="1:24">
      <c r="A322" s="2" t="s">
        <v>52</v>
      </c>
      <c r="B322" s="4">
        <v>350</v>
      </c>
      <c r="C322" s="4">
        <v>600</v>
      </c>
      <c r="D322" s="4">
        <v>6.52</v>
      </c>
      <c r="E322" s="4">
        <v>14</v>
      </c>
      <c r="F322" s="4">
        <v>580</v>
      </c>
      <c r="G322" s="16" t="s">
        <v>94</v>
      </c>
      <c r="H322" s="4">
        <v>0.27800000000000002</v>
      </c>
      <c r="I322" s="4">
        <v>22.6</v>
      </c>
      <c r="J322" s="4">
        <v>1855</v>
      </c>
      <c r="K322" s="4">
        <v>4377</v>
      </c>
      <c r="L322" s="4">
        <v>0.65</v>
      </c>
      <c r="M322" s="4">
        <v>252.71</v>
      </c>
      <c r="N322" s="5">
        <v>293.16000000000003</v>
      </c>
      <c r="Q322" s="1">
        <f t="shared" si="12"/>
        <v>149.57264957264957</v>
      </c>
      <c r="R322" t="str" cm="1">
        <f t="array" ref="R322">_xlfn.IFS(Q322&lt;42.7, "low",
Q322&lt;85.4,"medium low",
Q322&lt;128,"medium high",
Q322&gt;=128,"high"
)</f>
        <v>high</v>
      </c>
      <c r="S322" t="str" cm="1">
        <f t="array" ref="S322">_xlfn.IFS(J322&lt;700,"low",J322&lt;1600,"medium low",J322&lt;2200,"medium high",J322&gt;=2200,"high")</f>
        <v>medium high</v>
      </c>
      <c r="T322" t="str" cm="1">
        <f t="array" ref="T322">_xlfn.IFS(
J322&lt;630,"Low",
J322&lt;1287,"Medium",
J322&lt;1495,"Intermediate",
J322&lt;1668,"Moderately",
J322&lt;1843,"Transition",
J322&lt;2477,"High",
J322&lt;2996,"Refractory I",
TRUE,"Refractory II"
)</f>
        <v>High</v>
      </c>
      <c r="U322">
        <f t="shared" si="13"/>
        <v>1.1600648965217049</v>
      </c>
      <c r="V322" t="str" cm="1">
        <f t="array" ref="V322">_xlfn.IFS(U322&lt;0.25,"shallow condution",
U322&lt;0.5,"transition",
U322&lt;1,"conduction",
U322&lt;1.5,"transition",U322&lt;3,"keyholeⅠ",3&lt;=U322,"keyhole Ⅱ"
)</f>
        <v>transition</v>
      </c>
      <c r="X322">
        <f t="shared" si="14"/>
        <v>0.86202073952790281</v>
      </c>
    </row>
    <row r="323" spans="1:24">
      <c r="A323" s="2" t="s">
        <v>52</v>
      </c>
      <c r="B323" s="4">
        <v>350</v>
      </c>
      <c r="C323" s="4">
        <v>800</v>
      </c>
      <c r="D323" s="4">
        <v>6.52</v>
      </c>
      <c r="E323" s="4">
        <v>14</v>
      </c>
      <c r="F323" s="4">
        <v>580</v>
      </c>
      <c r="G323" s="16" t="s">
        <v>94</v>
      </c>
      <c r="H323" s="4">
        <v>0.27800000000000002</v>
      </c>
      <c r="I323" s="4">
        <v>22.6</v>
      </c>
      <c r="J323" s="4">
        <v>1855</v>
      </c>
      <c r="K323" s="4">
        <v>4377</v>
      </c>
      <c r="L323" s="4">
        <v>0.65</v>
      </c>
      <c r="M323" s="4">
        <v>233.01</v>
      </c>
      <c r="N323" s="5">
        <v>125.15</v>
      </c>
      <c r="Q323" s="1">
        <f t="shared" si="12"/>
        <v>112.17948717948718</v>
      </c>
      <c r="R323" t="str" cm="1">
        <f t="array" ref="R323">_xlfn.IFS(Q323&lt;42.7, "low",
Q323&lt;85.4,"medium low",
Q323&lt;128,"medium high",
Q323&gt;=128,"high"
)</f>
        <v>medium high</v>
      </c>
      <c r="S323" t="str" cm="1">
        <f t="array" ref="S323">_xlfn.IFS(J323&lt;700,"low",J323&lt;1600,"medium low",J323&lt;2200,"medium high",J323&gt;=2200,"high")</f>
        <v>medium high</v>
      </c>
      <c r="T323" t="str" cm="1">
        <f t="array" ref="T323">_xlfn.IFS(
J323&lt;630,"Low",
J323&lt;1287,"Medium",
J323&lt;1495,"Intermediate",
J323&lt;1668,"Moderately",
J323&lt;1843,"Transition",
J323&lt;2477,"High",
J323&lt;2996,"Refractory I",
TRUE,"Refractory II"
)</f>
        <v>High</v>
      </c>
      <c r="U323">
        <f t="shared" si="13"/>
        <v>0.53710141195656846</v>
      </c>
      <c r="V323" t="str" cm="1">
        <f t="array" ref="V323">_xlfn.IFS(U323&lt;0.25,"shallow condution",
U323&lt;0.5,"transition",
U323&lt;1,"conduction",
U323&lt;1.5,"transition",U323&lt;3,"keyholeⅠ",3&lt;=U323,"keyhole Ⅱ"
)</f>
        <v>conduction</v>
      </c>
      <c r="X323">
        <f t="shared" si="14"/>
        <v>1.8618457850579304</v>
      </c>
    </row>
    <row r="324" spans="1:24">
      <c r="A324" s="2" t="s">
        <v>52</v>
      </c>
      <c r="B324" s="4">
        <v>350</v>
      </c>
      <c r="C324" s="4">
        <v>1000</v>
      </c>
      <c r="D324" s="4">
        <v>6.52</v>
      </c>
      <c r="E324" s="4">
        <v>14</v>
      </c>
      <c r="F324" s="4">
        <v>580</v>
      </c>
      <c r="G324" s="16" t="s">
        <v>94</v>
      </c>
      <c r="H324" s="4">
        <v>0.27800000000000002</v>
      </c>
      <c r="I324" s="4">
        <v>22.6</v>
      </c>
      <c r="J324" s="4">
        <v>1855</v>
      </c>
      <c r="K324" s="4">
        <v>4377</v>
      </c>
      <c r="L324" s="4">
        <v>0.65</v>
      </c>
      <c r="M324" s="4">
        <v>181.84</v>
      </c>
      <c r="N324" s="5">
        <v>153.55000000000001</v>
      </c>
      <c r="Q324" s="1">
        <f t="shared" ref="Q324:Q385" si="15">B324*10^6/(C324*130*30)</f>
        <v>89.743589743589737</v>
      </c>
      <c r="R324" t="str" cm="1">
        <f t="array" ref="R324">_xlfn.IFS(Q324&lt;42.7, "low",
Q324&lt;85.4,"medium low",
Q324&lt;128,"medium high",
Q324&gt;=128,"high"
)</f>
        <v>medium high</v>
      </c>
      <c r="S324" t="str" cm="1">
        <f t="array" ref="S324">_xlfn.IFS(J324&lt;700,"low",J324&lt;1600,"medium low",J324&lt;2200,"medium high",J324&gt;=2200,"high")</f>
        <v>medium high</v>
      </c>
      <c r="T324" t="str" cm="1">
        <f t="array" ref="T324">_xlfn.IFS(
J324&lt;630,"Low",
J324&lt;1287,"Medium",
J324&lt;1495,"Intermediate",
J324&lt;1668,"Moderately",
J324&lt;1843,"Transition",
J324&lt;2477,"High",
J324&lt;2996,"Refractory I",
TRUE,"Refractory II"
)</f>
        <v>High</v>
      </c>
      <c r="U324">
        <f t="shared" ref="U324:U385" si="16">N324/M324</f>
        <v>0.84442366915970091</v>
      </c>
      <c r="V324" t="str" cm="1">
        <f t="array" ref="V324">_xlfn.IFS(U324&lt;0.25,"shallow condution",
U324&lt;0.5,"transition",
U324&lt;1,"conduction",
U324&lt;1.5,"transition",U324&lt;3,"keyholeⅠ",3&lt;=U324,"keyhole Ⅱ"
)</f>
        <v>conduction</v>
      </c>
      <c r="X324">
        <f t="shared" ref="X324:X355" si="17">M324/N324</f>
        <v>1.184239661348095</v>
      </c>
    </row>
    <row r="325" spans="1:24">
      <c r="A325" s="2" t="s">
        <v>52</v>
      </c>
      <c r="B325" s="4">
        <v>350</v>
      </c>
      <c r="C325" s="4">
        <v>1200</v>
      </c>
      <c r="D325" s="4">
        <v>6.52</v>
      </c>
      <c r="E325" s="4">
        <v>14</v>
      </c>
      <c r="F325" s="4">
        <v>580</v>
      </c>
      <c r="G325" s="16" t="s">
        <v>94</v>
      </c>
      <c r="H325" s="4">
        <v>0.27800000000000002</v>
      </c>
      <c r="I325" s="4">
        <v>22.6</v>
      </c>
      <c r="J325" s="4">
        <v>1855</v>
      </c>
      <c r="K325" s="4">
        <v>4377</v>
      </c>
      <c r="L325" s="4">
        <v>0.65</v>
      </c>
      <c r="M325" s="4">
        <v>178.43</v>
      </c>
      <c r="N325" s="5">
        <v>126.2</v>
      </c>
      <c r="Q325" s="1">
        <f t="shared" si="15"/>
        <v>74.786324786324784</v>
      </c>
      <c r="R325" t="str" cm="1">
        <f t="array" ref="R325">_xlfn.IFS(Q325&lt;42.7, "low",
Q325&lt;85.4,"medium low",
Q325&lt;128,"medium high",
Q325&gt;=128,"high"
)</f>
        <v>medium low</v>
      </c>
      <c r="S325" t="str" cm="1">
        <f t="array" ref="S325">_xlfn.IFS(J325&lt;700,"low",J325&lt;1600,"medium low",J325&lt;2200,"medium high",J325&gt;=2200,"high")</f>
        <v>medium high</v>
      </c>
      <c r="T325" t="str" cm="1">
        <f t="array" ref="T325">_xlfn.IFS(
J325&lt;630,"Low",
J325&lt;1287,"Medium",
J325&lt;1495,"Intermediate",
J325&lt;1668,"Moderately",
J325&lt;1843,"Transition",
J325&lt;2477,"High",
J325&lt;2996,"Refractory I",
TRUE,"Refractory II"
)</f>
        <v>High</v>
      </c>
      <c r="U325">
        <f t="shared" si="16"/>
        <v>0.70728016589138598</v>
      </c>
      <c r="V325" t="str" cm="1">
        <f t="array" ref="V325">_xlfn.IFS(U325&lt;0.25,"shallow condution",
U325&lt;0.5,"transition",
U325&lt;1,"conduction",
U325&lt;1.5,"transition",U325&lt;3,"keyholeⅠ",3&lt;=U325,"keyhole Ⅱ"
)</f>
        <v>conduction</v>
      </c>
      <c r="X325">
        <f t="shared" si="17"/>
        <v>1.4138668779714738</v>
      </c>
    </row>
    <row r="326" spans="1:24">
      <c r="A326" s="2" t="s">
        <v>52</v>
      </c>
      <c r="B326" s="4">
        <v>350</v>
      </c>
      <c r="C326" s="4">
        <v>1600</v>
      </c>
      <c r="D326" s="4">
        <v>6.52</v>
      </c>
      <c r="E326" s="4">
        <v>14</v>
      </c>
      <c r="F326" s="4">
        <v>580</v>
      </c>
      <c r="G326" s="16" t="s">
        <v>94</v>
      </c>
      <c r="H326" s="4">
        <v>0.27800000000000002</v>
      </c>
      <c r="I326" s="4">
        <v>22.6</v>
      </c>
      <c r="J326" s="4">
        <v>1855</v>
      </c>
      <c r="K326" s="4">
        <v>4377</v>
      </c>
      <c r="L326" s="4">
        <v>0.65</v>
      </c>
      <c r="M326" s="4">
        <v>158.57</v>
      </c>
      <c r="N326" s="5">
        <v>88.33</v>
      </c>
      <c r="Q326" s="1">
        <f t="shared" si="15"/>
        <v>56.089743589743591</v>
      </c>
      <c r="R326" t="str" cm="1">
        <f t="array" ref="R326">_xlfn.IFS(Q326&lt;42.7, "low",
Q326&lt;85.4,"medium low",
Q326&lt;128,"medium high",
Q326&gt;=128,"high"
)</f>
        <v>medium low</v>
      </c>
      <c r="S326" t="str" cm="1">
        <f t="array" ref="S326">_xlfn.IFS(J326&lt;700,"low",J326&lt;1600,"medium low",J326&lt;2200,"medium high",J326&gt;=2200,"high")</f>
        <v>medium high</v>
      </c>
      <c r="T326" t="str" cm="1">
        <f t="array" ref="T326">_xlfn.IFS(
J326&lt;630,"Low",
J326&lt;1287,"Medium",
J326&lt;1495,"Intermediate",
J326&lt;1668,"Moderately",
J326&lt;1843,"Transition",
J326&lt;2477,"High",
J326&lt;2996,"Refractory I",
TRUE,"Refractory II"
)</f>
        <v>High</v>
      </c>
      <c r="U326">
        <f t="shared" si="16"/>
        <v>0.55704105442391372</v>
      </c>
      <c r="V326" t="str" cm="1">
        <f t="array" ref="V326">_xlfn.IFS(U326&lt;0.25,"shallow condution",
U326&lt;0.5,"transition",
U326&lt;1,"conduction",
U326&lt;1.5,"transition",U326&lt;3,"keyholeⅠ",3&lt;=U326,"keyhole Ⅱ"
)</f>
        <v>conduction</v>
      </c>
      <c r="X326">
        <f t="shared" si="17"/>
        <v>1.7951998188610891</v>
      </c>
    </row>
    <row r="327" spans="1:24">
      <c r="A327" s="2" t="s">
        <v>52</v>
      </c>
      <c r="B327" s="4">
        <v>350</v>
      </c>
      <c r="C327" s="4">
        <v>2000</v>
      </c>
      <c r="D327" s="4">
        <v>6.52</v>
      </c>
      <c r="E327" s="4">
        <v>14</v>
      </c>
      <c r="F327" s="4">
        <v>580</v>
      </c>
      <c r="G327" s="16" t="s">
        <v>94</v>
      </c>
      <c r="H327" s="4">
        <v>0.27800000000000002</v>
      </c>
      <c r="I327" s="4">
        <v>22.6</v>
      </c>
      <c r="J327" s="4">
        <v>1855</v>
      </c>
      <c r="K327" s="4">
        <v>4377</v>
      </c>
      <c r="L327" s="4">
        <v>0.65</v>
      </c>
      <c r="M327" s="4">
        <v>145.69</v>
      </c>
      <c r="N327" s="5">
        <v>68.44</v>
      </c>
      <c r="Q327" s="1">
        <f t="shared" si="15"/>
        <v>44.871794871794869</v>
      </c>
      <c r="R327" t="str" cm="1">
        <f t="array" ref="R327">_xlfn.IFS(Q327&lt;42.7, "low",
Q327&lt;85.4,"medium low",
Q327&lt;128,"medium high",
Q327&gt;=128,"high"
)</f>
        <v>medium low</v>
      </c>
      <c r="S327" t="str" cm="1">
        <f t="array" ref="S327">_xlfn.IFS(J327&lt;700,"low",J327&lt;1600,"medium low",J327&lt;2200,"medium high",J327&gt;=2200,"high")</f>
        <v>medium high</v>
      </c>
      <c r="T327" t="str" cm="1">
        <f t="array" ref="T327">_xlfn.IFS(
J327&lt;630,"Low",
J327&lt;1287,"Medium",
J327&lt;1495,"Intermediate",
J327&lt;1668,"Moderately",
J327&lt;1843,"Transition",
J327&lt;2477,"High",
J327&lt;2996,"Refractory I",
TRUE,"Refractory II"
)</f>
        <v>High</v>
      </c>
      <c r="U327">
        <f t="shared" si="16"/>
        <v>0.46976456860457133</v>
      </c>
      <c r="V327" t="str" cm="1">
        <f t="array" ref="V327">_xlfn.IFS(U327&lt;0.25,"shallow condution",
U327&lt;0.5,"transition",
U327&lt;1,"conduction",
U327&lt;1.5,"transition",U327&lt;3,"keyholeⅠ",3&lt;=U327,"keyhole Ⅱ"
)</f>
        <v>transition</v>
      </c>
      <c r="X327">
        <f t="shared" si="17"/>
        <v>2.1287258912916425</v>
      </c>
    </row>
    <row r="328" spans="1:24">
      <c r="A328" s="2" t="s">
        <v>52</v>
      </c>
      <c r="B328" s="4">
        <v>350</v>
      </c>
      <c r="C328" s="4">
        <v>2400</v>
      </c>
      <c r="D328" s="4">
        <v>6.52</v>
      </c>
      <c r="E328" s="4">
        <v>14</v>
      </c>
      <c r="F328" s="4">
        <v>580</v>
      </c>
      <c r="G328" s="16" t="s">
        <v>94</v>
      </c>
      <c r="H328" s="4">
        <v>0.27800000000000002</v>
      </c>
      <c r="I328" s="4">
        <v>22.6</v>
      </c>
      <c r="J328" s="4">
        <v>1855</v>
      </c>
      <c r="K328" s="4">
        <v>4377</v>
      </c>
      <c r="L328" s="4">
        <v>0.65</v>
      </c>
      <c r="M328" s="4">
        <v>134.9</v>
      </c>
      <c r="N328" s="5">
        <v>58.87</v>
      </c>
      <c r="Q328" s="1">
        <f t="shared" si="15"/>
        <v>37.393162393162392</v>
      </c>
      <c r="R328" t="str" cm="1">
        <f t="array" ref="R328">_xlfn.IFS(Q328&lt;42.7, "low",
Q328&lt;85.4,"medium low",
Q328&lt;128,"medium high",
Q328&gt;=128,"high"
)</f>
        <v>low</v>
      </c>
      <c r="S328" t="str" cm="1">
        <f t="array" ref="S328">_xlfn.IFS(J328&lt;700,"low",J328&lt;1600,"medium low",J328&lt;2200,"medium high",J328&gt;=2200,"high")</f>
        <v>medium high</v>
      </c>
      <c r="T328" t="str" cm="1">
        <f t="array" ref="T328">_xlfn.IFS(
J328&lt;630,"Low",
J328&lt;1287,"Medium",
J328&lt;1495,"Intermediate",
J328&lt;1668,"Moderately",
J328&lt;1843,"Transition",
J328&lt;2477,"High",
J328&lt;2996,"Refractory I",
TRUE,"Refractory II"
)</f>
        <v>High</v>
      </c>
      <c r="U328">
        <f t="shared" si="16"/>
        <v>0.43639733135656039</v>
      </c>
      <c r="V328" t="str" cm="1">
        <f t="array" ref="V328">_xlfn.IFS(U328&lt;0.25,"shallow condution",
U328&lt;0.5,"transition",
U328&lt;1,"conduction",
U328&lt;1.5,"transition",U328&lt;3,"keyholeⅠ",3&lt;=U328,"keyhole Ⅱ"
)</f>
        <v>transition</v>
      </c>
      <c r="X328">
        <f t="shared" si="17"/>
        <v>2.2914897231187363</v>
      </c>
    </row>
    <row r="329" spans="1:24">
      <c r="A329" s="2" t="s">
        <v>52</v>
      </c>
      <c r="B329" s="4">
        <v>100</v>
      </c>
      <c r="C329" s="4">
        <v>300</v>
      </c>
      <c r="D329" s="4">
        <v>6.52</v>
      </c>
      <c r="E329" s="4">
        <v>14</v>
      </c>
      <c r="F329" s="4">
        <v>580</v>
      </c>
      <c r="G329" s="16" t="s">
        <v>94</v>
      </c>
      <c r="H329" s="4">
        <v>0.27800000000000002</v>
      </c>
      <c r="I329" s="4">
        <v>22.6</v>
      </c>
      <c r="J329" s="4">
        <v>1855</v>
      </c>
      <c r="K329" s="4">
        <v>4377</v>
      </c>
      <c r="L329" s="4">
        <v>0.65</v>
      </c>
      <c r="M329" s="4">
        <v>231.98</v>
      </c>
      <c r="N329" s="5">
        <v>82</v>
      </c>
      <c r="Q329" s="1">
        <f t="shared" si="15"/>
        <v>85.470085470085465</v>
      </c>
      <c r="R329" t="str" cm="1">
        <f t="array" ref="R329">_xlfn.IFS(Q329&lt;42.7, "low",
Q329&lt;85.4,"medium low",
Q329&lt;128,"medium high",
Q329&gt;=128,"high"
)</f>
        <v>medium high</v>
      </c>
      <c r="S329" t="str" cm="1">
        <f t="array" ref="S329">_xlfn.IFS(J329&lt;700,"low",J329&lt;1600,"medium low",J329&lt;2200,"medium high",J329&gt;=2200,"high")</f>
        <v>medium high</v>
      </c>
      <c r="T329" t="str" cm="1">
        <f t="array" ref="T329">_xlfn.IFS(
J329&lt;630,"Low",
J329&lt;1287,"Medium",
J329&lt;1495,"Intermediate",
J329&lt;1668,"Moderately",
J329&lt;1843,"Transition",
J329&lt;2477,"High",
J329&lt;2996,"Refractory I",
TRUE,"Refractory II"
)</f>
        <v>High</v>
      </c>
      <c r="U329">
        <f t="shared" si="16"/>
        <v>0.35347874816794556</v>
      </c>
      <c r="V329" t="str" cm="1">
        <f t="array" ref="V329">_xlfn.IFS(U329&lt;0.25,"shallow condution",
U329&lt;0.5,"transition",
U329&lt;1,"conduction",
U329&lt;1.5,"transition",U329&lt;3,"keyholeⅠ",3&lt;=U329,"keyhole Ⅱ"
)</f>
        <v>transition</v>
      </c>
      <c r="X329">
        <f t="shared" si="17"/>
        <v>2.8290243902439025</v>
      </c>
    </row>
    <row r="330" spans="1:24">
      <c r="A330" s="2" t="s">
        <v>52</v>
      </c>
      <c r="B330" s="4">
        <v>150</v>
      </c>
      <c r="C330" s="4">
        <v>300</v>
      </c>
      <c r="D330" s="4">
        <v>6.52</v>
      </c>
      <c r="E330" s="4">
        <v>14</v>
      </c>
      <c r="F330" s="4">
        <v>580</v>
      </c>
      <c r="G330" s="16" t="s">
        <v>94</v>
      </c>
      <c r="H330" s="4">
        <v>0.27800000000000002</v>
      </c>
      <c r="I330" s="4">
        <v>22.6</v>
      </c>
      <c r="J330" s="4">
        <v>1855</v>
      </c>
      <c r="K330" s="4">
        <v>4377</v>
      </c>
      <c r="L330" s="4">
        <v>0.65</v>
      </c>
      <c r="M330" s="4">
        <v>233</v>
      </c>
      <c r="N330" s="5">
        <v>196.5</v>
      </c>
      <c r="Q330" s="1">
        <f t="shared" si="15"/>
        <v>128.2051282051282</v>
      </c>
      <c r="R330" t="str" cm="1">
        <f t="array" ref="R330">_xlfn.IFS(Q330&lt;42.7, "low",
Q330&lt;85.4,"medium low",
Q330&lt;128,"medium high",
Q330&gt;=128,"high"
)</f>
        <v>high</v>
      </c>
      <c r="S330" t="str" cm="1">
        <f t="array" ref="S330">_xlfn.IFS(J330&lt;700,"low",J330&lt;1600,"medium low",J330&lt;2200,"medium high",J330&gt;=2200,"high")</f>
        <v>medium high</v>
      </c>
      <c r="T330" t="str" cm="1">
        <f t="array" ref="T330">_xlfn.IFS(
J330&lt;630,"Low",
J330&lt;1287,"Medium",
J330&lt;1495,"Intermediate",
J330&lt;1668,"Moderately",
J330&lt;1843,"Transition",
J330&lt;2477,"High",
J330&lt;2996,"Refractory I",
TRUE,"Refractory II"
)</f>
        <v>High</v>
      </c>
      <c r="U330">
        <f t="shared" si="16"/>
        <v>0.8433476394849786</v>
      </c>
      <c r="V330" t="str" cm="1">
        <f t="array" ref="V330">_xlfn.IFS(U330&lt;0.25,"shallow condution",
U330&lt;0.5,"transition",
U330&lt;1,"conduction",
U330&lt;1.5,"transition",U330&lt;3,"keyholeⅠ",3&lt;=U330,"keyhole Ⅱ"
)</f>
        <v>conduction</v>
      </c>
      <c r="X330">
        <f t="shared" si="17"/>
        <v>1.1857506361323156</v>
      </c>
    </row>
    <row r="331" spans="1:24">
      <c r="A331" s="2" t="s">
        <v>52</v>
      </c>
      <c r="B331" s="4">
        <v>200</v>
      </c>
      <c r="C331" s="4">
        <v>300</v>
      </c>
      <c r="D331" s="4">
        <v>6.52</v>
      </c>
      <c r="E331" s="4">
        <v>14</v>
      </c>
      <c r="F331" s="4">
        <v>580</v>
      </c>
      <c r="G331" s="16" t="s">
        <v>94</v>
      </c>
      <c r="H331" s="4">
        <v>0.27800000000000002</v>
      </c>
      <c r="I331" s="4">
        <v>22.6</v>
      </c>
      <c r="J331" s="4">
        <v>1855</v>
      </c>
      <c r="K331" s="4">
        <v>4377</v>
      </c>
      <c r="L331" s="4">
        <v>0.65</v>
      </c>
      <c r="M331" s="4">
        <v>247.19</v>
      </c>
      <c r="N331" s="5">
        <v>307</v>
      </c>
      <c r="Q331" s="1">
        <f t="shared" si="15"/>
        <v>170.94017094017093</v>
      </c>
      <c r="R331" t="str" cm="1">
        <f t="array" ref="R331">_xlfn.IFS(Q331&lt;42.7, "low",
Q331&lt;85.4,"medium low",
Q331&lt;128,"medium high",
Q331&gt;=128,"high"
)</f>
        <v>high</v>
      </c>
      <c r="S331" t="str" cm="1">
        <f t="array" ref="S331">_xlfn.IFS(J331&lt;700,"low",J331&lt;1600,"medium low",J331&lt;2200,"medium high",J331&gt;=2200,"high")</f>
        <v>medium high</v>
      </c>
      <c r="T331" t="str" cm="1">
        <f t="array" ref="T331">_xlfn.IFS(
J331&lt;630,"Low",
J331&lt;1287,"Medium",
J331&lt;1495,"Intermediate",
J331&lt;1668,"Moderately",
J331&lt;1843,"Transition",
J331&lt;2477,"High",
J331&lt;2996,"Refractory I",
TRUE,"Refractory II"
)</f>
        <v>High</v>
      </c>
      <c r="U331">
        <f t="shared" si="16"/>
        <v>1.2419596261984709</v>
      </c>
      <c r="V331" t="str" cm="1">
        <f t="array" ref="V331">_xlfn.IFS(U331&lt;0.25,"shallow condution",
U331&lt;0.5,"transition",
U331&lt;1,"conduction",
U331&lt;1.5,"transition",U331&lt;3,"keyholeⅠ",3&lt;=U331,"keyhole Ⅱ"
)</f>
        <v>transition</v>
      </c>
      <c r="X331">
        <f t="shared" si="17"/>
        <v>0.80517915309446253</v>
      </c>
    </row>
    <row r="332" spans="1:24">
      <c r="A332" s="2" t="s">
        <v>52</v>
      </c>
      <c r="B332" s="4">
        <v>250</v>
      </c>
      <c r="C332" s="4">
        <v>300</v>
      </c>
      <c r="D332" s="4">
        <v>6.52</v>
      </c>
      <c r="E332" s="4">
        <v>14</v>
      </c>
      <c r="F332" s="4">
        <v>580</v>
      </c>
      <c r="G332" s="16" t="s">
        <v>94</v>
      </c>
      <c r="H332" s="4">
        <v>0.27800000000000002</v>
      </c>
      <c r="I332" s="4">
        <v>22.6</v>
      </c>
      <c r="J332" s="4">
        <v>1855</v>
      </c>
      <c r="K332" s="4">
        <v>4377</v>
      </c>
      <c r="L332" s="4">
        <v>0.65</v>
      </c>
      <c r="M332" s="4">
        <v>289</v>
      </c>
      <c r="N332" s="5">
        <v>354</v>
      </c>
      <c r="Q332" s="1">
        <f t="shared" si="15"/>
        <v>213.67521367521368</v>
      </c>
      <c r="R332" t="str" cm="1">
        <f t="array" ref="R332">_xlfn.IFS(Q332&lt;42.7, "low",
Q332&lt;85.4,"medium low",
Q332&lt;128,"medium high",
Q332&gt;=128,"high"
)</f>
        <v>high</v>
      </c>
      <c r="S332" t="str" cm="1">
        <f t="array" ref="S332">_xlfn.IFS(J332&lt;700,"low",J332&lt;1600,"medium low",J332&lt;2200,"medium high",J332&gt;=2200,"high")</f>
        <v>medium high</v>
      </c>
      <c r="T332" t="str" cm="1">
        <f t="array" ref="T332">_xlfn.IFS(
J332&lt;630,"Low",
J332&lt;1287,"Medium",
J332&lt;1495,"Intermediate",
J332&lt;1668,"Moderately",
J332&lt;1843,"Transition",
J332&lt;2477,"High",
J332&lt;2996,"Refractory I",
TRUE,"Refractory II"
)</f>
        <v>High</v>
      </c>
      <c r="U332">
        <f t="shared" si="16"/>
        <v>1.2249134948096885</v>
      </c>
      <c r="V332" t="str" cm="1">
        <f t="array" ref="V332">_xlfn.IFS(U332&lt;0.25,"shallow condution",
U332&lt;0.5,"transition",
U332&lt;1,"conduction",
U332&lt;1.5,"transition",U332&lt;3,"keyholeⅠ",3&lt;=U332,"keyhole Ⅱ"
)</f>
        <v>transition</v>
      </c>
      <c r="X332">
        <f t="shared" si="17"/>
        <v>0.81638418079096042</v>
      </c>
    </row>
    <row r="333" spans="1:24">
      <c r="A333" s="2" t="s">
        <v>52</v>
      </c>
      <c r="B333" s="4">
        <v>300</v>
      </c>
      <c r="C333" s="4">
        <v>300</v>
      </c>
      <c r="D333" s="4">
        <v>6.52</v>
      </c>
      <c r="E333" s="4">
        <v>14</v>
      </c>
      <c r="F333" s="4">
        <v>580</v>
      </c>
      <c r="G333" s="16" t="s">
        <v>94</v>
      </c>
      <c r="H333" s="4">
        <v>0.27800000000000002</v>
      </c>
      <c r="I333" s="4">
        <v>22.6</v>
      </c>
      <c r="J333" s="4">
        <v>1855</v>
      </c>
      <c r="K333" s="4">
        <v>4377</v>
      </c>
      <c r="L333" s="4">
        <v>0.65</v>
      </c>
      <c r="M333" s="4">
        <v>293.55</v>
      </c>
      <c r="N333" s="5">
        <v>462.91</v>
      </c>
      <c r="Q333" s="1">
        <f t="shared" si="15"/>
        <v>256.41025641025641</v>
      </c>
      <c r="R333" t="str" cm="1">
        <f t="array" ref="R333">_xlfn.IFS(Q333&lt;42.7, "low",
Q333&lt;85.4,"medium low",
Q333&lt;128,"medium high",
Q333&gt;=128,"high"
)</f>
        <v>high</v>
      </c>
      <c r="S333" t="str" cm="1">
        <f t="array" ref="S333">_xlfn.IFS(J333&lt;700,"low",J333&lt;1600,"medium low",J333&lt;2200,"medium high",J333&gt;=2200,"high")</f>
        <v>medium high</v>
      </c>
      <c r="T333" t="str" cm="1">
        <f t="array" ref="T333">_xlfn.IFS(
J333&lt;630,"Low",
J333&lt;1287,"Medium",
J333&lt;1495,"Intermediate",
J333&lt;1668,"Moderately",
J333&lt;1843,"Transition",
J333&lt;2477,"High",
J333&lt;2996,"Refractory I",
TRUE,"Refractory II"
)</f>
        <v>High</v>
      </c>
      <c r="U333">
        <f t="shared" si="16"/>
        <v>1.5769374893544541</v>
      </c>
      <c r="V333" t="str" cm="1">
        <f t="array" ref="V333">_xlfn.IFS(U333&lt;0.25,"shallow condution",
U333&lt;0.5,"transition",
U333&lt;1,"conduction",
U333&lt;1.5,"transition",U333&lt;3,"keyholeⅠ",3&lt;=U333,"keyhole Ⅱ"
)</f>
        <v>keyholeⅠ</v>
      </c>
      <c r="X333">
        <f t="shared" si="17"/>
        <v>0.63414054567842559</v>
      </c>
    </row>
    <row r="334" spans="1:24">
      <c r="A334" s="2" t="s">
        <v>52</v>
      </c>
      <c r="B334" s="4">
        <v>100</v>
      </c>
      <c r="C334" s="4">
        <v>600</v>
      </c>
      <c r="D334" s="4">
        <v>6.52</v>
      </c>
      <c r="E334" s="4">
        <v>14</v>
      </c>
      <c r="F334" s="4">
        <v>580</v>
      </c>
      <c r="G334" s="16" t="s">
        <v>94</v>
      </c>
      <c r="H334" s="4">
        <v>0.27800000000000002</v>
      </c>
      <c r="I334" s="4">
        <v>22.6</v>
      </c>
      <c r="J334" s="4">
        <v>1855</v>
      </c>
      <c r="K334" s="4">
        <v>4377</v>
      </c>
      <c r="L334" s="4">
        <v>0.65</v>
      </c>
      <c r="M334" s="4">
        <v>136.44999999999999</v>
      </c>
      <c r="N334" s="5">
        <v>39.770000000000003</v>
      </c>
      <c r="Q334" s="1">
        <f t="shared" si="15"/>
        <v>42.735042735042732</v>
      </c>
      <c r="R334" t="str" cm="1">
        <f t="array" ref="R334">_xlfn.IFS(Q334&lt;42.7, "low",
Q334&lt;85.4,"medium low",
Q334&lt;128,"medium high",
Q334&gt;=128,"high"
)</f>
        <v>medium low</v>
      </c>
      <c r="S334" t="str" cm="1">
        <f t="array" ref="S334">_xlfn.IFS(J334&lt;700,"low",J334&lt;1600,"medium low",J334&lt;2200,"medium high",J334&gt;=2200,"high")</f>
        <v>medium high</v>
      </c>
      <c r="T334" t="str" cm="1">
        <f t="array" ref="T334">_xlfn.IFS(
J334&lt;630,"Low",
J334&lt;1287,"Medium",
J334&lt;1495,"Intermediate",
J334&lt;1668,"Moderately",
J334&lt;1843,"Transition",
J334&lt;2477,"High",
J334&lt;2996,"Refractory I",
TRUE,"Refractory II"
)</f>
        <v>High</v>
      </c>
      <c r="U334">
        <f t="shared" si="16"/>
        <v>0.29146207401978752</v>
      </c>
      <c r="V334" t="str" cm="1">
        <f t="array" ref="V334">_xlfn.IFS(U334&lt;0.25,"shallow condution",
U334&lt;0.5,"transition",
U334&lt;1,"conduction",
U334&lt;1.5,"transition",U334&lt;3,"keyholeⅠ",3&lt;=U334,"keyhole Ⅱ"
)</f>
        <v>transition</v>
      </c>
      <c r="X334">
        <f t="shared" si="17"/>
        <v>3.4309781242142314</v>
      </c>
    </row>
    <row r="335" spans="1:24">
      <c r="A335" s="2" t="s">
        <v>52</v>
      </c>
      <c r="B335" s="4">
        <v>150</v>
      </c>
      <c r="C335" s="4">
        <v>600</v>
      </c>
      <c r="D335" s="4">
        <v>6.52</v>
      </c>
      <c r="E335" s="4">
        <v>14</v>
      </c>
      <c r="F335" s="4">
        <v>580</v>
      </c>
      <c r="G335" s="16" t="s">
        <v>94</v>
      </c>
      <c r="H335" s="4">
        <v>0.27800000000000002</v>
      </c>
      <c r="I335" s="4">
        <v>22.6</v>
      </c>
      <c r="J335" s="4">
        <v>1855</v>
      </c>
      <c r="K335" s="4">
        <v>4377</v>
      </c>
      <c r="L335" s="4">
        <v>0.65</v>
      </c>
      <c r="M335" s="4">
        <v>137.79</v>
      </c>
      <c r="N335" s="5">
        <v>122.11</v>
      </c>
      <c r="Q335" s="1">
        <f t="shared" si="15"/>
        <v>64.102564102564102</v>
      </c>
      <c r="R335" t="str" cm="1">
        <f t="array" ref="R335">_xlfn.IFS(Q335&lt;42.7, "low",
Q335&lt;85.4,"medium low",
Q335&lt;128,"medium high",
Q335&gt;=128,"high"
)</f>
        <v>medium low</v>
      </c>
      <c r="S335" t="str" cm="1">
        <f t="array" ref="S335">_xlfn.IFS(J335&lt;700,"low",J335&lt;1600,"medium low",J335&lt;2200,"medium high",J335&gt;=2200,"high")</f>
        <v>medium high</v>
      </c>
      <c r="T335" t="str" cm="1">
        <f t="array" ref="T335">_xlfn.IFS(
J335&lt;630,"Low",
J335&lt;1287,"Medium",
J335&lt;1495,"Intermediate",
J335&lt;1668,"Moderately",
J335&lt;1843,"Transition",
J335&lt;2477,"High",
J335&lt;2996,"Refractory I",
TRUE,"Refractory II"
)</f>
        <v>High</v>
      </c>
      <c r="U335">
        <f t="shared" si="16"/>
        <v>0.88620364322519785</v>
      </c>
      <c r="V335" t="str" cm="1">
        <f t="array" ref="V335">_xlfn.IFS(U335&lt;0.25,"shallow condution",
U335&lt;0.5,"transition",
U335&lt;1,"conduction",
U335&lt;1.5,"transition",U335&lt;3,"keyholeⅠ",3&lt;=U335,"keyhole Ⅱ"
)</f>
        <v>conduction</v>
      </c>
      <c r="X335">
        <f t="shared" si="17"/>
        <v>1.1284088117271311</v>
      </c>
    </row>
    <row r="336" spans="1:24">
      <c r="A336" s="2" t="s">
        <v>52</v>
      </c>
      <c r="B336" s="4">
        <v>200</v>
      </c>
      <c r="C336" s="4">
        <v>600</v>
      </c>
      <c r="D336" s="4">
        <v>6.52</v>
      </c>
      <c r="E336" s="4">
        <v>14</v>
      </c>
      <c r="F336" s="4">
        <v>580</v>
      </c>
      <c r="G336" s="16" t="s">
        <v>94</v>
      </c>
      <c r="H336" s="4">
        <v>0.27800000000000002</v>
      </c>
      <c r="I336" s="4">
        <v>22.6</v>
      </c>
      <c r="J336" s="4">
        <v>1855</v>
      </c>
      <c r="K336" s="4">
        <v>4377</v>
      </c>
      <c r="L336" s="4">
        <v>0.65</v>
      </c>
      <c r="M336" s="4">
        <v>217.19</v>
      </c>
      <c r="N336" s="5">
        <v>188.78</v>
      </c>
      <c r="Q336" s="1">
        <f t="shared" si="15"/>
        <v>85.470085470085465</v>
      </c>
      <c r="R336" t="str" cm="1">
        <f t="array" ref="R336">_xlfn.IFS(Q336&lt;42.7, "low",
Q336&lt;85.4,"medium low",
Q336&lt;128,"medium high",
Q336&gt;=128,"high"
)</f>
        <v>medium high</v>
      </c>
      <c r="S336" t="str" cm="1">
        <f t="array" ref="S336">_xlfn.IFS(J336&lt;700,"low",J336&lt;1600,"medium low",J336&lt;2200,"medium high",J336&gt;=2200,"high")</f>
        <v>medium high</v>
      </c>
      <c r="T336" t="str" cm="1">
        <f t="array" ref="T336">_xlfn.IFS(
J336&lt;630,"Low",
J336&lt;1287,"Medium",
J336&lt;1495,"Intermediate",
J336&lt;1668,"Moderately",
J336&lt;1843,"Transition",
J336&lt;2477,"High",
J336&lt;2996,"Refractory I",
TRUE,"Refractory II"
)</f>
        <v>High</v>
      </c>
      <c r="U336">
        <f t="shared" si="16"/>
        <v>0.86919287260002764</v>
      </c>
      <c r="V336" t="str" cm="1">
        <f t="array" ref="V336">_xlfn.IFS(U336&lt;0.25,"shallow condution",
U336&lt;0.5,"transition",
U336&lt;1,"conduction",
U336&lt;1.5,"transition",U336&lt;3,"keyholeⅠ",3&lt;=U336,"keyhole Ⅱ"
)</f>
        <v>conduction</v>
      </c>
      <c r="X336">
        <f t="shared" si="17"/>
        <v>1.1504926369318784</v>
      </c>
    </row>
    <row r="337" spans="1:24">
      <c r="A337" s="2" t="s">
        <v>52</v>
      </c>
      <c r="B337" s="4">
        <v>250</v>
      </c>
      <c r="C337" s="4">
        <v>600</v>
      </c>
      <c r="D337" s="4">
        <v>6.52</v>
      </c>
      <c r="E337" s="4">
        <v>14</v>
      </c>
      <c r="F337" s="4">
        <v>580</v>
      </c>
      <c r="G337" s="16" t="s">
        <v>94</v>
      </c>
      <c r="H337" s="4">
        <v>0.27800000000000002</v>
      </c>
      <c r="I337" s="4">
        <v>22.6</v>
      </c>
      <c r="J337" s="4">
        <v>1855</v>
      </c>
      <c r="K337" s="4">
        <v>4377</v>
      </c>
      <c r="L337" s="4">
        <v>0.65</v>
      </c>
      <c r="M337" s="4">
        <v>225.97</v>
      </c>
      <c r="N337" s="5">
        <v>190.62</v>
      </c>
      <c r="Q337" s="1">
        <f t="shared" si="15"/>
        <v>106.83760683760684</v>
      </c>
      <c r="R337" t="str" cm="1">
        <f t="array" ref="R337">_xlfn.IFS(Q337&lt;42.7, "low",
Q337&lt;85.4,"medium low",
Q337&lt;128,"medium high",
Q337&gt;=128,"high"
)</f>
        <v>medium high</v>
      </c>
      <c r="S337" t="str" cm="1">
        <f t="array" ref="S337">_xlfn.IFS(J337&lt;700,"low",J337&lt;1600,"medium low",J337&lt;2200,"medium high",J337&gt;=2200,"high")</f>
        <v>medium high</v>
      </c>
      <c r="T337" t="str" cm="1">
        <f t="array" ref="T337">_xlfn.IFS(
J337&lt;630,"Low",
J337&lt;1287,"Medium",
J337&lt;1495,"Intermediate",
J337&lt;1668,"Moderately",
J337&lt;1843,"Transition",
J337&lt;2477,"High",
J337&lt;2996,"Refractory I",
TRUE,"Refractory II"
)</f>
        <v>High</v>
      </c>
      <c r="U337">
        <f t="shared" si="16"/>
        <v>0.84356330486347753</v>
      </c>
      <c r="V337" t="str" cm="1">
        <f t="array" ref="V337">_xlfn.IFS(U337&lt;0.25,"shallow condution",
U337&lt;0.5,"transition",
U337&lt;1,"conduction",
U337&lt;1.5,"transition",U337&lt;3,"keyholeⅠ",3&lt;=U337,"keyhole Ⅱ"
)</f>
        <v>conduction</v>
      </c>
      <c r="X337">
        <f t="shared" si="17"/>
        <v>1.1854474871472038</v>
      </c>
    </row>
    <row r="338" spans="1:24">
      <c r="A338" s="2" t="s">
        <v>52</v>
      </c>
      <c r="B338" s="4">
        <v>300</v>
      </c>
      <c r="C338" s="4">
        <v>600</v>
      </c>
      <c r="D338" s="4">
        <v>6.52</v>
      </c>
      <c r="E338" s="4">
        <v>14</v>
      </c>
      <c r="F338" s="4">
        <v>580</v>
      </c>
      <c r="G338" s="16" t="s">
        <v>94</v>
      </c>
      <c r="H338" s="4">
        <v>0.27800000000000002</v>
      </c>
      <c r="I338" s="4">
        <v>22.6</v>
      </c>
      <c r="J338" s="4">
        <v>1855</v>
      </c>
      <c r="K338" s="4">
        <v>4377</v>
      </c>
      <c r="L338" s="4">
        <v>0.65</v>
      </c>
      <c r="M338" s="4">
        <v>267.27</v>
      </c>
      <c r="N338" s="5">
        <v>222.62</v>
      </c>
      <c r="Q338" s="1">
        <f t="shared" si="15"/>
        <v>128.2051282051282</v>
      </c>
      <c r="R338" t="str" cm="1">
        <f t="array" ref="R338">_xlfn.IFS(Q338&lt;42.7, "low",
Q338&lt;85.4,"medium low",
Q338&lt;128,"medium high",
Q338&gt;=128,"high"
)</f>
        <v>high</v>
      </c>
      <c r="S338" t="str" cm="1">
        <f t="array" ref="S338">_xlfn.IFS(J338&lt;700,"low",J338&lt;1600,"medium low",J338&lt;2200,"medium high",J338&gt;=2200,"high")</f>
        <v>medium high</v>
      </c>
      <c r="T338" t="str" cm="1">
        <f t="array" ref="T338">_xlfn.IFS(
J338&lt;630,"Low",
J338&lt;1287,"Medium",
J338&lt;1495,"Intermediate",
J338&lt;1668,"Moderately",
J338&lt;1843,"Transition",
J338&lt;2477,"High",
J338&lt;2996,"Refractory I",
TRUE,"Refractory II"
)</f>
        <v>High</v>
      </c>
      <c r="U338">
        <f t="shared" si="16"/>
        <v>0.83294047218168898</v>
      </c>
      <c r="V338" t="str" cm="1">
        <f t="array" ref="V338">_xlfn.IFS(U338&lt;0.25,"shallow condution",
U338&lt;0.5,"transition",
U338&lt;1,"conduction",
U338&lt;1.5,"transition",U338&lt;3,"keyholeⅠ",3&lt;=U338,"keyhole Ⅱ"
)</f>
        <v>conduction</v>
      </c>
      <c r="X338">
        <f t="shared" si="17"/>
        <v>1.2005659868834784</v>
      </c>
    </row>
    <row r="339" spans="1:24">
      <c r="A339" s="2" t="s">
        <v>52</v>
      </c>
      <c r="B339" s="4">
        <v>100</v>
      </c>
      <c r="C339" s="4">
        <v>900</v>
      </c>
      <c r="D339" s="4">
        <v>6.52</v>
      </c>
      <c r="E339" s="4">
        <v>14</v>
      </c>
      <c r="F339" s="4">
        <v>580</v>
      </c>
      <c r="G339" s="16" t="s">
        <v>94</v>
      </c>
      <c r="H339" s="4">
        <v>0.27800000000000002</v>
      </c>
      <c r="I339" s="4">
        <v>22.6</v>
      </c>
      <c r="J339" s="4">
        <v>1855</v>
      </c>
      <c r="K339" s="4">
        <v>4377</v>
      </c>
      <c r="L339" s="4">
        <v>0.65</v>
      </c>
      <c r="M339" s="4">
        <v>132.78</v>
      </c>
      <c r="N339" s="5">
        <v>44.7</v>
      </c>
      <c r="Q339" s="1">
        <f t="shared" si="15"/>
        <v>28.490028490028489</v>
      </c>
      <c r="R339" t="str" cm="1">
        <f t="array" ref="R339">_xlfn.IFS(Q339&lt;42.7, "low",
Q339&lt;85.4,"medium low",
Q339&lt;128,"medium high",
Q339&gt;=128,"high"
)</f>
        <v>low</v>
      </c>
      <c r="S339" t="str" cm="1">
        <f t="array" ref="S339">_xlfn.IFS(J339&lt;700,"low",J339&lt;1600,"medium low",J339&lt;2200,"medium high",J339&gt;=2200,"high")</f>
        <v>medium high</v>
      </c>
      <c r="T339" t="str" cm="1">
        <f t="array" ref="T339">_xlfn.IFS(
J339&lt;630,"Low",
J339&lt;1287,"Medium",
J339&lt;1495,"Intermediate",
J339&lt;1668,"Moderately",
J339&lt;1843,"Transition",
J339&lt;2477,"High",
J339&lt;2996,"Refractory I",
TRUE,"Refractory II"
)</f>
        <v>High</v>
      </c>
      <c r="U339">
        <f t="shared" si="16"/>
        <v>0.33664708540442839</v>
      </c>
      <c r="V339" t="str" cm="1">
        <f t="array" ref="V339">_xlfn.IFS(U339&lt;0.25,"shallow condution",
U339&lt;0.5,"transition",
U339&lt;1,"conduction",
U339&lt;1.5,"transition",U339&lt;3,"keyholeⅠ",3&lt;=U339,"keyhole Ⅱ"
)</f>
        <v>transition</v>
      </c>
      <c r="X339">
        <f t="shared" si="17"/>
        <v>2.9704697986577178</v>
      </c>
    </row>
    <row r="340" spans="1:24">
      <c r="A340" s="2" t="s">
        <v>52</v>
      </c>
      <c r="B340" s="4">
        <v>150</v>
      </c>
      <c r="C340" s="4">
        <v>900</v>
      </c>
      <c r="D340" s="4">
        <v>6.52</v>
      </c>
      <c r="E340" s="4">
        <v>14</v>
      </c>
      <c r="F340" s="4">
        <v>580</v>
      </c>
      <c r="G340" s="16" t="s">
        <v>94</v>
      </c>
      <c r="H340" s="4">
        <v>0.27800000000000002</v>
      </c>
      <c r="I340" s="4">
        <v>22.6</v>
      </c>
      <c r="J340" s="4">
        <v>1855</v>
      </c>
      <c r="K340" s="4">
        <v>4377</v>
      </c>
      <c r="L340" s="4">
        <v>0.65</v>
      </c>
      <c r="M340" s="4">
        <v>140</v>
      </c>
      <c r="N340" s="5">
        <v>82.28</v>
      </c>
      <c r="Q340" s="1">
        <f t="shared" si="15"/>
        <v>42.735042735042732</v>
      </c>
      <c r="R340" t="str" cm="1">
        <f t="array" ref="R340">_xlfn.IFS(Q340&lt;42.7, "low",
Q340&lt;85.4,"medium low",
Q340&lt;128,"medium high",
Q340&gt;=128,"high"
)</f>
        <v>medium low</v>
      </c>
      <c r="S340" t="str" cm="1">
        <f t="array" ref="S340">_xlfn.IFS(J340&lt;700,"low",J340&lt;1600,"medium low",J340&lt;2200,"medium high",J340&gt;=2200,"high")</f>
        <v>medium high</v>
      </c>
      <c r="T340" t="str" cm="1">
        <f t="array" ref="T340">_xlfn.IFS(
J340&lt;630,"Low",
J340&lt;1287,"Medium",
J340&lt;1495,"Intermediate",
J340&lt;1668,"Moderately",
J340&lt;1843,"Transition",
J340&lt;2477,"High",
J340&lt;2996,"Refractory I",
TRUE,"Refractory II"
)</f>
        <v>High</v>
      </c>
      <c r="U340">
        <f t="shared" si="16"/>
        <v>0.58771428571428574</v>
      </c>
      <c r="V340" t="str" cm="1">
        <f t="array" ref="V340">_xlfn.IFS(U340&lt;0.25,"shallow condution",
U340&lt;0.5,"transition",
U340&lt;1,"conduction",
U340&lt;1.5,"transition",U340&lt;3,"keyholeⅠ",3&lt;=U340,"keyhole Ⅱ"
)</f>
        <v>conduction</v>
      </c>
      <c r="X340">
        <f t="shared" si="17"/>
        <v>1.7015070491006319</v>
      </c>
    </row>
    <row r="341" spans="1:24">
      <c r="A341" s="2" t="s">
        <v>52</v>
      </c>
      <c r="B341" s="4">
        <v>200</v>
      </c>
      <c r="C341" s="4">
        <v>900</v>
      </c>
      <c r="D341" s="4">
        <v>6.52</v>
      </c>
      <c r="E341" s="4">
        <v>14</v>
      </c>
      <c r="F341" s="4">
        <v>580</v>
      </c>
      <c r="G341" s="16" t="s">
        <v>94</v>
      </c>
      <c r="H341" s="4">
        <v>0.27800000000000002</v>
      </c>
      <c r="I341" s="4">
        <v>22.6</v>
      </c>
      <c r="J341" s="4">
        <v>1855</v>
      </c>
      <c r="K341" s="4">
        <v>4377</v>
      </c>
      <c r="L341" s="4">
        <v>0.65</v>
      </c>
      <c r="M341" s="4">
        <v>129.94999999999999</v>
      </c>
      <c r="N341" s="5">
        <v>95.26</v>
      </c>
      <c r="Q341" s="1">
        <f t="shared" si="15"/>
        <v>56.980056980056979</v>
      </c>
      <c r="R341" t="str" cm="1">
        <f t="array" ref="R341">_xlfn.IFS(Q341&lt;42.7, "low",
Q341&lt;85.4,"medium low",
Q341&lt;128,"medium high",
Q341&gt;=128,"high"
)</f>
        <v>medium low</v>
      </c>
      <c r="S341" t="str" cm="1">
        <f t="array" ref="S341">_xlfn.IFS(J341&lt;700,"low",J341&lt;1600,"medium low",J341&lt;2200,"medium high",J341&gt;=2200,"high")</f>
        <v>medium high</v>
      </c>
      <c r="T341" t="str" cm="1">
        <f t="array" ref="T341">_xlfn.IFS(
J341&lt;630,"Low",
J341&lt;1287,"Medium",
J341&lt;1495,"Intermediate",
J341&lt;1668,"Moderately",
J341&lt;1843,"Transition",
J341&lt;2477,"High",
J341&lt;2996,"Refractory I",
TRUE,"Refractory II"
)</f>
        <v>High</v>
      </c>
      <c r="U341">
        <f t="shared" si="16"/>
        <v>0.7330511735282802</v>
      </c>
      <c r="V341" t="str" cm="1">
        <f t="array" ref="V341">_xlfn.IFS(U341&lt;0.25,"shallow condution",
U341&lt;0.5,"transition",
U341&lt;1,"conduction",
U341&lt;1.5,"transition",U341&lt;3,"keyholeⅠ",3&lt;=U341,"keyhole Ⅱ"
)</f>
        <v>conduction</v>
      </c>
      <c r="X341">
        <f t="shared" si="17"/>
        <v>1.3641612429141297</v>
      </c>
    </row>
    <row r="342" spans="1:24">
      <c r="A342" s="2" t="s">
        <v>52</v>
      </c>
      <c r="B342" s="4">
        <v>250</v>
      </c>
      <c r="C342" s="4">
        <v>900</v>
      </c>
      <c r="D342" s="4">
        <v>6.52</v>
      </c>
      <c r="E342" s="4">
        <v>14</v>
      </c>
      <c r="F342" s="4">
        <v>580</v>
      </c>
      <c r="G342" s="16" t="s">
        <v>94</v>
      </c>
      <c r="H342" s="4">
        <v>0.27800000000000002</v>
      </c>
      <c r="I342" s="4">
        <v>22.6</v>
      </c>
      <c r="J342" s="4">
        <v>1855</v>
      </c>
      <c r="K342" s="4">
        <v>4377</v>
      </c>
      <c r="L342" s="4">
        <v>0.65</v>
      </c>
      <c r="M342" s="4">
        <v>173</v>
      </c>
      <c r="N342" s="5">
        <v>156.91</v>
      </c>
      <c r="Q342" s="1">
        <f t="shared" si="15"/>
        <v>71.225071225071218</v>
      </c>
      <c r="R342" t="str" cm="1">
        <f t="array" ref="R342">_xlfn.IFS(Q342&lt;42.7, "low",
Q342&lt;85.4,"medium low",
Q342&lt;128,"medium high",
Q342&gt;=128,"high"
)</f>
        <v>medium low</v>
      </c>
      <c r="S342" t="str" cm="1">
        <f t="array" ref="S342">_xlfn.IFS(J342&lt;700,"low",J342&lt;1600,"medium low",J342&lt;2200,"medium high",J342&gt;=2200,"high")</f>
        <v>medium high</v>
      </c>
      <c r="T342" t="str" cm="1">
        <f t="array" ref="T342">_xlfn.IFS(
J342&lt;630,"Low",
J342&lt;1287,"Medium",
J342&lt;1495,"Intermediate",
J342&lt;1668,"Moderately",
J342&lt;1843,"Transition",
J342&lt;2477,"High",
J342&lt;2996,"Refractory I",
TRUE,"Refractory II"
)</f>
        <v>High</v>
      </c>
      <c r="U342">
        <f t="shared" si="16"/>
        <v>0.90699421965317917</v>
      </c>
      <c r="V342" t="str" cm="1">
        <f t="array" ref="V342">_xlfn.IFS(U342&lt;0.25,"shallow condution",
U342&lt;0.5,"transition",
U342&lt;1,"conduction",
U342&lt;1.5,"transition",U342&lt;3,"keyholeⅠ",3&lt;=U342,"keyhole Ⅱ"
)</f>
        <v>conduction</v>
      </c>
      <c r="X342">
        <f t="shared" si="17"/>
        <v>1.1025428589637372</v>
      </c>
    </row>
    <row r="343" spans="1:24" ht="14.45" thickBot="1">
      <c r="A343" s="3" t="s">
        <v>52</v>
      </c>
      <c r="B343" s="7">
        <v>300</v>
      </c>
      <c r="C343" s="7">
        <v>900</v>
      </c>
      <c r="D343" s="7">
        <v>6.52</v>
      </c>
      <c r="E343" s="7">
        <v>14</v>
      </c>
      <c r="F343" s="7">
        <v>580</v>
      </c>
      <c r="G343" s="16" t="s">
        <v>94</v>
      </c>
      <c r="H343" s="7">
        <v>0.27800000000000002</v>
      </c>
      <c r="I343" s="7">
        <v>22.6</v>
      </c>
      <c r="J343" s="7">
        <v>1855</v>
      </c>
      <c r="K343" s="7">
        <v>4377</v>
      </c>
      <c r="L343" s="7">
        <v>0.65</v>
      </c>
      <c r="M343" s="7">
        <v>166.13</v>
      </c>
      <c r="N343" s="15">
        <v>198.48</v>
      </c>
      <c r="Q343" s="1">
        <f t="shared" si="15"/>
        <v>85.470085470085465</v>
      </c>
      <c r="R343" t="str" cm="1">
        <f t="array" ref="R343">_xlfn.IFS(Q343&lt;42.7, "low",
Q343&lt;85.4,"medium low",
Q343&lt;128,"medium high",
Q343&gt;=128,"high"
)</f>
        <v>medium high</v>
      </c>
      <c r="S343" t="str" cm="1">
        <f t="array" ref="S343">_xlfn.IFS(J343&lt;700,"low",J343&lt;1600,"medium low",J343&lt;2200,"medium high",J343&gt;=2200,"high")</f>
        <v>medium high</v>
      </c>
      <c r="T343" t="str" cm="1">
        <f t="array" ref="T343">_xlfn.IFS(
J343&lt;630,"Low",
J343&lt;1287,"Medium",
J343&lt;1495,"Intermediate",
J343&lt;1668,"Moderately",
J343&lt;1843,"Transition",
J343&lt;2477,"High",
J343&lt;2996,"Refractory I",
TRUE,"Refractory II"
)</f>
        <v>High</v>
      </c>
      <c r="U343">
        <f t="shared" si="16"/>
        <v>1.1947270210076446</v>
      </c>
      <c r="V343" t="str" cm="1">
        <f t="array" ref="V343">_xlfn.IFS(U343&lt;0.25,"shallow condution",
U343&lt;0.5,"transition",
U343&lt;1,"conduction",
U343&lt;1.5,"transition",U343&lt;3,"keyholeⅠ",3&lt;=U343,"keyhole Ⅱ"
)</f>
        <v>transition</v>
      </c>
      <c r="X343">
        <f t="shared" si="17"/>
        <v>0.83701128577186623</v>
      </c>
    </row>
    <row r="344" spans="1:24">
      <c r="A344" s="19" t="s">
        <v>53</v>
      </c>
      <c r="B344" s="16">
        <v>200</v>
      </c>
      <c r="C344" s="16">
        <v>200</v>
      </c>
      <c r="D344" s="16">
        <v>7.9</v>
      </c>
      <c r="E344" s="16">
        <v>10</v>
      </c>
      <c r="F344" s="16">
        <v>305</v>
      </c>
      <c r="G344" s="16" t="s">
        <v>95</v>
      </c>
      <c r="H344" s="16">
        <v>0.23599999999999999</v>
      </c>
      <c r="I344" s="16">
        <v>10.6</v>
      </c>
      <c r="J344" s="16">
        <v>1313</v>
      </c>
      <c r="K344" s="16">
        <v>3273</v>
      </c>
      <c r="L344" s="16">
        <v>0.65</v>
      </c>
      <c r="M344" s="16">
        <v>538.12</v>
      </c>
      <c r="N344" s="17">
        <v>1246.1400000000001</v>
      </c>
      <c r="Q344" s="1">
        <f t="shared" si="15"/>
        <v>256.41025641025641</v>
      </c>
      <c r="R344" t="str" cm="1">
        <f t="array" ref="R344">_xlfn.IFS(Q344&lt;42.7, "low",
Q344&lt;85.4,"medium low",
Q344&lt;128,"medium high",
Q344&gt;=128,"high"
)</f>
        <v>high</v>
      </c>
      <c r="S344" t="str" cm="1">
        <f t="array" ref="S344">_xlfn.IFS(J344&lt;700,"low",J344&lt;1600,"medium low",J344&lt;2200,"medium high",J344&gt;=2200,"high")</f>
        <v>medium low</v>
      </c>
      <c r="T344" t="str" cm="1">
        <f t="array" ref="T344">_xlfn.IFS(
J344&lt;630,"Low",
J344&lt;1287,"Medium",
J344&lt;1495,"Intermediate",
J344&lt;1668,"Moderately",
J344&lt;1843,"Transition",
J344&lt;2477,"High",
J344&lt;2996,"Refractory I",
TRUE,"Refractory II"
)</f>
        <v>Intermediate</v>
      </c>
      <c r="U344">
        <f t="shared" si="16"/>
        <v>2.3157288337173867</v>
      </c>
      <c r="V344" t="str" cm="1">
        <f t="array" ref="V344">_xlfn.IFS(U344&lt;0.25,"shallow condution",
U344&lt;0.5,"transition",
U344&lt;1,"conduction",
U344&lt;1.5,"transition",U344&lt;3,"keyholeⅠ",3&lt;=U344,"keyhole Ⅱ"
)</f>
        <v>keyholeⅠ</v>
      </c>
      <c r="X344">
        <f t="shared" si="17"/>
        <v>0.43182948946346317</v>
      </c>
    </row>
    <row r="345" spans="1:24">
      <c r="A345" s="2" t="s">
        <v>53</v>
      </c>
      <c r="B345" s="4">
        <v>200</v>
      </c>
      <c r="C345" s="4">
        <v>400</v>
      </c>
      <c r="D345" s="4">
        <v>7.9</v>
      </c>
      <c r="E345" s="4">
        <v>10</v>
      </c>
      <c r="F345" s="4">
        <v>305</v>
      </c>
      <c r="G345" s="16" t="s">
        <v>95</v>
      </c>
      <c r="H345" s="4">
        <v>0.23599999999999999</v>
      </c>
      <c r="I345" s="4">
        <v>10.6</v>
      </c>
      <c r="J345" s="4">
        <v>1313</v>
      </c>
      <c r="K345" s="4">
        <v>3273</v>
      </c>
      <c r="L345" s="4">
        <v>0.65</v>
      </c>
      <c r="M345" s="4">
        <v>345.76</v>
      </c>
      <c r="N345" s="5">
        <v>1139.3</v>
      </c>
      <c r="Q345" s="1">
        <f t="shared" si="15"/>
        <v>128.2051282051282</v>
      </c>
      <c r="R345" t="str" cm="1">
        <f t="array" ref="R345">_xlfn.IFS(Q345&lt;42.7, "low",
Q345&lt;85.4,"medium low",
Q345&lt;128,"medium high",
Q345&gt;=128,"high"
)</f>
        <v>high</v>
      </c>
      <c r="S345" t="str" cm="1">
        <f t="array" ref="S345">_xlfn.IFS(J345&lt;700,"low",J345&lt;1600,"medium low",J345&lt;2200,"medium high",J345&gt;=2200,"high")</f>
        <v>medium low</v>
      </c>
      <c r="T345" t="str" cm="1">
        <f t="array" ref="T345">_xlfn.IFS(
J345&lt;630,"Low",
J345&lt;1287,"Medium",
J345&lt;1495,"Intermediate",
J345&lt;1668,"Moderately",
J345&lt;1843,"Transition",
J345&lt;2477,"High",
J345&lt;2996,"Refractory I",
TRUE,"Refractory II"
)</f>
        <v>Intermediate</v>
      </c>
      <c r="U345">
        <f t="shared" si="16"/>
        <v>3.2950601573345675</v>
      </c>
      <c r="V345" t="str" cm="1">
        <f t="array" ref="V345">_xlfn.IFS(U345&lt;0.25,"shallow condution",
U345&lt;0.5,"transition",
U345&lt;1,"conduction",
U345&lt;1.5,"transition",U345&lt;3,"keyholeⅠ",3&lt;=U345,"keyhole Ⅱ"
)</f>
        <v>keyhole Ⅱ</v>
      </c>
      <c r="X345">
        <f t="shared" si="17"/>
        <v>0.30348459580444132</v>
      </c>
    </row>
    <row r="346" spans="1:24">
      <c r="A346" s="2" t="s">
        <v>53</v>
      </c>
      <c r="B346" s="4">
        <v>200</v>
      </c>
      <c r="C346" s="4">
        <v>600</v>
      </c>
      <c r="D346" s="4">
        <v>7.9</v>
      </c>
      <c r="E346" s="4">
        <v>10</v>
      </c>
      <c r="F346" s="4">
        <v>305</v>
      </c>
      <c r="G346" s="16" t="s">
        <v>95</v>
      </c>
      <c r="H346" s="4">
        <v>0.23599999999999999</v>
      </c>
      <c r="I346" s="4">
        <v>10.6</v>
      </c>
      <c r="J346" s="4">
        <v>1313</v>
      </c>
      <c r="K346" s="4">
        <v>3273</v>
      </c>
      <c r="L346" s="4">
        <v>0.65</v>
      </c>
      <c r="M346" s="4">
        <v>227.5</v>
      </c>
      <c r="N346" s="5">
        <v>704.25</v>
      </c>
      <c r="Q346" s="1">
        <f t="shared" si="15"/>
        <v>85.470085470085465</v>
      </c>
      <c r="R346" t="str" cm="1">
        <f t="array" ref="R346">_xlfn.IFS(Q346&lt;42.7, "low",
Q346&lt;85.4,"medium low",
Q346&lt;128,"medium high",
Q346&gt;=128,"high"
)</f>
        <v>medium high</v>
      </c>
      <c r="S346" t="str" cm="1">
        <f t="array" ref="S346">_xlfn.IFS(J346&lt;700,"low",J346&lt;1600,"medium low",J346&lt;2200,"medium high",J346&gt;=2200,"high")</f>
        <v>medium low</v>
      </c>
      <c r="T346" t="str" cm="1">
        <f t="array" ref="T346">_xlfn.IFS(
J346&lt;630,"Low",
J346&lt;1287,"Medium",
J346&lt;1495,"Intermediate",
J346&lt;1668,"Moderately",
J346&lt;1843,"Transition",
J346&lt;2477,"High",
J346&lt;2996,"Refractory I",
TRUE,"Refractory II"
)</f>
        <v>Intermediate</v>
      </c>
      <c r="U346">
        <f t="shared" si="16"/>
        <v>3.0956043956043957</v>
      </c>
      <c r="V346" t="str" cm="1">
        <f t="array" ref="V346">_xlfn.IFS(U346&lt;0.25,"shallow condution",
U346&lt;0.5,"transition",
U346&lt;1,"conduction",
U346&lt;1.5,"transition",U346&lt;3,"keyholeⅠ",3&lt;=U346,"keyhole Ⅱ"
)</f>
        <v>keyhole Ⅱ</v>
      </c>
      <c r="X346">
        <f t="shared" si="17"/>
        <v>0.32303869364572241</v>
      </c>
    </row>
    <row r="347" spans="1:24">
      <c r="A347" s="2" t="s">
        <v>53</v>
      </c>
      <c r="B347" s="4">
        <v>200</v>
      </c>
      <c r="C347" s="4">
        <v>800</v>
      </c>
      <c r="D347" s="4">
        <v>7.9</v>
      </c>
      <c r="E347" s="4">
        <v>10</v>
      </c>
      <c r="F347" s="4">
        <v>305</v>
      </c>
      <c r="G347" s="16" t="s">
        <v>95</v>
      </c>
      <c r="H347" s="4">
        <v>0.23599999999999999</v>
      </c>
      <c r="I347" s="4">
        <v>10.6</v>
      </c>
      <c r="J347" s="4">
        <v>1313</v>
      </c>
      <c r="K347" s="4">
        <v>3273</v>
      </c>
      <c r="L347" s="4">
        <v>0.65</v>
      </c>
      <c r="M347" s="4">
        <v>179.02</v>
      </c>
      <c r="N347" s="5">
        <v>461.53</v>
      </c>
      <c r="Q347" s="1">
        <f t="shared" si="15"/>
        <v>64.102564102564102</v>
      </c>
      <c r="R347" t="str" cm="1">
        <f t="array" ref="R347">_xlfn.IFS(Q347&lt;42.7, "low",
Q347&lt;85.4,"medium low",
Q347&lt;128,"medium high",
Q347&gt;=128,"high"
)</f>
        <v>medium low</v>
      </c>
      <c r="S347" t="str" cm="1">
        <f t="array" ref="S347">_xlfn.IFS(J347&lt;700,"low",J347&lt;1600,"medium low",J347&lt;2200,"medium high",J347&gt;=2200,"high")</f>
        <v>medium low</v>
      </c>
      <c r="T347" t="str" cm="1">
        <f t="array" ref="T347">_xlfn.IFS(
J347&lt;630,"Low",
J347&lt;1287,"Medium",
J347&lt;1495,"Intermediate",
J347&lt;1668,"Moderately",
J347&lt;1843,"Transition",
J347&lt;2477,"High",
J347&lt;2996,"Refractory I",
TRUE,"Refractory II"
)</f>
        <v>Intermediate</v>
      </c>
      <c r="U347">
        <f t="shared" si="16"/>
        <v>2.5780918333147129</v>
      </c>
      <c r="V347" t="str" cm="1">
        <f t="array" ref="V347">_xlfn.IFS(U347&lt;0.25,"shallow condution",
U347&lt;0.5,"transition",
U347&lt;1,"conduction",
U347&lt;1.5,"transition",U347&lt;3,"keyholeⅠ",3&lt;=U347,"keyhole Ⅱ"
)</f>
        <v>keyholeⅠ</v>
      </c>
      <c r="X347">
        <f t="shared" si="17"/>
        <v>0.38788377786926098</v>
      </c>
    </row>
    <row r="348" spans="1:24">
      <c r="A348" s="2" t="s">
        <v>53</v>
      </c>
      <c r="B348" s="4">
        <v>200</v>
      </c>
      <c r="C348" s="4">
        <v>1200</v>
      </c>
      <c r="D348" s="4">
        <v>7.9</v>
      </c>
      <c r="E348" s="4">
        <v>10</v>
      </c>
      <c r="F348" s="4">
        <v>305</v>
      </c>
      <c r="G348" s="16" t="s">
        <v>95</v>
      </c>
      <c r="H348" s="4">
        <v>0.23599999999999999</v>
      </c>
      <c r="I348" s="4">
        <v>10.6</v>
      </c>
      <c r="J348" s="4">
        <v>1313</v>
      </c>
      <c r="K348" s="4">
        <v>3273</v>
      </c>
      <c r="L348" s="4">
        <v>0.65</v>
      </c>
      <c r="M348" s="4">
        <v>171.14</v>
      </c>
      <c r="N348" s="5">
        <v>323.25</v>
      </c>
      <c r="Q348" s="1">
        <f t="shared" si="15"/>
        <v>42.735042735042732</v>
      </c>
      <c r="R348" t="str" cm="1">
        <f t="array" ref="R348">_xlfn.IFS(Q348&lt;42.7, "low",
Q348&lt;85.4,"medium low",
Q348&lt;128,"medium high",
Q348&gt;=128,"high"
)</f>
        <v>medium low</v>
      </c>
      <c r="S348" t="str" cm="1">
        <f t="array" ref="S348">_xlfn.IFS(J348&lt;700,"low",J348&lt;1600,"medium low",J348&lt;2200,"medium high",J348&gt;=2200,"high")</f>
        <v>medium low</v>
      </c>
      <c r="T348" t="str" cm="1">
        <f t="array" ref="T348">_xlfn.IFS(
J348&lt;630,"Low",
J348&lt;1287,"Medium",
J348&lt;1495,"Intermediate",
J348&lt;1668,"Moderately",
J348&lt;1843,"Transition",
J348&lt;2477,"High",
J348&lt;2996,"Refractory I",
TRUE,"Refractory II"
)</f>
        <v>Intermediate</v>
      </c>
      <c r="U348">
        <f t="shared" si="16"/>
        <v>1.8888044875540495</v>
      </c>
      <c r="V348" t="str" cm="1">
        <f t="array" ref="V348">_xlfn.IFS(U348&lt;0.25,"shallow condution",
U348&lt;0.5,"transition",
U348&lt;1,"conduction",
U348&lt;1.5,"transition",U348&lt;3,"keyholeⅠ",3&lt;=U348,"keyhole Ⅱ"
)</f>
        <v>keyholeⅠ</v>
      </c>
      <c r="X348">
        <f t="shared" si="17"/>
        <v>0.52943542150038669</v>
      </c>
    </row>
    <row r="349" spans="1:24">
      <c r="A349" s="2" t="s">
        <v>53</v>
      </c>
      <c r="B349" s="4">
        <v>200</v>
      </c>
      <c r="C349" s="4">
        <v>1600</v>
      </c>
      <c r="D349" s="4">
        <v>7.9</v>
      </c>
      <c r="E349" s="4">
        <v>10</v>
      </c>
      <c r="F349" s="4">
        <v>305</v>
      </c>
      <c r="G349" s="16" t="s">
        <v>95</v>
      </c>
      <c r="H349" s="4">
        <v>0.23599999999999999</v>
      </c>
      <c r="I349" s="4">
        <v>10.6</v>
      </c>
      <c r="J349" s="4">
        <v>1313</v>
      </c>
      <c r="K349" s="4">
        <v>3273</v>
      </c>
      <c r="L349" s="4">
        <v>0.65</v>
      </c>
      <c r="M349" s="4">
        <v>165.72</v>
      </c>
      <c r="N349" s="5">
        <v>222.51</v>
      </c>
      <c r="Q349" s="1">
        <f t="shared" si="15"/>
        <v>32.051282051282051</v>
      </c>
      <c r="R349" t="str" cm="1">
        <f t="array" ref="R349">_xlfn.IFS(Q349&lt;42.7, "low",
Q349&lt;85.4,"medium low",
Q349&lt;128,"medium high",
Q349&gt;=128,"high"
)</f>
        <v>low</v>
      </c>
      <c r="S349" t="str" cm="1">
        <f t="array" ref="S349">_xlfn.IFS(J349&lt;700,"low",J349&lt;1600,"medium low",J349&lt;2200,"medium high",J349&gt;=2200,"high")</f>
        <v>medium low</v>
      </c>
      <c r="T349" t="str" cm="1">
        <f t="array" ref="T349">_xlfn.IFS(
J349&lt;630,"Low",
J349&lt;1287,"Medium",
J349&lt;1495,"Intermediate",
J349&lt;1668,"Moderately",
J349&lt;1843,"Transition",
J349&lt;2477,"High",
J349&lt;2996,"Refractory I",
TRUE,"Refractory II"
)</f>
        <v>Intermediate</v>
      </c>
      <c r="U349">
        <f t="shared" si="16"/>
        <v>1.3426864590876175</v>
      </c>
      <c r="V349" t="str" cm="1">
        <f t="array" ref="V349">_xlfn.IFS(U349&lt;0.25,"shallow condution",
U349&lt;0.5,"transition",
U349&lt;1,"conduction",
U349&lt;1.5,"transition",U349&lt;3,"keyholeⅠ",3&lt;=U349,"keyhole Ⅱ"
)</f>
        <v>transition</v>
      </c>
      <c r="X349">
        <f t="shared" si="17"/>
        <v>0.74477551570715927</v>
      </c>
    </row>
    <row r="350" spans="1:24">
      <c r="A350" s="2" t="s">
        <v>53</v>
      </c>
      <c r="B350" s="4">
        <v>200</v>
      </c>
      <c r="C350" s="4">
        <v>2000</v>
      </c>
      <c r="D350" s="4">
        <v>7.9</v>
      </c>
      <c r="E350" s="4">
        <v>10</v>
      </c>
      <c r="F350" s="4">
        <v>305</v>
      </c>
      <c r="G350" s="16" t="s">
        <v>95</v>
      </c>
      <c r="H350" s="4">
        <v>0.23599999999999999</v>
      </c>
      <c r="I350" s="4">
        <v>10.6</v>
      </c>
      <c r="J350" s="4">
        <v>1313</v>
      </c>
      <c r="K350" s="4">
        <v>3273</v>
      </c>
      <c r="L350" s="4">
        <v>0.65</v>
      </c>
      <c r="M350" s="4">
        <v>155.28</v>
      </c>
      <c r="N350" s="5">
        <v>144.43</v>
      </c>
      <c r="Q350" s="1">
        <f t="shared" si="15"/>
        <v>25.641025641025642</v>
      </c>
      <c r="R350" t="str" cm="1">
        <f t="array" ref="R350">_xlfn.IFS(Q350&lt;42.7, "low",
Q350&lt;85.4,"medium low",
Q350&lt;128,"medium high",
Q350&gt;=128,"high"
)</f>
        <v>low</v>
      </c>
      <c r="S350" t="str" cm="1">
        <f t="array" ref="S350">_xlfn.IFS(J350&lt;700,"low",J350&lt;1600,"medium low",J350&lt;2200,"medium high",J350&gt;=2200,"high")</f>
        <v>medium low</v>
      </c>
      <c r="T350" t="str" cm="1">
        <f t="array" ref="T350">_xlfn.IFS(
J350&lt;630,"Low",
J350&lt;1287,"Medium",
J350&lt;1495,"Intermediate",
J350&lt;1668,"Moderately",
J350&lt;1843,"Transition",
J350&lt;2477,"High",
J350&lt;2996,"Refractory I",
TRUE,"Refractory II"
)</f>
        <v>Intermediate</v>
      </c>
      <c r="U350">
        <f t="shared" si="16"/>
        <v>0.93012622359608454</v>
      </c>
      <c r="V350" t="str" cm="1">
        <f t="array" ref="V350">_xlfn.IFS(U350&lt;0.25,"shallow condution",
U350&lt;0.5,"transition",
U350&lt;1,"conduction",
U350&lt;1.5,"transition",U350&lt;3,"keyholeⅠ",3&lt;=U350,"keyhole Ⅱ"
)</f>
        <v>conduction</v>
      </c>
      <c r="X350">
        <f t="shared" si="17"/>
        <v>1.075122896905075</v>
      </c>
    </row>
    <row r="351" spans="1:24">
      <c r="A351" s="2" t="s">
        <v>53</v>
      </c>
      <c r="B351" s="4">
        <v>200</v>
      </c>
      <c r="C351" s="4">
        <v>2400</v>
      </c>
      <c r="D351" s="4">
        <v>7.9</v>
      </c>
      <c r="E351" s="4">
        <v>10</v>
      </c>
      <c r="F351" s="4">
        <v>305</v>
      </c>
      <c r="G351" s="16" t="s">
        <v>95</v>
      </c>
      <c r="H351" s="4">
        <v>0.23599999999999999</v>
      </c>
      <c r="I351" s="4">
        <v>10.6</v>
      </c>
      <c r="J351" s="4">
        <v>1313</v>
      </c>
      <c r="K351" s="4">
        <v>3273</v>
      </c>
      <c r="L351" s="4">
        <v>0.65</v>
      </c>
      <c r="M351" s="4">
        <v>139.94</v>
      </c>
      <c r="N351" s="5">
        <v>57.57</v>
      </c>
      <c r="Q351" s="1">
        <f t="shared" si="15"/>
        <v>21.367521367521366</v>
      </c>
      <c r="R351" t="str" cm="1">
        <f t="array" ref="R351">_xlfn.IFS(Q351&lt;42.7, "low",
Q351&lt;85.4,"medium low",
Q351&lt;128,"medium high",
Q351&gt;=128,"high"
)</f>
        <v>low</v>
      </c>
      <c r="S351" t="str" cm="1">
        <f t="array" ref="S351">_xlfn.IFS(J351&lt;700,"low",J351&lt;1600,"medium low",J351&lt;2200,"medium high",J351&gt;=2200,"high")</f>
        <v>medium low</v>
      </c>
      <c r="T351" t="str" cm="1">
        <f t="array" ref="T351">_xlfn.IFS(
J351&lt;630,"Low",
J351&lt;1287,"Medium",
J351&lt;1495,"Intermediate",
J351&lt;1668,"Moderately",
J351&lt;1843,"Transition",
J351&lt;2477,"High",
J351&lt;2996,"Refractory I",
TRUE,"Refractory II"
)</f>
        <v>Intermediate</v>
      </c>
      <c r="U351">
        <f t="shared" si="16"/>
        <v>0.41139059596970129</v>
      </c>
      <c r="V351" t="str" cm="1">
        <f t="array" ref="V351">_xlfn.IFS(U351&lt;0.25,"shallow condution",
U351&lt;0.5,"transition",
U351&lt;1,"conduction",
U351&lt;1.5,"transition",U351&lt;3,"keyholeⅠ",3&lt;=U351,"keyhole Ⅱ"
)</f>
        <v>transition</v>
      </c>
      <c r="X351">
        <f t="shared" si="17"/>
        <v>2.4307799200972728</v>
      </c>
    </row>
    <row r="352" spans="1:24">
      <c r="A352" s="2" t="s">
        <v>53</v>
      </c>
      <c r="B352" s="4">
        <v>350</v>
      </c>
      <c r="C352" s="4">
        <v>400</v>
      </c>
      <c r="D352" s="4">
        <v>7.9</v>
      </c>
      <c r="E352" s="4">
        <v>10</v>
      </c>
      <c r="F352" s="4">
        <v>305</v>
      </c>
      <c r="G352" s="16" t="s">
        <v>95</v>
      </c>
      <c r="H352" s="4">
        <v>0.23599999999999999</v>
      </c>
      <c r="I352" s="4">
        <v>10.6</v>
      </c>
      <c r="J352" s="4">
        <v>1313</v>
      </c>
      <c r="K352" s="4">
        <v>3273</v>
      </c>
      <c r="L352" s="4">
        <v>0.65</v>
      </c>
      <c r="M352" s="4">
        <v>294.58999999999997</v>
      </c>
      <c r="N352" s="5">
        <v>932.48</v>
      </c>
      <c r="Q352" s="1">
        <f t="shared" si="15"/>
        <v>224.35897435897436</v>
      </c>
      <c r="R352" t="str" cm="1">
        <f t="array" ref="R352">_xlfn.IFS(Q352&lt;42.7, "low",
Q352&lt;85.4,"medium low",
Q352&lt;128,"medium high",
Q352&gt;=128,"high"
)</f>
        <v>high</v>
      </c>
      <c r="S352" t="str" cm="1">
        <f t="array" ref="S352">_xlfn.IFS(J352&lt;700,"low",J352&lt;1600,"medium low",J352&lt;2200,"medium high",J352&gt;=2200,"high")</f>
        <v>medium low</v>
      </c>
      <c r="T352" t="str" cm="1">
        <f t="array" ref="T352">_xlfn.IFS(
J352&lt;630,"Low",
J352&lt;1287,"Medium",
J352&lt;1495,"Intermediate",
J352&lt;1668,"Moderately",
J352&lt;1843,"Transition",
J352&lt;2477,"High",
J352&lt;2996,"Refractory I",
TRUE,"Refractory II"
)</f>
        <v>Intermediate</v>
      </c>
      <c r="U352">
        <f t="shared" si="16"/>
        <v>3.165348450388676</v>
      </c>
      <c r="V352" t="str" cm="1">
        <f t="array" ref="V352">_xlfn.IFS(U352&lt;0.25,"shallow condution",
U352&lt;0.5,"transition",
U352&lt;1,"conduction",
U352&lt;1.5,"transition",U352&lt;3,"keyholeⅠ",3&lt;=U352,"keyhole Ⅱ"
)</f>
        <v>keyhole Ⅱ</v>
      </c>
      <c r="X352">
        <f t="shared" si="17"/>
        <v>0.31592098490048043</v>
      </c>
    </row>
    <row r="353" spans="1:24">
      <c r="A353" s="2" t="s">
        <v>53</v>
      </c>
      <c r="B353" s="4">
        <v>350</v>
      </c>
      <c r="C353" s="4">
        <v>600</v>
      </c>
      <c r="D353" s="4">
        <v>7.9</v>
      </c>
      <c r="E353" s="4">
        <v>10</v>
      </c>
      <c r="F353" s="4">
        <v>305</v>
      </c>
      <c r="G353" s="16" t="s">
        <v>95</v>
      </c>
      <c r="H353" s="4">
        <v>0.23599999999999999</v>
      </c>
      <c r="I353" s="4">
        <v>10.6</v>
      </c>
      <c r="J353" s="4">
        <v>1313</v>
      </c>
      <c r="K353" s="4">
        <v>3273</v>
      </c>
      <c r="L353" s="4">
        <v>0.65</v>
      </c>
      <c r="M353" s="4">
        <v>302.89999999999998</v>
      </c>
      <c r="N353" s="5">
        <v>300.12</v>
      </c>
      <c r="Q353" s="1">
        <f t="shared" si="15"/>
        <v>149.57264957264957</v>
      </c>
      <c r="R353" t="str" cm="1">
        <f t="array" ref="R353">_xlfn.IFS(Q353&lt;42.7, "low",
Q353&lt;85.4,"medium low",
Q353&lt;128,"medium high",
Q353&gt;=128,"high"
)</f>
        <v>high</v>
      </c>
      <c r="S353" t="str" cm="1">
        <f t="array" ref="S353">_xlfn.IFS(J353&lt;700,"low",J353&lt;1600,"medium low",J353&lt;2200,"medium high",J353&gt;=2200,"high")</f>
        <v>medium low</v>
      </c>
      <c r="T353" t="str" cm="1">
        <f t="array" ref="T353">_xlfn.IFS(
J353&lt;630,"Low",
J353&lt;1287,"Medium",
J353&lt;1495,"Intermediate",
J353&lt;1668,"Moderately",
J353&lt;1843,"Transition",
J353&lt;2477,"High",
J353&lt;2996,"Refractory I",
TRUE,"Refractory II"
)</f>
        <v>Intermediate</v>
      </c>
      <c r="U353">
        <f t="shared" si="16"/>
        <v>0.99082205348299779</v>
      </c>
      <c r="V353" t="str" cm="1">
        <f t="array" ref="V353">_xlfn.IFS(U353&lt;0.25,"shallow condution",
U353&lt;0.5,"transition",
U353&lt;1,"conduction",
U353&lt;1.5,"transition",U353&lt;3,"keyholeⅠ",3&lt;=U353,"keyhole Ⅱ"
)</f>
        <v>conduction</v>
      </c>
      <c r="X353">
        <f t="shared" si="17"/>
        <v>1.0092629614820738</v>
      </c>
    </row>
    <row r="354" spans="1:24">
      <c r="A354" s="2" t="s">
        <v>53</v>
      </c>
      <c r="B354" s="4">
        <v>350</v>
      </c>
      <c r="C354" s="4">
        <v>800</v>
      </c>
      <c r="D354" s="4">
        <v>7.9</v>
      </c>
      <c r="E354" s="4">
        <v>10</v>
      </c>
      <c r="F354" s="4">
        <v>305</v>
      </c>
      <c r="G354" s="16" t="s">
        <v>95</v>
      </c>
      <c r="H354" s="4">
        <v>0.23599999999999999</v>
      </c>
      <c r="I354" s="4">
        <v>10.6</v>
      </c>
      <c r="J354" s="4">
        <v>1313</v>
      </c>
      <c r="K354" s="4">
        <v>3273</v>
      </c>
      <c r="L354" s="4">
        <v>0.65</v>
      </c>
      <c r="M354" s="4">
        <v>342.3</v>
      </c>
      <c r="N354" s="5">
        <v>144.54</v>
      </c>
      <c r="Q354" s="1">
        <f t="shared" si="15"/>
        <v>112.17948717948718</v>
      </c>
      <c r="R354" t="str" cm="1">
        <f t="array" ref="R354">_xlfn.IFS(Q354&lt;42.7, "low",
Q354&lt;85.4,"medium low",
Q354&lt;128,"medium high",
Q354&gt;=128,"high"
)</f>
        <v>medium high</v>
      </c>
      <c r="S354" t="str" cm="1">
        <f t="array" ref="S354">_xlfn.IFS(J354&lt;700,"low",J354&lt;1600,"medium low",J354&lt;2200,"medium high",J354&gt;=2200,"high")</f>
        <v>medium low</v>
      </c>
      <c r="T354" t="str" cm="1">
        <f t="array" ref="T354">_xlfn.IFS(
J354&lt;630,"Low",
J354&lt;1287,"Medium",
J354&lt;1495,"Intermediate",
J354&lt;1668,"Moderately",
J354&lt;1843,"Transition",
J354&lt;2477,"High",
J354&lt;2996,"Refractory I",
TRUE,"Refractory II"
)</f>
        <v>Intermediate</v>
      </c>
      <c r="U354">
        <f t="shared" si="16"/>
        <v>0.42226117440841365</v>
      </c>
      <c r="V354" t="str" cm="1">
        <f t="array" ref="V354">_xlfn.IFS(U354&lt;0.25,"shallow condution",
U354&lt;0.5,"transition",
U354&lt;1,"conduction",
U354&lt;1.5,"transition",U354&lt;3,"keyholeⅠ",3&lt;=U354,"keyhole Ⅱ"
)</f>
        <v>transition</v>
      </c>
      <c r="X354">
        <f t="shared" si="17"/>
        <v>2.368202573682026</v>
      </c>
    </row>
    <row r="355" spans="1:24">
      <c r="A355" s="2" t="s">
        <v>53</v>
      </c>
      <c r="B355" s="4">
        <v>350</v>
      </c>
      <c r="C355" s="4">
        <v>1000</v>
      </c>
      <c r="D355" s="4">
        <v>7.9</v>
      </c>
      <c r="E355" s="4">
        <v>10</v>
      </c>
      <c r="F355" s="4">
        <v>305</v>
      </c>
      <c r="G355" s="16" t="s">
        <v>95</v>
      </c>
      <c r="H355" s="4">
        <v>0.23599999999999999</v>
      </c>
      <c r="I355" s="4">
        <v>10.6</v>
      </c>
      <c r="J355" s="4">
        <v>1313</v>
      </c>
      <c r="K355" s="4">
        <v>3273</v>
      </c>
      <c r="L355" s="4">
        <v>0.65</v>
      </c>
      <c r="M355" s="4">
        <v>222.3</v>
      </c>
      <c r="N355" s="5">
        <v>387.05</v>
      </c>
      <c r="Q355" s="1">
        <f t="shared" si="15"/>
        <v>89.743589743589737</v>
      </c>
      <c r="R355" t="str" cm="1">
        <f t="array" ref="R355">_xlfn.IFS(Q355&lt;42.7, "low",
Q355&lt;85.4,"medium low",
Q355&lt;128,"medium high",
Q355&gt;=128,"high"
)</f>
        <v>medium high</v>
      </c>
      <c r="S355" t="str" cm="1">
        <f t="array" ref="S355">_xlfn.IFS(J355&lt;700,"low",J355&lt;1600,"medium low",J355&lt;2200,"medium high",J355&gt;=2200,"high")</f>
        <v>medium low</v>
      </c>
      <c r="T355" t="str" cm="1">
        <f t="array" ref="T355">_xlfn.IFS(
J355&lt;630,"Low",
J355&lt;1287,"Medium",
J355&lt;1495,"Intermediate",
J355&lt;1668,"Moderately",
J355&lt;1843,"Transition",
J355&lt;2477,"High",
J355&lt;2996,"Refractory I",
TRUE,"Refractory II"
)</f>
        <v>Intermediate</v>
      </c>
      <c r="U355">
        <f t="shared" si="16"/>
        <v>1.7411156095366622</v>
      </c>
      <c r="V355" t="str" cm="1">
        <f t="array" ref="V355">_xlfn.IFS(U355&lt;0.25,"shallow condution",
U355&lt;0.5,"transition",
U355&lt;1,"conduction",
U355&lt;1.5,"transition",U355&lt;3,"keyholeⅠ",3&lt;=U355,"keyhole Ⅱ"
)</f>
        <v>keyholeⅠ</v>
      </c>
      <c r="X355">
        <f t="shared" si="17"/>
        <v>0.57434439994832709</v>
      </c>
    </row>
    <row r="356" spans="1:24">
      <c r="A356" s="2" t="s">
        <v>53</v>
      </c>
      <c r="B356" s="4">
        <v>350</v>
      </c>
      <c r="C356" s="4">
        <v>1200</v>
      </c>
      <c r="D356" s="4">
        <v>7.9</v>
      </c>
      <c r="E356" s="4">
        <v>10</v>
      </c>
      <c r="F356" s="4">
        <v>305</v>
      </c>
      <c r="G356" s="16" t="s">
        <v>95</v>
      </c>
      <c r="H356" s="4">
        <v>0.23599999999999999</v>
      </c>
      <c r="I356" s="4">
        <v>10.6</v>
      </c>
      <c r="J356" s="4">
        <v>1313</v>
      </c>
      <c r="K356" s="4">
        <v>3273</v>
      </c>
      <c r="L356" s="4">
        <v>0.65</v>
      </c>
      <c r="M356" s="4">
        <v>212.27</v>
      </c>
      <c r="N356" s="5">
        <v>222.74</v>
      </c>
      <c r="Q356" s="1">
        <f t="shared" si="15"/>
        <v>74.786324786324784</v>
      </c>
      <c r="R356" t="str" cm="1">
        <f t="array" ref="R356">_xlfn.IFS(Q356&lt;42.7, "low",
Q356&lt;85.4,"medium low",
Q356&lt;128,"medium high",
Q356&gt;=128,"high"
)</f>
        <v>medium low</v>
      </c>
      <c r="S356" t="str" cm="1">
        <f t="array" ref="S356">_xlfn.IFS(J356&lt;700,"low",J356&lt;1600,"medium low",J356&lt;2200,"medium high",J356&gt;=2200,"high")</f>
        <v>medium low</v>
      </c>
      <c r="T356" t="str" cm="1">
        <f t="array" ref="T356">_xlfn.IFS(
J356&lt;630,"Low",
J356&lt;1287,"Medium",
J356&lt;1495,"Intermediate",
J356&lt;1668,"Moderately",
J356&lt;1843,"Transition",
J356&lt;2477,"High",
J356&lt;2996,"Refractory I",
TRUE,"Refractory II"
)</f>
        <v>Intermediate</v>
      </c>
      <c r="U356">
        <f t="shared" si="16"/>
        <v>1.0493239741838225</v>
      </c>
      <c r="V356" t="str" cm="1">
        <f t="array" ref="V356">_xlfn.IFS(U356&lt;0.25,"shallow condution",
U356&lt;0.5,"transition",
U356&lt;1,"conduction",
U356&lt;1.5,"transition",U356&lt;3,"keyholeⅠ",3&lt;=U356,"keyhole Ⅱ"
)</f>
        <v>transition</v>
      </c>
      <c r="X356">
        <f t="shared" ref="X356:X385" si="18">M356/N356</f>
        <v>0.95299452276196461</v>
      </c>
    </row>
    <row r="357" spans="1:24">
      <c r="A357" s="2" t="s">
        <v>53</v>
      </c>
      <c r="B357" s="4">
        <v>350</v>
      </c>
      <c r="C357" s="4">
        <v>1600</v>
      </c>
      <c r="D357" s="4">
        <v>7.9</v>
      </c>
      <c r="E357" s="4">
        <v>10</v>
      </c>
      <c r="F357" s="4">
        <v>305</v>
      </c>
      <c r="G357" s="16" t="s">
        <v>95</v>
      </c>
      <c r="H357" s="4">
        <v>0.23599999999999999</v>
      </c>
      <c r="I357" s="4">
        <v>10.6</v>
      </c>
      <c r="J357" s="4">
        <v>1313</v>
      </c>
      <c r="K357" s="4">
        <v>3273</v>
      </c>
      <c r="L357" s="4">
        <v>0.65</v>
      </c>
      <c r="M357" s="4">
        <v>200.22</v>
      </c>
      <c r="N357" s="5">
        <v>207.54</v>
      </c>
      <c r="Q357" s="1">
        <f t="shared" si="15"/>
        <v>56.089743589743591</v>
      </c>
      <c r="R357" t="str" cm="1">
        <f t="array" ref="R357">_xlfn.IFS(Q357&lt;42.7, "low",
Q357&lt;85.4,"medium low",
Q357&lt;128,"medium high",
Q357&gt;=128,"high"
)</f>
        <v>medium low</v>
      </c>
      <c r="S357" t="str" cm="1">
        <f t="array" ref="S357">_xlfn.IFS(J357&lt;700,"low",J357&lt;1600,"medium low",J357&lt;2200,"medium high",J357&gt;=2200,"high")</f>
        <v>medium low</v>
      </c>
      <c r="T357" t="str" cm="1">
        <f t="array" ref="T357">_xlfn.IFS(
J357&lt;630,"Low",
J357&lt;1287,"Medium",
J357&lt;1495,"Intermediate",
J357&lt;1668,"Moderately",
J357&lt;1843,"Transition",
J357&lt;2477,"High",
J357&lt;2996,"Refractory I",
TRUE,"Refractory II"
)</f>
        <v>Intermediate</v>
      </c>
      <c r="U357">
        <f t="shared" si="16"/>
        <v>1.0365597842373389</v>
      </c>
      <c r="V357" t="str" cm="1">
        <f t="array" ref="V357">_xlfn.IFS(U357&lt;0.25,"shallow condution",
U357&lt;0.5,"transition",
U357&lt;1,"conduction",
U357&lt;1.5,"transition",U357&lt;3,"keyholeⅠ",3&lt;=U357,"keyhole Ⅱ"
)</f>
        <v>transition</v>
      </c>
      <c r="X357">
        <f t="shared" si="18"/>
        <v>0.96472969066204106</v>
      </c>
    </row>
    <row r="358" spans="1:24">
      <c r="A358" s="2" t="s">
        <v>53</v>
      </c>
      <c r="B358" s="4">
        <v>350</v>
      </c>
      <c r="C358" s="4">
        <v>2000</v>
      </c>
      <c r="D358" s="4">
        <v>7.9</v>
      </c>
      <c r="E358" s="4">
        <v>10</v>
      </c>
      <c r="F358" s="4">
        <v>305</v>
      </c>
      <c r="G358" s="16" t="s">
        <v>95</v>
      </c>
      <c r="H358" s="4">
        <v>0.23599999999999999</v>
      </c>
      <c r="I358" s="4">
        <v>10.6</v>
      </c>
      <c r="J358" s="4">
        <v>1313</v>
      </c>
      <c r="K358" s="4">
        <v>3273</v>
      </c>
      <c r="L358" s="4">
        <v>0.65</v>
      </c>
      <c r="M358" s="4">
        <v>171.82</v>
      </c>
      <c r="N358" s="5">
        <v>133.19</v>
      </c>
      <c r="Q358" s="1">
        <f t="shared" si="15"/>
        <v>44.871794871794869</v>
      </c>
      <c r="R358" t="str" cm="1">
        <f t="array" ref="R358">_xlfn.IFS(Q358&lt;42.7, "low",
Q358&lt;85.4,"medium low",
Q358&lt;128,"medium high",
Q358&gt;=128,"high"
)</f>
        <v>medium low</v>
      </c>
      <c r="S358" t="str" cm="1">
        <f t="array" ref="S358">_xlfn.IFS(J358&lt;700,"low",J358&lt;1600,"medium low",J358&lt;2200,"medium high",J358&gt;=2200,"high")</f>
        <v>medium low</v>
      </c>
      <c r="T358" t="str" cm="1">
        <f t="array" ref="T358">_xlfn.IFS(
J358&lt;630,"Low",
J358&lt;1287,"Medium",
J358&lt;1495,"Intermediate",
J358&lt;1668,"Moderately",
J358&lt;1843,"Transition",
J358&lt;2477,"High",
J358&lt;2996,"Refractory I",
TRUE,"Refractory II"
)</f>
        <v>Intermediate</v>
      </c>
      <c r="U358">
        <f t="shared" si="16"/>
        <v>0.77517169130485397</v>
      </c>
      <c r="V358" t="str" cm="1">
        <f t="array" ref="V358">_xlfn.IFS(U358&lt;0.25,"shallow condution",
U358&lt;0.5,"transition",
U358&lt;1,"conduction",
U358&lt;1.5,"transition",U358&lt;3,"keyholeⅠ",3&lt;=U358,"keyhole Ⅱ"
)</f>
        <v>conduction</v>
      </c>
      <c r="X358">
        <f t="shared" si="18"/>
        <v>1.290036789548765</v>
      </c>
    </row>
    <row r="359" spans="1:24">
      <c r="A359" s="2" t="s">
        <v>53</v>
      </c>
      <c r="B359" s="4">
        <v>350</v>
      </c>
      <c r="C359" s="4">
        <v>2400</v>
      </c>
      <c r="D359" s="4">
        <v>7.9</v>
      </c>
      <c r="E359" s="4">
        <v>10</v>
      </c>
      <c r="F359" s="4">
        <v>305</v>
      </c>
      <c r="G359" s="16" t="s">
        <v>95</v>
      </c>
      <c r="H359" s="4">
        <v>0.23599999999999999</v>
      </c>
      <c r="I359" s="4">
        <v>10.6</v>
      </c>
      <c r="J359" s="4">
        <v>1313</v>
      </c>
      <c r="K359" s="4">
        <v>3273</v>
      </c>
      <c r="L359" s="4">
        <v>0.65</v>
      </c>
      <c r="M359" s="4">
        <v>168.72</v>
      </c>
      <c r="N359" s="5">
        <v>111.32</v>
      </c>
      <c r="Q359" s="1">
        <f t="shared" si="15"/>
        <v>37.393162393162392</v>
      </c>
      <c r="R359" t="str" cm="1">
        <f t="array" ref="R359">_xlfn.IFS(Q359&lt;42.7, "low",
Q359&lt;85.4,"medium low",
Q359&lt;128,"medium high",
Q359&gt;=128,"high"
)</f>
        <v>low</v>
      </c>
      <c r="S359" t="str" cm="1">
        <f t="array" ref="S359">_xlfn.IFS(J359&lt;700,"low",J359&lt;1600,"medium low",J359&lt;2200,"medium high",J359&gt;=2200,"high")</f>
        <v>medium low</v>
      </c>
      <c r="T359" t="str" cm="1">
        <f t="array" ref="T359">_xlfn.IFS(
J359&lt;630,"Low",
J359&lt;1287,"Medium",
J359&lt;1495,"Intermediate",
J359&lt;1668,"Moderately",
J359&lt;1843,"Transition",
J359&lt;2477,"High",
J359&lt;2996,"Refractory I",
TRUE,"Refractory II"
)</f>
        <v>Intermediate</v>
      </c>
      <c r="U359">
        <f t="shared" si="16"/>
        <v>0.65979137031768609</v>
      </c>
      <c r="V359" t="str" cm="1">
        <f t="array" ref="V359">_xlfn.IFS(U359&lt;0.25,"shallow condution",
U359&lt;0.5,"transition",
U359&lt;1,"conduction",
U359&lt;1.5,"transition",U359&lt;3,"keyholeⅠ",3&lt;=U359,"keyhole Ⅱ"
)</f>
        <v>conduction</v>
      </c>
      <c r="X359">
        <f t="shared" si="18"/>
        <v>1.5156306144448437</v>
      </c>
    </row>
    <row r="360" spans="1:24">
      <c r="A360" s="2" t="s">
        <v>53</v>
      </c>
      <c r="B360" s="4">
        <v>100</v>
      </c>
      <c r="C360" s="4">
        <v>300</v>
      </c>
      <c r="D360" s="4">
        <v>7.9</v>
      </c>
      <c r="E360" s="4">
        <v>10</v>
      </c>
      <c r="F360" s="4">
        <v>305</v>
      </c>
      <c r="G360" s="16" t="s">
        <v>95</v>
      </c>
      <c r="H360" s="4">
        <v>0.23599999999999999</v>
      </c>
      <c r="I360" s="4">
        <v>10.6</v>
      </c>
      <c r="J360" s="4">
        <v>1313</v>
      </c>
      <c r="K360" s="4">
        <v>3273</v>
      </c>
      <c r="L360" s="4">
        <v>0.65</v>
      </c>
      <c r="M360" s="4">
        <v>269.64999999999998</v>
      </c>
      <c r="N360" s="5">
        <v>90.58</v>
      </c>
      <c r="Q360" s="1">
        <f t="shared" si="15"/>
        <v>85.470085470085465</v>
      </c>
      <c r="R360" t="str" cm="1">
        <f t="array" ref="R360">_xlfn.IFS(Q360&lt;42.7, "low",
Q360&lt;85.4,"medium low",
Q360&lt;128,"medium high",
Q360&gt;=128,"high"
)</f>
        <v>medium high</v>
      </c>
      <c r="S360" t="str" cm="1">
        <f t="array" ref="S360">_xlfn.IFS(J360&lt;700,"low",J360&lt;1600,"medium low",J360&lt;2200,"medium high",J360&gt;=2200,"high")</f>
        <v>medium low</v>
      </c>
      <c r="T360" t="str" cm="1">
        <f t="array" ref="T360">_xlfn.IFS(
J360&lt;630,"Low",
J360&lt;1287,"Medium",
J360&lt;1495,"Intermediate",
J360&lt;1668,"Moderately",
J360&lt;1843,"Transition",
J360&lt;2477,"High",
J360&lt;2996,"Refractory I",
TRUE,"Refractory II"
)</f>
        <v>Intermediate</v>
      </c>
      <c r="U360">
        <f t="shared" si="16"/>
        <v>0.33591692935286482</v>
      </c>
      <c r="V360" t="str" cm="1">
        <f t="array" ref="V360">_xlfn.IFS(U360&lt;0.25,"shallow condution",
U360&lt;0.5,"transition",
U360&lt;1,"conduction",
U360&lt;1.5,"transition",U360&lt;3,"keyholeⅠ",3&lt;=U360,"keyhole Ⅱ"
)</f>
        <v>transition</v>
      </c>
      <c r="X360">
        <f t="shared" si="18"/>
        <v>2.9769264738352836</v>
      </c>
    </row>
    <row r="361" spans="1:24">
      <c r="A361" s="2" t="s">
        <v>53</v>
      </c>
      <c r="B361" s="4">
        <v>150</v>
      </c>
      <c r="C361" s="4">
        <v>300</v>
      </c>
      <c r="D361" s="4">
        <v>7.9</v>
      </c>
      <c r="E361" s="4">
        <v>10</v>
      </c>
      <c r="F361" s="4">
        <v>305</v>
      </c>
      <c r="G361" s="16" t="s">
        <v>95</v>
      </c>
      <c r="H361" s="4">
        <v>0.23599999999999999</v>
      </c>
      <c r="I361" s="4">
        <v>10.6</v>
      </c>
      <c r="J361" s="4">
        <v>1313</v>
      </c>
      <c r="K361" s="4">
        <v>3273</v>
      </c>
      <c r="L361" s="4">
        <v>0.65</v>
      </c>
      <c r="M361" s="4">
        <v>317.70999999999998</v>
      </c>
      <c r="N361" s="5">
        <v>110</v>
      </c>
      <c r="Q361" s="1">
        <f t="shared" si="15"/>
        <v>128.2051282051282</v>
      </c>
      <c r="R361" t="str" cm="1">
        <f t="array" ref="R361">_xlfn.IFS(Q361&lt;42.7, "low",
Q361&lt;85.4,"medium low",
Q361&lt;128,"medium high",
Q361&gt;=128,"high"
)</f>
        <v>high</v>
      </c>
      <c r="S361" t="str" cm="1">
        <f t="array" ref="S361">_xlfn.IFS(J361&lt;700,"low",J361&lt;1600,"medium low",J361&lt;2200,"medium high",J361&gt;=2200,"high")</f>
        <v>medium low</v>
      </c>
      <c r="T361" t="str" cm="1">
        <f t="array" ref="T361">_xlfn.IFS(
J361&lt;630,"Low",
J361&lt;1287,"Medium",
J361&lt;1495,"Intermediate",
J361&lt;1668,"Moderately",
J361&lt;1843,"Transition",
J361&lt;2477,"High",
J361&lt;2996,"Refractory I",
TRUE,"Refractory II"
)</f>
        <v>Intermediate</v>
      </c>
      <c r="U361">
        <f t="shared" si="16"/>
        <v>0.34622769192030473</v>
      </c>
      <c r="V361" t="str" cm="1">
        <f t="array" ref="V361">_xlfn.IFS(U361&lt;0.25,"shallow condution",
U361&lt;0.5,"transition",
U361&lt;1,"conduction",
U361&lt;1.5,"transition",U361&lt;3,"keyholeⅠ",3&lt;=U361,"keyhole Ⅱ"
)</f>
        <v>transition</v>
      </c>
      <c r="X361">
        <f t="shared" si="18"/>
        <v>2.8882727272727271</v>
      </c>
    </row>
    <row r="362" spans="1:24">
      <c r="A362" s="2" t="s">
        <v>53</v>
      </c>
      <c r="B362" s="4">
        <v>200</v>
      </c>
      <c r="C362" s="4">
        <v>300</v>
      </c>
      <c r="D362" s="4">
        <v>7.9</v>
      </c>
      <c r="E362" s="4">
        <v>10</v>
      </c>
      <c r="F362" s="4">
        <v>305</v>
      </c>
      <c r="G362" s="16" t="s">
        <v>95</v>
      </c>
      <c r="H362" s="4">
        <v>0.23599999999999999</v>
      </c>
      <c r="I362" s="4">
        <v>10.6</v>
      </c>
      <c r="J362" s="4">
        <v>1313</v>
      </c>
      <c r="K362" s="4">
        <v>3273</v>
      </c>
      <c r="L362" s="4">
        <v>0.65</v>
      </c>
      <c r="M362" s="4">
        <v>356</v>
      </c>
      <c r="N362" s="5">
        <v>114.8</v>
      </c>
      <c r="Q362" s="1">
        <f t="shared" si="15"/>
        <v>170.94017094017093</v>
      </c>
      <c r="R362" t="str" cm="1">
        <f t="array" ref="R362">_xlfn.IFS(Q362&lt;42.7, "low",
Q362&lt;85.4,"medium low",
Q362&lt;128,"medium high",
Q362&gt;=128,"high"
)</f>
        <v>high</v>
      </c>
      <c r="S362" t="str" cm="1">
        <f t="array" ref="S362">_xlfn.IFS(J362&lt;700,"low",J362&lt;1600,"medium low",J362&lt;2200,"medium high",J362&gt;=2200,"high")</f>
        <v>medium low</v>
      </c>
      <c r="T362" t="str" cm="1">
        <f t="array" ref="T362">_xlfn.IFS(
J362&lt;630,"Low",
J362&lt;1287,"Medium",
J362&lt;1495,"Intermediate",
J362&lt;1668,"Moderately",
J362&lt;1843,"Transition",
J362&lt;2477,"High",
J362&lt;2996,"Refractory I",
TRUE,"Refractory II"
)</f>
        <v>Intermediate</v>
      </c>
      <c r="U362">
        <f t="shared" si="16"/>
        <v>0.32247191011235954</v>
      </c>
      <c r="V362" t="str" cm="1">
        <f t="array" ref="V362">_xlfn.IFS(U362&lt;0.25,"shallow condution",
U362&lt;0.5,"transition",
U362&lt;1,"conduction",
U362&lt;1.5,"transition",U362&lt;3,"keyholeⅠ",3&lt;=U362,"keyhole Ⅱ"
)</f>
        <v>transition</v>
      </c>
      <c r="X362">
        <f t="shared" si="18"/>
        <v>3.1010452961672477</v>
      </c>
    </row>
    <row r="363" spans="1:24">
      <c r="A363" s="2" t="s">
        <v>53</v>
      </c>
      <c r="B363" s="4">
        <v>250</v>
      </c>
      <c r="C363" s="4">
        <v>300</v>
      </c>
      <c r="D363" s="4">
        <v>7.9</v>
      </c>
      <c r="E363" s="4">
        <v>10</v>
      </c>
      <c r="F363" s="4">
        <v>305</v>
      </c>
      <c r="G363" s="16" t="s">
        <v>95</v>
      </c>
      <c r="H363" s="4">
        <v>0.23599999999999999</v>
      </c>
      <c r="I363" s="4">
        <v>10.6</v>
      </c>
      <c r="J363" s="4">
        <v>1313</v>
      </c>
      <c r="K363" s="4">
        <v>3273</v>
      </c>
      <c r="L363" s="4">
        <v>0.65</v>
      </c>
      <c r="M363" s="4">
        <v>359.24</v>
      </c>
      <c r="N363" s="5">
        <v>139.33000000000001</v>
      </c>
      <c r="Q363" s="1">
        <f t="shared" si="15"/>
        <v>213.67521367521368</v>
      </c>
      <c r="R363" t="str" cm="1">
        <f t="array" ref="R363">_xlfn.IFS(Q363&lt;42.7, "low",
Q363&lt;85.4,"medium low",
Q363&lt;128,"medium high",
Q363&gt;=128,"high"
)</f>
        <v>high</v>
      </c>
      <c r="S363" t="str" cm="1">
        <f t="array" ref="S363">_xlfn.IFS(J363&lt;700,"low",J363&lt;1600,"medium low",J363&lt;2200,"medium high",J363&gt;=2200,"high")</f>
        <v>medium low</v>
      </c>
      <c r="T363" t="str" cm="1">
        <f t="array" ref="T363">_xlfn.IFS(
J363&lt;630,"Low",
J363&lt;1287,"Medium",
J363&lt;1495,"Intermediate",
J363&lt;1668,"Moderately",
J363&lt;1843,"Transition",
J363&lt;2477,"High",
J363&lt;2996,"Refractory I",
TRUE,"Refractory II"
)</f>
        <v>Intermediate</v>
      </c>
      <c r="U363">
        <f t="shared" si="16"/>
        <v>0.3878465649704933</v>
      </c>
      <c r="V363" t="str" cm="1">
        <f t="array" ref="V363">_xlfn.IFS(U363&lt;0.25,"shallow condution",
U363&lt;0.5,"transition",
U363&lt;1,"conduction",
U363&lt;1.5,"transition",U363&lt;3,"keyholeⅠ",3&lt;=U363,"keyhole Ⅱ"
)</f>
        <v>transition</v>
      </c>
      <c r="X363">
        <f t="shared" si="18"/>
        <v>2.5783391947175769</v>
      </c>
    </row>
    <row r="364" spans="1:24">
      <c r="A364" s="2" t="s">
        <v>53</v>
      </c>
      <c r="B364" s="4">
        <v>300</v>
      </c>
      <c r="C364" s="4">
        <v>300</v>
      </c>
      <c r="D364" s="4">
        <v>7.9</v>
      </c>
      <c r="E364" s="4">
        <v>10</v>
      </c>
      <c r="F364" s="4">
        <v>305</v>
      </c>
      <c r="G364" s="16" t="s">
        <v>95</v>
      </c>
      <c r="H364" s="4">
        <v>0.23599999999999999</v>
      </c>
      <c r="I364" s="4">
        <v>10.6</v>
      </c>
      <c r="J364" s="4">
        <v>1313</v>
      </c>
      <c r="K364" s="4">
        <v>3273</v>
      </c>
      <c r="L364" s="4">
        <v>0.65</v>
      </c>
      <c r="M364" s="4">
        <v>380.63</v>
      </c>
      <c r="N364" s="5">
        <v>156.33000000000001</v>
      </c>
      <c r="Q364" s="1">
        <f t="shared" si="15"/>
        <v>256.41025641025641</v>
      </c>
      <c r="R364" t="str" cm="1">
        <f t="array" ref="R364">_xlfn.IFS(Q364&lt;42.7, "low",
Q364&lt;85.4,"medium low",
Q364&lt;128,"medium high",
Q364&gt;=128,"high"
)</f>
        <v>high</v>
      </c>
      <c r="S364" t="str" cm="1">
        <f t="array" ref="S364">_xlfn.IFS(J364&lt;700,"low",J364&lt;1600,"medium low",J364&lt;2200,"medium high",J364&gt;=2200,"high")</f>
        <v>medium low</v>
      </c>
      <c r="T364" t="str" cm="1">
        <f t="array" ref="T364">_xlfn.IFS(
J364&lt;630,"Low",
J364&lt;1287,"Medium",
J364&lt;1495,"Intermediate",
J364&lt;1668,"Moderately",
J364&lt;1843,"Transition",
J364&lt;2477,"High",
J364&lt;2996,"Refractory I",
TRUE,"Refractory II"
)</f>
        <v>Intermediate</v>
      </c>
      <c r="U364">
        <f t="shared" si="16"/>
        <v>0.41071381656727007</v>
      </c>
      <c r="V364" t="str" cm="1">
        <f t="array" ref="V364">_xlfn.IFS(U364&lt;0.25,"shallow condution",
U364&lt;0.5,"transition",
U364&lt;1,"conduction",
U364&lt;1.5,"transition",U364&lt;3,"keyholeⅠ",3&lt;=U364,"keyhole Ⅱ"
)</f>
        <v>transition</v>
      </c>
      <c r="X364">
        <f t="shared" si="18"/>
        <v>2.4347853898803811</v>
      </c>
    </row>
    <row r="365" spans="1:24">
      <c r="A365" s="2" t="s">
        <v>53</v>
      </c>
      <c r="B365" s="4">
        <v>100</v>
      </c>
      <c r="C365" s="4">
        <v>600</v>
      </c>
      <c r="D365" s="4">
        <v>7.9</v>
      </c>
      <c r="E365" s="4">
        <v>10</v>
      </c>
      <c r="F365" s="4">
        <v>305</v>
      </c>
      <c r="G365" s="16" t="s">
        <v>95</v>
      </c>
      <c r="H365" s="4">
        <v>0.23599999999999999</v>
      </c>
      <c r="I365" s="4">
        <v>10.6</v>
      </c>
      <c r="J365" s="4">
        <v>1313</v>
      </c>
      <c r="K365" s="4">
        <v>3273</v>
      </c>
      <c r="L365" s="4">
        <v>0.65</v>
      </c>
      <c r="M365" s="4">
        <v>159.19999999999999</v>
      </c>
      <c r="N365" s="5">
        <v>111.84</v>
      </c>
      <c r="Q365" s="1">
        <f t="shared" si="15"/>
        <v>42.735042735042732</v>
      </c>
      <c r="R365" t="str" cm="1">
        <f t="array" ref="R365">_xlfn.IFS(Q365&lt;42.7, "low",
Q365&lt;85.4,"medium low",
Q365&lt;128,"medium high",
Q365&gt;=128,"high"
)</f>
        <v>medium low</v>
      </c>
      <c r="S365" t="str" cm="1">
        <f t="array" ref="S365">_xlfn.IFS(J365&lt;700,"low",J365&lt;1600,"medium low",J365&lt;2200,"medium high",J365&gt;=2200,"high")</f>
        <v>medium low</v>
      </c>
      <c r="T365" t="str" cm="1">
        <f t="array" ref="T365">_xlfn.IFS(
J365&lt;630,"Low",
J365&lt;1287,"Medium",
J365&lt;1495,"Intermediate",
J365&lt;1668,"Moderately",
J365&lt;1843,"Transition",
J365&lt;2477,"High",
J365&lt;2996,"Refractory I",
TRUE,"Refractory II"
)</f>
        <v>Intermediate</v>
      </c>
      <c r="U365">
        <f t="shared" si="16"/>
        <v>0.70251256281407037</v>
      </c>
      <c r="V365" t="str" cm="1">
        <f t="array" ref="V365">_xlfn.IFS(U365&lt;0.25,"shallow condution",
U365&lt;0.5,"transition",
U365&lt;1,"conduction",
U365&lt;1.5,"transition",U365&lt;3,"keyholeⅠ",3&lt;=U365,"keyhole Ⅱ"
)</f>
        <v>conduction</v>
      </c>
      <c r="X365">
        <f t="shared" si="18"/>
        <v>1.4234620886981399</v>
      </c>
    </row>
    <row r="366" spans="1:24">
      <c r="A366" s="2" t="s">
        <v>53</v>
      </c>
      <c r="B366" s="4">
        <v>150</v>
      </c>
      <c r="C366" s="4">
        <v>600</v>
      </c>
      <c r="D366" s="4">
        <v>7.9</v>
      </c>
      <c r="E366" s="4">
        <v>10</v>
      </c>
      <c r="F366" s="4">
        <v>305</v>
      </c>
      <c r="G366" s="16" t="s">
        <v>95</v>
      </c>
      <c r="H366" s="4">
        <v>0.23599999999999999</v>
      </c>
      <c r="I366" s="4">
        <v>10.6</v>
      </c>
      <c r="J366" s="4">
        <v>1313</v>
      </c>
      <c r="K366" s="4">
        <v>3273</v>
      </c>
      <c r="L366" s="4">
        <v>0.65</v>
      </c>
      <c r="M366" s="4">
        <v>162.79</v>
      </c>
      <c r="N366" s="5">
        <v>121.97</v>
      </c>
      <c r="Q366" s="1">
        <f t="shared" si="15"/>
        <v>64.102564102564102</v>
      </c>
      <c r="R366" t="str" cm="1">
        <f t="array" ref="R366">_xlfn.IFS(Q366&lt;42.7, "low",
Q366&lt;85.4,"medium low",
Q366&lt;128,"medium high",
Q366&gt;=128,"high"
)</f>
        <v>medium low</v>
      </c>
      <c r="S366" t="str" cm="1">
        <f t="array" ref="S366">_xlfn.IFS(J366&lt;700,"low",J366&lt;1600,"medium low",J366&lt;2200,"medium high",J366&gt;=2200,"high")</f>
        <v>medium low</v>
      </c>
      <c r="T366" t="str" cm="1">
        <f t="array" ref="T366">_xlfn.IFS(
J366&lt;630,"Low",
J366&lt;1287,"Medium",
J366&lt;1495,"Intermediate",
J366&lt;1668,"Moderately",
J366&lt;1843,"Transition",
J366&lt;2477,"High",
J366&lt;2996,"Refractory I",
TRUE,"Refractory II"
)</f>
        <v>Intermediate</v>
      </c>
      <c r="U366">
        <f t="shared" si="16"/>
        <v>0.74924749677498625</v>
      </c>
      <c r="V366" t="str" cm="1">
        <f t="array" ref="V366">_xlfn.IFS(U366&lt;0.25,"shallow condution",
U366&lt;0.5,"transition",
U366&lt;1,"conduction",
U366&lt;1.5,"transition",U366&lt;3,"keyholeⅠ",3&lt;=U366,"keyhole Ⅱ"
)</f>
        <v>conduction</v>
      </c>
      <c r="X366">
        <f t="shared" si="18"/>
        <v>1.334672460441092</v>
      </c>
    </row>
    <row r="367" spans="1:24">
      <c r="A367" s="2" t="s">
        <v>53</v>
      </c>
      <c r="B367" s="4">
        <v>200</v>
      </c>
      <c r="C367" s="4">
        <v>600</v>
      </c>
      <c r="D367" s="4">
        <v>7.9</v>
      </c>
      <c r="E367" s="4">
        <v>10</v>
      </c>
      <c r="F367" s="4">
        <v>305</v>
      </c>
      <c r="G367" s="16" t="s">
        <v>95</v>
      </c>
      <c r="H367" s="4">
        <v>0.23599999999999999</v>
      </c>
      <c r="I367" s="4">
        <v>10.6</v>
      </c>
      <c r="J367" s="4">
        <v>1313</v>
      </c>
      <c r="K367" s="4">
        <v>3273</v>
      </c>
      <c r="L367" s="4">
        <v>0.65</v>
      </c>
      <c r="M367" s="4">
        <v>191.5</v>
      </c>
      <c r="N367" s="5">
        <v>152.80000000000001</v>
      </c>
      <c r="Q367" s="1">
        <f t="shared" si="15"/>
        <v>85.470085470085465</v>
      </c>
      <c r="R367" t="str" cm="1">
        <f t="array" ref="R367">_xlfn.IFS(Q367&lt;42.7, "low",
Q367&lt;85.4,"medium low",
Q367&lt;128,"medium high",
Q367&gt;=128,"high"
)</f>
        <v>medium high</v>
      </c>
      <c r="S367" t="str" cm="1">
        <f t="array" ref="S367">_xlfn.IFS(J367&lt;700,"low",J367&lt;1600,"medium low",J367&lt;2200,"medium high",J367&gt;=2200,"high")</f>
        <v>medium low</v>
      </c>
      <c r="T367" t="str" cm="1">
        <f t="array" ref="T367">_xlfn.IFS(
J367&lt;630,"Low",
J367&lt;1287,"Medium",
J367&lt;1495,"Intermediate",
J367&lt;1668,"Moderately",
J367&lt;1843,"Transition",
J367&lt;2477,"High",
J367&lt;2996,"Refractory I",
TRUE,"Refractory II"
)</f>
        <v>Intermediate</v>
      </c>
      <c r="U367">
        <f t="shared" si="16"/>
        <v>0.79791122715404705</v>
      </c>
      <c r="V367" t="str" cm="1">
        <f t="array" ref="V367">_xlfn.IFS(U367&lt;0.25,"shallow condution",
U367&lt;0.5,"transition",
U367&lt;1,"conduction",
U367&lt;1.5,"transition",U367&lt;3,"keyholeⅠ",3&lt;=U367,"keyhole Ⅱ"
)</f>
        <v>conduction</v>
      </c>
      <c r="X367">
        <f t="shared" si="18"/>
        <v>1.2532722513089005</v>
      </c>
    </row>
    <row r="368" spans="1:24">
      <c r="A368" s="2" t="s">
        <v>53</v>
      </c>
      <c r="B368" s="4">
        <v>250</v>
      </c>
      <c r="C368" s="4">
        <v>600</v>
      </c>
      <c r="D368" s="4">
        <v>7.9</v>
      </c>
      <c r="E368" s="4">
        <v>10</v>
      </c>
      <c r="F368" s="4">
        <v>305</v>
      </c>
      <c r="G368" s="16" t="s">
        <v>95</v>
      </c>
      <c r="H368" s="4">
        <v>0.23599999999999999</v>
      </c>
      <c r="I368" s="4">
        <v>10.6</v>
      </c>
      <c r="J368" s="4">
        <v>1313</v>
      </c>
      <c r="K368" s="4">
        <v>3273</v>
      </c>
      <c r="L368" s="4">
        <v>0.65</v>
      </c>
      <c r="M368" s="4">
        <v>198.7</v>
      </c>
      <c r="N368" s="5">
        <v>168.72</v>
      </c>
      <c r="Q368" s="1">
        <f t="shared" si="15"/>
        <v>106.83760683760684</v>
      </c>
      <c r="R368" t="str" cm="1">
        <f t="array" ref="R368">_xlfn.IFS(Q368&lt;42.7, "low",
Q368&lt;85.4,"medium low",
Q368&lt;128,"medium high",
Q368&gt;=128,"high"
)</f>
        <v>medium high</v>
      </c>
      <c r="S368" t="str" cm="1">
        <f t="array" ref="S368">_xlfn.IFS(J368&lt;700,"low",J368&lt;1600,"medium low",J368&lt;2200,"medium high",J368&gt;=2200,"high")</f>
        <v>medium low</v>
      </c>
      <c r="T368" t="str" cm="1">
        <f t="array" ref="T368">_xlfn.IFS(
J368&lt;630,"Low",
J368&lt;1287,"Medium",
J368&lt;1495,"Intermediate",
J368&lt;1668,"Moderately",
J368&lt;1843,"Transition",
J368&lt;2477,"High",
J368&lt;2996,"Refractory I",
TRUE,"Refractory II"
)</f>
        <v>Intermediate</v>
      </c>
      <c r="U368">
        <f t="shared" si="16"/>
        <v>0.84911927528938103</v>
      </c>
      <c r="V368" t="str" cm="1">
        <f t="array" ref="V368">_xlfn.IFS(U368&lt;0.25,"shallow condution",
U368&lt;0.5,"transition",
U368&lt;1,"conduction",
U368&lt;1.5,"transition",U368&lt;3,"keyholeⅠ",3&lt;=U368,"keyhole Ⅱ"
)</f>
        <v>conduction</v>
      </c>
      <c r="X368">
        <f t="shared" si="18"/>
        <v>1.1776908487434803</v>
      </c>
    </row>
    <row r="369" spans="1:24">
      <c r="A369" s="2" t="s">
        <v>53</v>
      </c>
      <c r="B369" s="4">
        <v>300</v>
      </c>
      <c r="C369" s="4">
        <v>600</v>
      </c>
      <c r="D369" s="4">
        <v>7.9</v>
      </c>
      <c r="E369" s="4">
        <v>10</v>
      </c>
      <c r="F369" s="4">
        <v>305</v>
      </c>
      <c r="G369" s="16" t="s">
        <v>95</v>
      </c>
      <c r="H369" s="4">
        <v>0.23599999999999999</v>
      </c>
      <c r="I369" s="4">
        <v>10.6</v>
      </c>
      <c r="J369" s="4">
        <v>1313</v>
      </c>
      <c r="K369" s="4">
        <v>3273</v>
      </c>
      <c r="L369" s="4">
        <v>0.65</v>
      </c>
      <c r="M369" s="4">
        <v>211</v>
      </c>
      <c r="N369" s="5">
        <v>208</v>
      </c>
      <c r="Q369" s="1">
        <f t="shared" si="15"/>
        <v>128.2051282051282</v>
      </c>
      <c r="R369" t="str" cm="1">
        <f t="array" ref="R369">_xlfn.IFS(Q369&lt;42.7, "low",
Q369&lt;85.4,"medium low",
Q369&lt;128,"medium high",
Q369&gt;=128,"high"
)</f>
        <v>high</v>
      </c>
      <c r="S369" t="str" cm="1">
        <f t="array" ref="S369">_xlfn.IFS(J369&lt;700,"low",J369&lt;1600,"medium low",J369&lt;2200,"medium high",J369&gt;=2200,"high")</f>
        <v>medium low</v>
      </c>
      <c r="T369" t="str" cm="1">
        <f t="array" ref="T369">_xlfn.IFS(
J369&lt;630,"Low",
J369&lt;1287,"Medium",
J369&lt;1495,"Intermediate",
J369&lt;1668,"Moderately",
J369&lt;1843,"Transition",
J369&lt;2477,"High",
J369&lt;2996,"Refractory I",
TRUE,"Refractory II"
)</f>
        <v>Intermediate</v>
      </c>
      <c r="U369">
        <f t="shared" si="16"/>
        <v>0.98578199052132698</v>
      </c>
      <c r="V369" t="str" cm="1">
        <f t="array" ref="V369">_xlfn.IFS(U369&lt;0.25,"shallow condution",
U369&lt;0.5,"transition",
U369&lt;1,"conduction",
U369&lt;1.5,"transition",U369&lt;3,"keyholeⅠ",3&lt;=U369,"keyhole Ⅱ"
)</f>
        <v>conduction</v>
      </c>
      <c r="X369">
        <f t="shared" si="18"/>
        <v>1.0144230769230769</v>
      </c>
    </row>
    <row r="370" spans="1:24">
      <c r="A370" s="2" t="s">
        <v>53</v>
      </c>
      <c r="B370" s="4">
        <v>100</v>
      </c>
      <c r="C370" s="4">
        <v>900</v>
      </c>
      <c r="D370" s="4">
        <v>7.9</v>
      </c>
      <c r="E370" s="4">
        <v>10</v>
      </c>
      <c r="F370" s="4">
        <v>305</v>
      </c>
      <c r="G370" s="16" t="s">
        <v>95</v>
      </c>
      <c r="H370" s="4">
        <v>0.23599999999999999</v>
      </c>
      <c r="I370" s="4">
        <v>10.6</v>
      </c>
      <c r="J370" s="4">
        <v>1313</v>
      </c>
      <c r="K370" s="4">
        <v>3273</v>
      </c>
      <c r="L370" s="4">
        <v>0.65</v>
      </c>
      <c r="M370" s="4">
        <v>95.53</v>
      </c>
      <c r="N370" s="5">
        <v>114.8</v>
      </c>
      <c r="Q370" s="1">
        <f t="shared" si="15"/>
        <v>28.490028490028489</v>
      </c>
      <c r="R370" t="str" cm="1">
        <f t="array" ref="R370">_xlfn.IFS(Q370&lt;42.7, "low",
Q370&lt;85.4,"medium low",
Q370&lt;128,"medium high",
Q370&gt;=128,"high"
)</f>
        <v>low</v>
      </c>
      <c r="S370" t="str" cm="1">
        <f t="array" ref="S370">_xlfn.IFS(J370&lt;700,"low",J370&lt;1600,"medium low",J370&lt;2200,"medium high",J370&gt;=2200,"high")</f>
        <v>medium low</v>
      </c>
      <c r="T370" t="str" cm="1">
        <f t="array" ref="T370">_xlfn.IFS(
J370&lt;630,"Low",
J370&lt;1287,"Medium",
J370&lt;1495,"Intermediate",
J370&lt;1668,"Moderately",
J370&lt;1843,"Transition",
J370&lt;2477,"High",
J370&lt;2996,"Refractory I",
TRUE,"Refractory II"
)</f>
        <v>Intermediate</v>
      </c>
      <c r="U370">
        <f t="shared" si="16"/>
        <v>1.2017167381974247</v>
      </c>
      <c r="V370" t="str" cm="1">
        <f t="array" ref="V370">_xlfn.IFS(U370&lt;0.25,"shallow condution",
U370&lt;0.5,"transition",
U370&lt;1,"conduction",
U370&lt;1.5,"transition",U370&lt;3,"keyholeⅠ",3&lt;=U370,"keyhole Ⅱ"
)</f>
        <v>transition</v>
      </c>
      <c r="X370">
        <f t="shared" si="18"/>
        <v>0.83214285714285718</v>
      </c>
    </row>
    <row r="371" spans="1:24">
      <c r="A371" s="2" t="s">
        <v>53</v>
      </c>
      <c r="B371" s="4">
        <v>150</v>
      </c>
      <c r="C371" s="4">
        <v>900</v>
      </c>
      <c r="D371" s="4">
        <v>7.9</v>
      </c>
      <c r="E371" s="4">
        <v>10</v>
      </c>
      <c r="F371" s="4">
        <v>305</v>
      </c>
      <c r="G371" s="16" t="s">
        <v>95</v>
      </c>
      <c r="H371" s="4">
        <v>0.23599999999999999</v>
      </c>
      <c r="I371" s="4">
        <v>10.6</v>
      </c>
      <c r="J371" s="4">
        <v>1313</v>
      </c>
      <c r="K371" s="4">
        <v>3273</v>
      </c>
      <c r="L371" s="4">
        <v>0.65</v>
      </c>
      <c r="M371" s="4">
        <v>110.93</v>
      </c>
      <c r="N371" s="5">
        <v>115.81</v>
      </c>
      <c r="Q371" s="1">
        <f t="shared" si="15"/>
        <v>42.735042735042732</v>
      </c>
      <c r="R371" t="str" cm="1">
        <f t="array" ref="R371">_xlfn.IFS(Q371&lt;42.7, "low",
Q371&lt;85.4,"medium low",
Q371&lt;128,"medium high",
Q371&gt;=128,"high"
)</f>
        <v>medium low</v>
      </c>
      <c r="S371" t="str" cm="1">
        <f t="array" ref="S371">_xlfn.IFS(J371&lt;700,"low",J371&lt;1600,"medium low",J371&lt;2200,"medium high",J371&gt;=2200,"high")</f>
        <v>medium low</v>
      </c>
      <c r="T371" t="str" cm="1">
        <f t="array" ref="T371">_xlfn.IFS(
J371&lt;630,"Low",
J371&lt;1287,"Medium",
J371&lt;1495,"Intermediate",
J371&lt;1668,"Moderately",
J371&lt;1843,"Transition",
J371&lt;2477,"High",
J371&lt;2996,"Refractory I",
TRUE,"Refractory II"
)</f>
        <v>Intermediate</v>
      </c>
      <c r="U371">
        <f t="shared" si="16"/>
        <v>1.0439917064815649</v>
      </c>
      <c r="V371" t="str" cm="1">
        <f t="array" ref="V371">_xlfn.IFS(U371&lt;0.25,"shallow condution",
U371&lt;0.5,"transition",
U371&lt;1,"conduction",
U371&lt;1.5,"transition",U371&lt;3,"keyholeⅠ",3&lt;=U371,"keyhole Ⅱ"
)</f>
        <v>transition</v>
      </c>
      <c r="X371">
        <f t="shared" si="18"/>
        <v>0.9578620153700026</v>
      </c>
    </row>
    <row r="372" spans="1:24">
      <c r="A372" s="2" t="s">
        <v>53</v>
      </c>
      <c r="B372" s="4">
        <v>200</v>
      </c>
      <c r="C372" s="4">
        <v>900</v>
      </c>
      <c r="D372" s="4">
        <v>7.9</v>
      </c>
      <c r="E372" s="4">
        <v>10</v>
      </c>
      <c r="F372" s="4">
        <v>305</v>
      </c>
      <c r="G372" s="16" t="s">
        <v>95</v>
      </c>
      <c r="H372" s="4">
        <v>0.23599999999999999</v>
      </c>
      <c r="I372" s="4">
        <v>10.6</v>
      </c>
      <c r="J372" s="4">
        <v>1313</v>
      </c>
      <c r="K372" s="4">
        <v>3273</v>
      </c>
      <c r="L372" s="4">
        <v>0.65</v>
      </c>
      <c r="M372" s="4">
        <v>158.18</v>
      </c>
      <c r="N372" s="5">
        <v>136.63999999999999</v>
      </c>
      <c r="Q372" s="1">
        <f t="shared" si="15"/>
        <v>56.980056980056979</v>
      </c>
      <c r="R372" t="str" cm="1">
        <f t="array" ref="R372">_xlfn.IFS(Q372&lt;42.7, "low",
Q372&lt;85.4,"medium low",
Q372&lt;128,"medium high",
Q372&gt;=128,"high"
)</f>
        <v>medium low</v>
      </c>
      <c r="S372" t="str" cm="1">
        <f t="array" ref="S372">_xlfn.IFS(J372&lt;700,"low",J372&lt;1600,"medium low",J372&lt;2200,"medium high",J372&gt;=2200,"high")</f>
        <v>medium low</v>
      </c>
      <c r="T372" t="str" cm="1">
        <f t="array" ref="T372">_xlfn.IFS(
J372&lt;630,"Low",
J372&lt;1287,"Medium",
J372&lt;1495,"Intermediate",
J372&lt;1668,"Moderately",
J372&lt;1843,"Transition",
J372&lt;2477,"High",
J372&lt;2996,"Refractory I",
TRUE,"Refractory II"
)</f>
        <v>Intermediate</v>
      </c>
      <c r="U372">
        <f t="shared" si="16"/>
        <v>0.86382602098874683</v>
      </c>
      <c r="V372" t="str" cm="1">
        <f t="array" ref="V372">_xlfn.IFS(U372&lt;0.25,"shallow condution",
U372&lt;0.5,"transition",
U372&lt;1,"conduction",
U372&lt;1.5,"transition",U372&lt;3,"keyholeⅠ",3&lt;=U372,"keyhole Ⅱ"
)</f>
        <v>conduction</v>
      </c>
      <c r="X372">
        <f t="shared" si="18"/>
        <v>1.1576405152224827</v>
      </c>
    </row>
    <row r="373" spans="1:24">
      <c r="A373" s="2" t="s">
        <v>53</v>
      </c>
      <c r="B373" s="4">
        <v>250</v>
      </c>
      <c r="C373" s="4">
        <v>900</v>
      </c>
      <c r="D373" s="4">
        <v>7.9</v>
      </c>
      <c r="E373" s="4">
        <v>10</v>
      </c>
      <c r="F373" s="4">
        <v>305</v>
      </c>
      <c r="G373" s="16" t="s">
        <v>95</v>
      </c>
      <c r="H373" s="4">
        <v>0.23599999999999999</v>
      </c>
      <c r="I373" s="4">
        <v>10.6</v>
      </c>
      <c r="J373" s="4">
        <v>1313</v>
      </c>
      <c r="K373" s="4">
        <v>3273</v>
      </c>
      <c r="L373" s="4">
        <v>0.65</v>
      </c>
      <c r="M373" s="4">
        <v>165.36</v>
      </c>
      <c r="N373" s="5">
        <v>189.54</v>
      </c>
      <c r="Q373" s="1">
        <f t="shared" si="15"/>
        <v>71.225071225071218</v>
      </c>
      <c r="R373" t="str" cm="1">
        <f t="array" ref="R373">_xlfn.IFS(Q373&lt;42.7, "low",
Q373&lt;85.4,"medium low",
Q373&lt;128,"medium high",
Q373&gt;=128,"high"
)</f>
        <v>medium low</v>
      </c>
      <c r="S373" t="str" cm="1">
        <f t="array" ref="S373">_xlfn.IFS(J373&lt;700,"low",J373&lt;1600,"medium low",J373&lt;2200,"medium high",J373&gt;=2200,"high")</f>
        <v>medium low</v>
      </c>
      <c r="T373" t="str" cm="1">
        <f t="array" ref="T373">_xlfn.IFS(
J373&lt;630,"Low",
J373&lt;1287,"Medium",
J373&lt;1495,"Intermediate",
J373&lt;1668,"Moderately",
J373&lt;1843,"Transition",
J373&lt;2477,"High",
J373&lt;2996,"Refractory I",
TRUE,"Refractory II"
)</f>
        <v>Intermediate</v>
      </c>
      <c r="U373">
        <f t="shared" si="16"/>
        <v>1.1462264150943395</v>
      </c>
      <c r="V373" t="str" cm="1">
        <f t="array" ref="V373">_xlfn.IFS(U373&lt;0.25,"shallow condution",
U373&lt;0.5,"transition",
U373&lt;1,"conduction",
U373&lt;1.5,"transition",U373&lt;3,"keyholeⅠ",3&lt;=U373,"keyhole Ⅱ"
)</f>
        <v>transition</v>
      </c>
      <c r="X373">
        <f t="shared" si="18"/>
        <v>0.87242798353909479</v>
      </c>
    </row>
    <row r="374" spans="1:24" ht="14.45" thickBot="1">
      <c r="A374" s="3" t="s">
        <v>53</v>
      </c>
      <c r="B374" s="7">
        <v>300</v>
      </c>
      <c r="C374" s="7">
        <v>900</v>
      </c>
      <c r="D374" s="7">
        <v>7.9</v>
      </c>
      <c r="E374" s="7">
        <v>10</v>
      </c>
      <c r="F374" s="7">
        <v>305</v>
      </c>
      <c r="G374" s="16" t="s">
        <v>95</v>
      </c>
      <c r="H374" s="7">
        <v>0.23599999999999999</v>
      </c>
      <c r="I374" s="7">
        <v>10.6</v>
      </c>
      <c r="J374" s="7">
        <v>1313</v>
      </c>
      <c r="K374" s="7">
        <v>3273</v>
      </c>
      <c r="L374" s="7">
        <v>0.65</v>
      </c>
      <c r="M374" s="7">
        <v>184.3</v>
      </c>
      <c r="N374" s="15">
        <v>240.85</v>
      </c>
      <c r="Q374" s="1">
        <f t="shared" si="15"/>
        <v>85.470085470085465</v>
      </c>
      <c r="R374" t="str" cm="1">
        <f t="array" ref="R374">_xlfn.IFS(Q374&lt;42.7, "low",
Q374&lt;85.4,"medium low",
Q374&lt;128,"medium high",
Q374&gt;=128,"high"
)</f>
        <v>medium high</v>
      </c>
      <c r="S374" t="str" cm="1">
        <f t="array" ref="S374">_xlfn.IFS(J374&lt;700,"low",J374&lt;1600,"medium low",J374&lt;2200,"medium high",J374&gt;=2200,"high")</f>
        <v>medium low</v>
      </c>
      <c r="T374" t="str" cm="1">
        <f t="array" ref="T374">_xlfn.IFS(
J374&lt;630,"Low",
J374&lt;1287,"Medium",
J374&lt;1495,"Intermediate",
J374&lt;1668,"Moderately",
J374&lt;1843,"Transition",
J374&lt;2477,"High",
J374&lt;2996,"Refractory I",
TRUE,"Refractory II"
)</f>
        <v>Intermediate</v>
      </c>
      <c r="U374">
        <f t="shared" si="16"/>
        <v>1.3068366793271837</v>
      </c>
      <c r="V374" t="str" cm="1">
        <f t="array" ref="V374">_xlfn.IFS(U374&lt;0.25,"shallow condution",
U374&lt;0.5,"transition",
U374&lt;1,"conduction",
U374&lt;1.5,"transition",U374&lt;3,"keyholeⅠ",3&lt;=U374,"keyhole Ⅱ"
)</f>
        <v>transition</v>
      </c>
      <c r="X374">
        <f t="shared" si="18"/>
        <v>0.76520656009964716</v>
      </c>
    </row>
    <row r="375" spans="1:24">
      <c r="A375" s="2" t="s">
        <v>54</v>
      </c>
      <c r="B375" s="4">
        <v>200</v>
      </c>
      <c r="C375" s="4">
        <v>400</v>
      </c>
      <c r="D375" s="4">
        <v>7.31</v>
      </c>
      <c r="E375" s="4">
        <v>7.03</v>
      </c>
      <c r="F375" s="4">
        <v>296</v>
      </c>
      <c r="G375" s="16" t="s">
        <v>96</v>
      </c>
      <c r="H375" s="4">
        <v>0.22800000000000001</v>
      </c>
      <c r="I375" s="4">
        <v>66.8</v>
      </c>
      <c r="J375" s="4">
        <v>232</v>
      </c>
      <c r="K375" s="4">
        <v>2602</v>
      </c>
      <c r="L375" s="4">
        <v>0.7</v>
      </c>
      <c r="M375" s="4">
        <v>471.73</v>
      </c>
      <c r="N375" s="5">
        <v>325.14999999999998</v>
      </c>
      <c r="Q375" s="1">
        <f t="shared" si="15"/>
        <v>128.2051282051282</v>
      </c>
      <c r="R375" t="str" cm="1">
        <f t="array" ref="R375">_xlfn.IFS(Q375&lt;42.7, "low",
Q375&lt;85.4,"medium low",
Q375&lt;128,"medium high",
Q375&gt;=128,"high"
)</f>
        <v>high</v>
      </c>
      <c r="S375" t="str" cm="1">
        <f t="array" ref="S375">_xlfn.IFS(J375&lt;700,"low",J375&lt;1600,"medium low",J375&lt;2200,"medium high",J375&gt;=2200,"high")</f>
        <v>low</v>
      </c>
      <c r="T375" t="str" cm="1">
        <f t="array" ref="T375">_xlfn.IFS(
J375&lt;630,"Low",
J375&lt;1287,"Medium",
J375&lt;1495,"Intermediate",
J375&lt;1668,"Moderately",
J375&lt;1843,"Transition",
J375&lt;2477,"High",
J375&lt;2996,"Refractory I",
TRUE,"Refractory II"
)</f>
        <v>Low</v>
      </c>
      <c r="U375">
        <f t="shared" si="16"/>
        <v>0.68927140525300479</v>
      </c>
      <c r="V375" t="str" cm="1">
        <f t="array" ref="V375">_xlfn.IFS(U375&lt;0.25,"shallow condution",
U375&lt;0.5,"transition",
U375&lt;1,"conduction",
U375&lt;1.5,"transition",U375&lt;3,"keyholeⅠ",3&lt;=U375,"keyhole Ⅱ"
)</f>
        <v>conduction</v>
      </c>
      <c r="X375">
        <f t="shared" si="18"/>
        <v>1.4508073196986009</v>
      </c>
    </row>
    <row r="376" spans="1:24">
      <c r="A376" s="2" t="s">
        <v>54</v>
      </c>
      <c r="B376" s="4">
        <v>200</v>
      </c>
      <c r="C376" s="4">
        <v>600</v>
      </c>
      <c r="D376" s="4">
        <v>7.31</v>
      </c>
      <c r="E376" s="4">
        <v>7.03</v>
      </c>
      <c r="F376" s="4">
        <v>296</v>
      </c>
      <c r="G376" s="16" t="s">
        <v>96</v>
      </c>
      <c r="H376" s="4">
        <v>0.22800000000000001</v>
      </c>
      <c r="I376" s="4">
        <v>66.8</v>
      </c>
      <c r="J376" s="4">
        <v>232</v>
      </c>
      <c r="K376" s="4">
        <v>2602</v>
      </c>
      <c r="L376" s="4">
        <v>0.7</v>
      </c>
      <c r="M376" s="4">
        <v>305.76</v>
      </c>
      <c r="N376" s="5">
        <v>416.69</v>
      </c>
      <c r="Q376" s="1">
        <f t="shared" si="15"/>
        <v>85.470085470085465</v>
      </c>
      <c r="R376" t="str" cm="1">
        <f t="array" ref="R376">_xlfn.IFS(Q376&lt;42.7, "low",
Q376&lt;85.4,"medium low",
Q376&lt;128,"medium high",
Q376&gt;=128,"high"
)</f>
        <v>medium high</v>
      </c>
      <c r="S376" t="str" cm="1">
        <f t="array" ref="S376">_xlfn.IFS(J376&lt;700,"low",J376&lt;1600,"medium low",J376&lt;2200,"medium high",J376&gt;=2200,"high")</f>
        <v>low</v>
      </c>
      <c r="T376" t="str" cm="1">
        <f t="array" ref="T376">_xlfn.IFS(
J376&lt;630,"Low",
J376&lt;1287,"Medium",
J376&lt;1495,"Intermediate",
J376&lt;1668,"Moderately",
J376&lt;1843,"Transition",
J376&lt;2477,"High",
J376&lt;2996,"Refractory I",
TRUE,"Refractory II"
)</f>
        <v>Low</v>
      </c>
      <c r="U376">
        <f t="shared" si="16"/>
        <v>1.3628008895866039</v>
      </c>
      <c r="V376" t="str" cm="1">
        <f t="array" ref="V376">_xlfn.IFS(U376&lt;0.25,"shallow condution",
U376&lt;0.5,"transition",
U376&lt;1,"conduction",
U376&lt;1.5,"transition",U376&lt;3,"keyholeⅠ",3&lt;=U376,"keyhole Ⅱ"
)</f>
        <v>transition</v>
      </c>
      <c r="X376">
        <f t="shared" si="18"/>
        <v>0.7337829081571432</v>
      </c>
    </row>
    <row r="377" spans="1:24">
      <c r="A377" s="2" t="s">
        <v>54</v>
      </c>
      <c r="B377" s="4">
        <v>200</v>
      </c>
      <c r="C377" s="4">
        <v>800</v>
      </c>
      <c r="D377" s="4">
        <v>7.31</v>
      </c>
      <c r="E377" s="4">
        <v>7.03</v>
      </c>
      <c r="F377" s="4">
        <v>296</v>
      </c>
      <c r="G377" s="16" t="s">
        <v>96</v>
      </c>
      <c r="H377" s="4">
        <v>0.22800000000000001</v>
      </c>
      <c r="I377" s="4">
        <v>66.8</v>
      </c>
      <c r="J377" s="4">
        <v>232</v>
      </c>
      <c r="K377" s="4">
        <v>2602</v>
      </c>
      <c r="L377" s="4">
        <v>0.7</v>
      </c>
      <c r="M377" s="4">
        <v>307.11</v>
      </c>
      <c r="N377" s="5">
        <v>284.99</v>
      </c>
      <c r="Q377" s="1">
        <f t="shared" si="15"/>
        <v>64.102564102564102</v>
      </c>
      <c r="R377" t="str" cm="1">
        <f t="array" ref="R377">_xlfn.IFS(Q377&lt;42.7, "low",
Q377&lt;85.4,"medium low",
Q377&lt;128,"medium high",
Q377&gt;=128,"high"
)</f>
        <v>medium low</v>
      </c>
      <c r="S377" t="str" cm="1">
        <f t="array" ref="S377">_xlfn.IFS(J377&lt;700,"low",J377&lt;1600,"medium low",J377&lt;2200,"medium high",J377&gt;=2200,"high")</f>
        <v>low</v>
      </c>
      <c r="T377" t="str" cm="1">
        <f t="array" ref="T377">_xlfn.IFS(
J377&lt;630,"Low",
J377&lt;1287,"Medium",
J377&lt;1495,"Intermediate",
J377&lt;1668,"Moderately",
J377&lt;1843,"Transition",
J377&lt;2477,"High",
J377&lt;2996,"Refractory I",
TRUE,"Refractory II"
)</f>
        <v>Low</v>
      </c>
      <c r="U377">
        <f t="shared" si="16"/>
        <v>0.92797369020872</v>
      </c>
      <c r="V377" t="str" cm="1">
        <f t="array" ref="V377">_xlfn.IFS(U377&lt;0.25,"shallow condution",
U377&lt;0.5,"transition",
U377&lt;1,"conduction",
U377&lt;1.5,"transition",U377&lt;3,"keyholeⅠ",3&lt;=U377,"keyhole Ⅱ"
)</f>
        <v>conduction</v>
      </c>
      <c r="X377">
        <f t="shared" si="18"/>
        <v>1.0776167584827538</v>
      </c>
    </row>
    <row r="378" spans="1:24">
      <c r="A378" s="2" t="s">
        <v>54</v>
      </c>
      <c r="B378" s="4">
        <v>200</v>
      </c>
      <c r="C378" s="4">
        <v>1200</v>
      </c>
      <c r="D378" s="4">
        <v>7.31</v>
      </c>
      <c r="E378" s="4">
        <v>7.03</v>
      </c>
      <c r="F378" s="4">
        <v>296</v>
      </c>
      <c r="G378" s="16" t="s">
        <v>96</v>
      </c>
      <c r="H378" s="4">
        <v>0.22800000000000001</v>
      </c>
      <c r="I378" s="4">
        <v>66.8</v>
      </c>
      <c r="J378" s="4">
        <v>232</v>
      </c>
      <c r="K378" s="4">
        <v>2602</v>
      </c>
      <c r="L378" s="4">
        <v>0.7</v>
      </c>
      <c r="M378" s="4">
        <v>313.35000000000002</v>
      </c>
      <c r="N378" s="5">
        <v>222.75</v>
      </c>
      <c r="Q378" s="1">
        <f t="shared" si="15"/>
        <v>42.735042735042732</v>
      </c>
      <c r="R378" t="str" cm="1">
        <f t="array" ref="R378">_xlfn.IFS(Q378&lt;42.7, "low",
Q378&lt;85.4,"medium low",
Q378&lt;128,"medium high",
Q378&gt;=128,"high"
)</f>
        <v>medium low</v>
      </c>
      <c r="S378" t="str" cm="1">
        <f t="array" ref="S378">_xlfn.IFS(J378&lt;700,"low",J378&lt;1600,"medium low",J378&lt;2200,"medium high",J378&gt;=2200,"high")</f>
        <v>low</v>
      </c>
      <c r="T378" t="str" cm="1">
        <f t="array" ref="T378">_xlfn.IFS(
J378&lt;630,"Low",
J378&lt;1287,"Medium",
J378&lt;1495,"Intermediate",
J378&lt;1668,"Moderately",
J378&lt;1843,"Transition",
J378&lt;2477,"High",
J378&lt;2996,"Refractory I",
TRUE,"Refractory II"
)</f>
        <v>Low</v>
      </c>
      <c r="U378">
        <f t="shared" si="16"/>
        <v>0.71086644327429382</v>
      </c>
      <c r="V378" t="str" cm="1">
        <f t="array" ref="V378">_xlfn.IFS(U378&lt;0.25,"shallow condution",
U378&lt;0.5,"transition",
U378&lt;1,"conduction",
U378&lt;1.5,"transition",U378&lt;3,"keyholeⅠ",3&lt;=U378,"keyhole Ⅱ"
)</f>
        <v>conduction</v>
      </c>
      <c r="X378">
        <f t="shared" si="18"/>
        <v>1.4067340067340068</v>
      </c>
    </row>
    <row r="379" spans="1:24">
      <c r="A379" s="2" t="s">
        <v>54</v>
      </c>
      <c r="B379" s="4">
        <v>200</v>
      </c>
      <c r="C379" s="4">
        <v>1600</v>
      </c>
      <c r="D379" s="4">
        <v>7.31</v>
      </c>
      <c r="E379" s="4">
        <v>7.03</v>
      </c>
      <c r="F379" s="4">
        <v>296</v>
      </c>
      <c r="G379" s="16" t="s">
        <v>96</v>
      </c>
      <c r="H379" s="4">
        <v>0.22800000000000001</v>
      </c>
      <c r="I379" s="4">
        <v>66.8</v>
      </c>
      <c r="J379" s="4">
        <v>232</v>
      </c>
      <c r="K379" s="4">
        <v>2602</v>
      </c>
      <c r="L379" s="4">
        <v>0.7</v>
      </c>
      <c r="M379" s="4">
        <v>318.55</v>
      </c>
      <c r="N379" s="5">
        <v>184.67</v>
      </c>
      <c r="Q379" s="1">
        <f t="shared" si="15"/>
        <v>32.051282051282051</v>
      </c>
      <c r="R379" t="str" cm="1">
        <f t="array" ref="R379">_xlfn.IFS(Q379&lt;42.7, "low",
Q379&lt;85.4,"medium low",
Q379&lt;128,"medium high",
Q379&gt;=128,"high"
)</f>
        <v>low</v>
      </c>
      <c r="S379" t="str" cm="1">
        <f t="array" ref="S379">_xlfn.IFS(J379&lt;700,"low",J379&lt;1600,"medium low",J379&lt;2200,"medium high",J379&gt;=2200,"high")</f>
        <v>low</v>
      </c>
      <c r="T379" t="str" cm="1">
        <f t="array" ref="T379">_xlfn.IFS(
J379&lt;630,"Low",
J379&lt;1287,"Medium",
J379&lt;1495,"Intermediate",
J379&lt;1668,"Moderately",
J379&lt;1843,"Transition",
J379&lt;2477,"High",
J379&lt;2996,"Refractory I",
TRUE,"Refractory II"
)</f>
        <v>Low</v>
      </c>
      <c r="U379">
        <f t="shared" si="16"/>
        <v>0.57972060900957456</v>
      </c>
      <c r="V379" t="str" cm="1">
        <f t="array" ref="V379">_xlfn.IFS(U379&lt;0.25,"shallow condution",
U379&lt;0.5,"transition",
U379&lt;1,"conduction",
U379&lt;1.5,"transition",U379&lt;3,"keyholeⅠ",3&lt;=U379,"keyhole Ⅱ"
)</f>
        <v>conduction</v>
      </c>
      <c r="X379">
        <f t="shared" si="18"/>
        <v>1.7249688633779174</v>
      </c>
    </row>
    <row r="380" spans="1:24">
      <c r="A380" s="2" t="s">
        <v>54</v>
      </c>
      <c r="B380" s="4">
        <v>200</v>
      </c>
      <c r="C380" s="4">
        <v>2000</v>
      </c>
      <c r="D380" s="4">
        <v>7.31</v>
      </c>
      <c r="E380" s="4">
        <v>7.03</v>
      </c>
      <c r="F380" s="4">
        <v>296</v>
      </c>
      <c r="G380" s="16" t="s">
        <v>96</v>
      </c>
      <c r="H380" s="4">
        <v>0.22800000000000001</v>
      </c>
      <c r="I380" s="4">
        <v>66.8</v>
      </c>
      <c r="J380" s="4">
        <v>232</v>
      </c>
      <c r="K380" s="4">
        <v>2602</v>
      </c>
      <c r="L380" s="4">
        <v>0.7</v>
      </c>
      <c r="M380" s="4">
        <v>316.06</v>
      </c>
      <c r="N380" s="5">
        <v>145.88999999999999</v>
      </c>
      <c r="Q380" s="1">
        <f t="shared" si="15"/>
        <v>25.641025641025642</v>
      </c>
      <c r="R380" t="str" cm="1">
        <f t="array" ref="R380">_xlfn.IFS(Q380&lt;42.7, "low",
Q380&lt;85.4,"medium low",
Q380&lt;128,"medium high",
Q380&gt;=128,"high"
)</f>
        <v>low</v>
      </c>
      <c r="S380" t="str" cm="1">
        <f t="array" ref="S380">_xlfn.IFS(J380&lt;700,"low",J380&lt;1600,"medium low",J380&lt;2200,"medium high",J380&gt;=2200,"high")</f>
        <v>low</v>
      </c>
      <c r="T380" t="str" cm="1">
        <f t="array" ref="T380">_xlfn.IFS(
J380&lt;630,"Low",
J380&lt;1287,"Medium",
J380&lt;1495,"Intermediate",
J380&lt;1668,"Moderately",
J380&lt;1843,"Transition",
J380&lt;2477,"High",
J380&lt;2996,"Refractory I",
TRUE,"Refractory II"
)</f>
        <v>Low</v>
      </c>
      <c r="U380">
        <f t="shared" si="16"/>
        <v>0.46158957160032899</v>
      </c>
      <c r="V380" t="str" cm="1">
        <f t="array" ref="V380">_xlfn.IFS(U380&lt;0.25,"shallow condution",
U380&lt;0.5,"transition",
U380&lt;1,"conduction",
U380&lt;1.5,"transition",U380&lt;3,"keyholeⅠ",3&lt;=U380,"keyhole Ⅱ"
)</f>
        <v>transition</v>
      </c>
      <c r="X380">
        <f t="shared" si="18"/>
        <v>2.1664267598875866</v>
      </c>
    </row>
    <row r="381" spans="1:24">
      <c r="A381" s="2" t="s">
        <v>54</v>
      </c>
      <c r="B381" s="4">
        <v>200</v>
      </c>
      <c r="C381" s="4">
        <v>2400</v>
      </c>
      <c r="D381" s="4">
        <v>7.31</v>
      </c>
      <c r="E381" s="4">
        <v>7.03</v>
      </c>
      <c r="F381" s="4">
        <v>296</v>
      </c>
      <c r="G381" s="16" t="s">
        <v>96</v>
      </c>
      <c r="H381" s="4">
        <v>0.22800000000000001</v>
      </c>
      <c r="I381" s="4">
        <v>66.8</v>
      </c>
      <c r="J381" s="4">
        <v>232</v>
      </c>
      <c r="K381" s="4">
        <v>2602</v>
      </c>
      <c r="L381" s="4">
        <v>0.7</v>
      </c>
      <c r="M381" s="4">
        <v>181.81</v>
      </c>
      <c r="N381" s="5">
        <v>91.35</v>
      </c>
      <c r="Q381" s="1">
        <f t="shared" si="15"/>
        <v>21.367521367521366</v>
      </c>
      <c r="R381" t="str" cm="1">
        <f t="array" ref="R381">_xlfn.IFS(Q381&lt;42.7, "low",
Q381&lt;85.4,"medium low",
Q381&lt;128,"medium high",
Q381&gt;=128,"high"
)</f>
        <v>low</v>
      </c>
      <c r="S381" t="str" cm="1">
        <f t="array" ref="S381">_xlfn.IFS(J381&lt;700,"low",J381&lt;1600,"medium low",J381&lt;2200,"medium high",J381&gt;=2200,"high")</f>
        <v>low</v>
      </c>
      <c r="T381" t="str" cm="1">
        <f t="array" ref="T381">_xlfn.IFS(
J381&lt;630,"Low",
J381&lt;1287,"Medium",
J381&lt;1495,"Intermediate",
J381&lt;1668,"Moderately",
J381&lt;1843,"Transition",
J381&lt;2477,"High",
J381&lt;2996,"Refractory I",
TRUE,"Refractory II"
)</f>
        <v>Low</v>
      </c>
      <c r="U381">
        <f t="shared" si="16"/>
        <v>0.50244761014245642</v>
      </c>
      <c r="V381" t="str" cm="1">
        <f t="array" ref="V381">_xlfn.IFS(U381&lt;0.25,"shallow condution",
U381&lt;0.5,"transition",
U381&lt;1,"conduction",
U381&lt;1.5,"transition",U381&lt;3,"keyholeⅠ",3&lt;=U381,"keyhole Ⅱ"
)</f>
        <v>conduction</v>
      </c>
      <c r="X381">
        <f t="shared" si="18"/>
        <v>1.9902572523262181</v>
      </c>
    </row>
    <row r="382" spans="1:24">
      <c r="A382" s="2" t="s">
        <v>54</v>
      </c>
      <c r="B382" s="4">
        <v>350</v>
      </c>
      <c r="C382" s="4">
        <v>400</v>
      </c>
      <c r="D382" s="4">
        <v>7.31</v>
      </c>
      <c r="E382" s="4">
        <v>7.03</v>
      </c>
      <c r="F382" s="4">
        <v>296</v>
      </c>
      <c r="G382" s="16" t="s">
        <v>96</v>
      </c>
      <c r="H382" s="4">
        <v>0.22800000000000001</v>
      </c>
      <c r="I382" s="4">
        <v>66.8</v>
      </c>
      <c r="J382" s="4">
        <v>232</v>
      </c>
      <c r="K382" s="4">
        <v>2602</v>
      </c>
      <c r="L382" s="4">
        <v>0.7</v>
      </c>
      <c r="M382" s="4">
        <v>652.1</v>
      </c>
      <c r="N382" s="5">
        <v>1049.71</v>
      </c>
      <c r="Q382" s="1">
        <f t="shared" si="15"/>
        <v>224.35897435897436</v>
      </c>
      <c r="R382" t="str" cm="1">
        <f t="array" ref="R382">_xlfn.IFS(Q382&lt;42.7, "low",
Q382&lt;85.4,"medium low",
Q382&lt;128,"medium high",
Q382&gt;=128,"high"
)</f>
        <v>high</v>
      </c>
      <c r="S382" t="str" cm="1">
        <f t="array" ref="S382">_xlfn.IFS(J382&lt;700,"low",J382&lt;1600,"medium low",J382&lt;2200,"medium high",J382&gt;=2200,"high")</f>
        <v>low</v>
      </c>
      <c r="T382" t="str" cm="1">
        <f t="array" ref="T382">_xlfn.IFS(
J382&lt;630,"Low",
J382&lt;1287,"Medium",
J382&lt;1495,"Intermediate",
J382&lt;1668,"Moderately",
J382&lt;1843,"Transition",
J382&lt;2477,"High",
J382&lt;2996,"Refractory I",
TRUE,"Refractory II"
)</f>
        <v>Low</v>
      </c>
      <c r="U382">
        <f t="shared" si="16"/>
        <v>1.6097377702806317</v>
      </c>
      <c r="V382" t="str" cm="1">
        <f t="array" ref="V382">_xlfn.IFS(U382&lt;0.25,"shallow condution",
U382&lt;0.5,"transition",
U382&lt;1,"conduction",
U382&lt;1.5,"transition",U382&lt;3,"keyholeⅠ",3&lt;=U382,"keyhole Ⅱ"
)</f>
        <v>keyholeⅠ</v>
      </c>
      <c r="X382">
        <f t="shared" si="18"/>
        <v>0.62121919387259339</v>
      </c>
    </row>
    <row r="383" spans="1:24">
      <c r="A383" s="2" t="s">
        <v>54</v>
      </c>
      <c r="B383" s="4">
        <v>350</v>
      </c>
      <c r="C383" s="4">
        <v>800</v>
      </c>
      <c r="D383" s="4">
        <v>7.31</v>
      </c>
      <c r="E383" s="4">
        <v>7.03</v>
      </c>
      <c r="F383" s="4">
        <v>296</v>
      </c>
      <c r="G383" s="16" t="s">
        <v>96</v>
      </c>
      <c r="H383" s="4">
        <v>0.22800000000000001</v>
      </c>
      <c r="I383" s="4">
        <v>66.8</v>
      </c>
      <c r="J383" s="4">
        <v>232</v>
      </c>
      <c r="K383" s="4">
        <v>2602</v>
      </c>
      <c r="L383" s="4">
        <v>0.7</v>
      </c>
      <c r="M383" s="4">
        <v>584.91999999999996</v>
      </c>
      <c r="N383" s="5">
        <v>421.87</v>
      </c>
      <c r="Q383" s="1">
        <f t="shared" si="15"/>
        <v>112.17948717948718</v>
      </c>
      <c r="R383" t="str" cm="1">
        <f t="array" ref="R383">_xlfn.IFS(Q383&lt;42.7, "low",
Q383&lt;85.4,"medium low",
Q383&lt;128,"medium high",
Q383&gt;=128,"high"
)</f>
        <v>medium high</v>
      </c>
      <c r="S383" t="str" cm="1">
        <f t="array" ref="S383">_xlfn.IFS(J383&lt;700,"low",J383&lt;1600,"medium low",J383&lt;2200,"medium high",J383&gt;=2200,"high")</f>
        <v>low</v>
      </c>
      <c r="T383" t="str" cm="1">
        <f t="array" ref="T383">_xlfn.IFS(
J383&lt;630,"Low",
J383&lt;1287,"Medium",
J383&lt;1495,"Intermediate",
J383&lt;1668,"Moderately",
J383&lt;1843,"Transition",
J383&lt;2477,"High",
J383&lt;2996,"Refractory I",
TRUE,"Refractory II"
)</f>
        <v>Low</v>
      </c>
      <c r="U383">
        <f t="shared" si="16"/>
        <v>0.72124393079395477</v>
      </c>
      <c r="V383" t="str" cm="1">
        <f t="array" ref="V383">_xlfn.IFS(U383&lt;0.25,"shallow condution",
U383&lt;0.5,"transition",
U383&lt;1,"conduction",
U383&lt;1.5,"transition",U383&lt;3,"keyholeⅠ",3&lt;=U383,"keyhole Ⅱ"
)</f>
        <v>conduction</v>
      </c>
      <c r="X383">
        <f t="shared" si="18"/>
        <v>1.3864934695522315</v>
      </c>
    </row>
    <row r="384" spans="1:24">
      <c r="A384" s="2" t="s">
        <v>54</v>
      </c>
      <c r="B384" s="4">
        <v>350</v>
      </c>
      <c r="C384" s="4">
        <v>1000</v>
      </c>
      <c r="D384" s="4">
        <v>7.31</v>
      </c>
      <c r="E384" s="4">
        <v>7.03</v>
      </c>
      <c r="F384" s="4">
        <v>296</v>
      </c>
      <c r="G384" s="16" t="s">
        <v>96</v>
      </c>
      <c r="H384" s="4">
        <v>0.22800000000000001</v>
      </c>
      <c r="I384" s="4">
        <v>66.8</v>
      </c>
      <c r="J384" s="4">
        <v>232</v>
      </c>
      <c r="K384" s="4">
        <v>2602</v>
      </c>
      <c r="L384" s="4">
        <v>0.7</v>
      </c>
      <c r="M384" s="4">
        <v>517</v>
      </c>
      <c r="N384" s="5">
        <v>381.24</v>
      </c>
      <c r="Q384" s="1">
        <f t="shared" si="15"/>
        <v>89.743589743589737</v>
      </c>
      <c r="R384" t="str" cm="1">
        <f t="array" ref="R384">_xlfn.IFS(Q384&lt;42.7, "low",
Q384&lt;85.4,"medium low",
Q384&lt;128,"medium high",
Q384&gt;=128,"high"
)</f>
        <v>medium high</v>
      </c>
      <c r="S384" t="str" cm="1">
        <f t="array" ref="S384">_xlfn.IFS(J384&lt;700,"low",J384&lt;1600,"medium low",J384&lt;2200,"medium high",J384&gt;=2200,"high")</f>
        <v>low</v>
      </c>
      <c r="T384" t="str" cm="1">
        <f t="array" ref="T384">_xlfn.IFS(
J384&lt;630,"Low",
J384&lt;1287,"Medium",
J384&lt;1495,"Intermediate",
J384&lt;1668,"Moderately",
J384&lt;1843,"Transition",
J384&lt;2477,"High",
J384&lt;2996,"Refractory I",
TRUE,"Refractory II"
)</f>
        <v>Low</v>
      </c>
      <c r="U384">
        <f t="shared" si="16"/>
        <v>0.73740812379110254</v>
      </c>
      <c r="V384" t="str" cm="1">
        <f t="array" ref="V384">_xlfn.IFS(U384&lt;0.25,"shallow condution",
U384&lt;0.5,"transition",
U384&lt;1,"conduction",
U384&lt;1.5,"transition",U384&lt;3,"keyholeⅠ",3&lt;=U384,"keyhole Ⅱ"
)</f>
        <v>conduction</v>
      </c>
      <c r="X384">
        <f t="shared" si="18"/>
        <v>1.3561011436365544</v>
      </c>
    </row>
    <row r="385" spans="1:24">
      <c r="A385" s="2" t="s">
        <v>54</v>
      </c>
      <c r="B385" s="4">
        <v>350</v>
      </c>
      <c r="C385" s="4">
        <v>1200</v>
      </c>
      <c r="D385" s="4">
        <v>7.31</v>
      </c>
      <c r="E385" s="4">
        <v>7.03</v>
      </c>
      <c r="F385" s="4">
        <v>296</v>
      </c>
      <c r="G385" s="16" t="s">
        <v>96</v>
      </c>
      <c r="H385" s="4">
        <v>0.22800000000000001</v>
      </c>
      <c r="I385" s="4">
        <v>66.8</v>
      </c>
      <c r="J385" s="4">
        <v>232</v>
      </c>
      <c r="K385" s="4">
        <v>2602</v>
      </c>
      <c r="L385" s="4">
        <v>0.7</v>
      </c>
      <c r="M385" s="4">
        <v>440.14</v>
      </c>
      <c r="N385" s="5">
        <v>337.23</v>
      </c>
      <c r="Q385" s="1">
        <f t="shared" si="15"/>
        <v>74.786324786324784</v>
      </c>
      <c r="R385" t="str" cm="1">
        <f t="array" ref="R385">_xlfn.IFS(Q385&lt;42.7, "low",
Q385&lt;85.4,"medium low",
Q385&lt;128,"medium high",
Q385&gt;=128,"high"
)</f>
        <v>medium low</v>
      </c>
      <c r="S385" t="str" cm="1">
        <f t="array" ref="S385">_xlfn.IFS(J385&lt;700,"low",J385&lt;1600,"medium low",J385&lt;2200,"medium high",J385&gt;=2200,"high")</f>
        <v>low</v>
      </c>
      <c r="T385" t="str" cm="1">
        <f t="array" ref="T385">_xlfn.IFS(
J385&lt;630,"Low",
J385&lt;1287,"Medium",
J385&lt;1495,"Intermediate",
J385&lt;1668,"Moderately",
J385&lt;1843,"Transition",
J385&lt;2477,"High",
J385&lt;2996,"Refractory I",
TRUE,"Refractory II"
)</f>
        <v>Low</v>
      </c>
      <c r="U385">
        <f t="shared" si="16"/>
        <v>0.76618803108101974</v>
      </c>
      <c r="V385" t="str" cm="1">
        <f t="array" ref="V385">_xlfn.IFS(U385&lt;0.25,"shallow condution",
U385&lt;0.5,"transition",
U385&lt;1,"conduction",
U385&lt;1.5,"transition",U385&lt;3,"keyholeⅠ",3&lt;=U385,"keyhole Ⅱ"
)</f>
        <v>conduction</v>
      </c>
      <c r="X385">
        <f t="shared" si="18"/>
        <v>1.3051626486374284</v>
      </c>
    </row>
    <row r="386" spans="1:24">
      <c r="A386" s="2" t="s">
        <v>54</v>
      </c>
      <c r="B386" s="4">
        <v>350</v>
      </c>
      <c r="C386" s="4">
        <v>1600</v>
      </c>
      <c r="D386" s="4">
        <v>7.31</v>
      </c>
      <c r="E386" s="4">
        <v>7.03</v>
      </c>
      <c r="F386" s="4">
        <v>296</v>
      </c>
      <c r="G386" s="16" t="s">
        <v>96</v>
      </c>
      <c r="H386" s="4">
        <v>0.22800000000000001</v>
      </c>
      <c r="I386" s="4">
        <v>66.8</v>
      </c>
      <c r="J386" s="4">
        <v>232</v>
      </c>
      <c r="K386" s="4">
        <v>2602</v>
      </c>
      <c r="L386" s="4">
        <v>0.7</v>
      </c>
      <c r="M386" s="4">
        <v>434.69</v>
      </c>
      <c r="N386" s="5">
        <v>382.22</v>
      </c>
      <c r="Q386" s="1">
        <f t="shared" ref="Q386:Q449" si="19">B386*10^6/(C386*130*30)</f>
        <v>56.089743589743591</v>
      </c>
      <c r="R386" t="str" cm="1">
        <f t="array" ref="R386">_xlfn.IFS(Q386&lt;42.7, "low",
Q386&lt;85.4,"medium low",
Q386&lt;128,"medium high",
Q386&gt;=128,"high"
)</f>
        <v>medium low</v>
      </c>
      <c r="S386" t="str" cm="1">
        <f t="array" ref="S386">_xlfn.IFS(J386&lt;700,"low",J386&lt;1600,"medium low",J386&lt;2200,"medium high",J386&gt;=2200,"high")</f>
        <v>low</v>
      </c>
      <c r="T386" t="str" cm="1">
        <f t="array" ref="T386">_xlfn.IFS(
J386&lt;630,"Low",
J386&lt;1287,"Medium",
J386&lt;1495,"Intermediate",
J386&lt;1668,"Moderately",
J386&lt;1843,"Transition",
J386&lt;2477,"High",
J386&lt;2996,"Refractory I",
TRUE,"Refractory II"
)</f>
        <v>Low</v>
      </c>
      <c r="U386">
        <f t="shared" ref="U386:U449" si="20">N386/M386</f>
        <v>0.87929328947065732</v>
      </c>
      <c r="V386" t="str" cm="1">
        <f t="array" ref="V386">_xlfn.IFS(U386&lt;0.25,"shallow condution",
U386&lt;0.5,"transition",
U386&lt;1,"conduction",
U386&lt;1.5,"transition",U386&lt;3,"keyholeⅠ",3&lt;=U386,"keyhole Ⅱ"
)</f>
        <v>conduction</v>
      </c>
      <c r="X386">
        <f t="shared" ref="X386:X449" si="21">M386/N386</f>
        <v>1.1372769609125633</v>
      </c>
    </row>
    <row r="387" spans="1:24">
      <c r="A387" s="2" t="s">
        <v>54</v>
      </c>
      <c r="B387" s="4">
        <v>350</v>
      </c>
      <c r="C387" s="4">
        <v>2000</v>
      </c>
      <c r="D387" s="4">
        <v>7.31</v>
      </c>
      <c r="E387" s="4">
        <v>7.03</v>
      </c>
      <c r="F387" s="4">
        <v>296</v>
      </c>
      <c r="G387" s="16" t="s">
        <v>96</v>
      </c>
      <c r="H387" s="4">
        <v>0.22800000000000001</v>
      </c>
      <c r="I387" s="4">
        <v>66.8</v>
      </c>
      <c r="J387" s="4">
        <v>232</v>
      </c>
      <c r="K387" s="4">
        <v>2602</v>
      </c>
      <c r="L387" s="4">
        <v>0.7</v>
      </c>
      <c r="M387" s="4">
        <v>396.11</v>
      </c>
      <c r="N387" s="5">
        <v>307.75</v>
      </c>
      <c r="Q387" s="1">
        <f t="shared" si="19"/>
        <v>44.871794871794869</v>
      </c>
      <c r="R387" t="str" cm="1">
        <f t="array" ref="R387">_xlfn.IFS(Q387&lt;42.7, "low",
Q387&lt;85.4,"medium low",
Q387&lt;128,"medium high",
Q387&gt;=128,"high"
)</f>
        <v>medium low</v>
      </c>
      <c r="S387" t="str" cm="1">
        <f t="array" ref="S387">_xlfn.IFS(J387&lt;700,"low",J387&lt;1600,"medium low",J387&lt;2200,"medium high",J387&gt;=2200,"high")</f>
        <v>low</v>
      </c>
      <c r="T387" t="str" cm="1">
        <f t="array" ref="T387">_xlfn.IFS(
J387&lt;630,"Low",
J387&lt;1287,"Medium",
J387&lt;1495,"Intermediate",
J387&lt;1668,"Moderately",
J387&lt;1843,"Transition",
J387&lt;2477,"High",
J387&lt;2996,"Refractory I",
TRUE,"Refractory II"
)</f>
        <v>Low</v>
      </c>
      <c r="U387">
        <f t="shared" si="20"/>
        <v>0.77693065057685995</v>
      </c>
      <c r="V387" t="str" cm="1">
        <f t="array" ref="V387">_xlfn.IFS(U387&lt;0.25,"shallow condution",
U387&lt;0.5,"transition",
U387&lt;1,"conduction",
U387&lt;1.5,"transition",U387&lt;3,"keyholeⅠ",3&lt;=U387,"keyhole Ⅱ"
)</f>
        <v>conduction</v>
      </c>
      <c r="X387">
        <f t="shared" si="21"/>
        <v>1.2871161657189278</v>
      </c>
    </row>
    <row r="388" spans="1:24">
      <c r="A388" s="2" t="s">
        <v>54</v>
      </c>
      <c r="B388" s="4">
        <v>350</v>
      </c>
      <c r="C388" s="4">
        <v>2400</v>
      </c>
      <c r="D388" s="4">
        <v>7.31</v>
      </c>
      <c r="E388" s="4">
        <v>7.03</v>
      </c>
      <c r="F388" s="4">
        <v>296</v>
      </c>
      <c r="G388" s="16" t="s">
        <v>96</v>
      </c>
      <c r="H388" s="4">
        <v>0.22800000000000001</v>
      </c>
      <c r="I388" s="4">
        <v>66.8</v>
      </c>
      <c r="J388" s="4">
        <v>232</v>
      </c>
      <c r="K388" s="4">
        <v>2602</v>
      </c>
      <c r="L388" s="4">
        <v>0.7</v>
      </c>
      <c r="M388" s="4">
        <v>415.24</v>
      </c>
      <c r="N388" s="5">
        <v>231.39</v>
      </c>
      <c r="Q388" s="1">
        <f t="shared" si="19"/>
        <v>37.393162393162392</v>
      </c>
      <c r="R388" t="str" cm="1">
        <f t="array" ref="R388">_xlfn.IFS(Q388&lt;42.7, "low",
Q388&lt;85.4,"medium low",
Q388&lt;128,"medium high",
Q388&gt;=128,"high"
)</f>
        <v>low</v>
      </c>
      <c r="S388" t="str" cm="1">
        <f t="array" ref="S388">_xlfn.IFS(J388&lt;700,"low",J388&lt;1600,"medium low",J388&lt;2200,"medium high",J388&gt;=2200,"high")</f>
        <v>low</v>
      </c>
      <c r="T388" t="str" cm="1">
        <f t="array" ref="T388">_xlfn.IFS(
J388&lt;630,"Low",
J388&lt;1287,"Medium",
J388&lt;1495,"Intermediate",
J388&lt;1668,"Moderately",
J388&lt;1843,"Transition",
J388&lt;2477,"High",
J388&lt;2996,"Refractory I",
TRUE,"Refractory II"
)</f>
        <v>Low</v>
      </c>
      <c r="U388">
        <f t="shared" si="20"/>
        <v>0.55724400346787395</v>
      </c>
      <c r="V388" t="str" cm="1">
        <f t="array" ref="V388">_xlfn.IFS(U388&lt;0.25,"shallow condution",
U388&lt;0.5,"transition",
U388&lt;1,"conduction",
U388&lt;1.5,"transition",U388&lt;3,"keyholeⅠ",3&lt;=U388,"keyhole Ⅱ"
)</f>
        <v>conduction</v>
      </c>
      <c r="X388">
        <f t="shared" si="21"/>
        <v>1.7945460045810107</v>
      </c>
    </row>
    <row r="389" spans="1:24">
      <c r="A389" s="2" t="s">
        <v>54</v>
      </c>
      <c r="B389" s="4">
        <v>100</v>
      </c>
      <c r="C389" s="4">
        <v>300</v>
      </c>
      <c r="D389" s="4">
        <v>7.31</v>
      </c>
      <c r="E389" s="4">
        <v>7.03</v>
      </c>
      <c r="F389" s="4">
        <v>296</v>
      </c>
      <c r="G389" s="16" t="s">
        <v>96</v>
      </c>
      <c r="H389" s="4">
        <v>0.22800000000000001</v>
      </c>
      <c r="I389" s="4">
        <v>66.8</v>
      </c>
      <c r="J389" s="4">
        <v>232</v>
      </c>
      <c r="K389" s="4">
        <v>2602</v>
      </c>
      <c r="L389" s="4">
        <v>0.7</v>
      </c>
      <c r="M389" s="4">
        <v>597.75</v>
      </c>
      <c r="N389" s="5">
        <v>378.2</v>
      </c>
      <c r="Q389" s="1">
        <f t="shared" si="19"/>
        <v>85.470085470085465</v>
      </c>
      <c r="R389" t="str" cm="1">
        <f t="array" ref="R389">_xlfn.IFS(Q389&lt;42.7, "low",
Q389&lt;85.4,"medium low",
Q389&lt;128,"medium high",
Q389&gt;=128,"high"
)</f>
        <v>medium high</v>
      </c>
      <c r="S389" t="str" cm="1">
        <f t="array" ref="S389">_xlfn.IFS(J389&lt;700,"low",J389&lt;1600,"medium low",J389&lt;2200,"medium high",J389&gt;=2200,"high")</f>
        <v>low</v>
      </c>
      <c r="T389" t="str" cm="1">
        <f t="array" ref="T389">_xlfn.IFS(
J389&lt;630,"Low",
J389&lt;1287,"Medium",
J389&lt;1495,"Intermediate",
J389&lt;1668,"Moderately",
J389&lt;1843,"Transition",
J389&lt;2477,"High",
J389&lt;2996,"Refractory I",
TRUE,"Refractory II"
)</f>
        <v>Low</v>
      </c>
      <c r="U389">
        <f t="shared" si="20"/>
        <v>0.63270598076118778</v>
      </c>
      <c r="V389" t="str" cm="1">
        <f t="array" ref="V389">_xlfn.IFS(U389&lt;0.25,"shallow condution",
U389&lt;0.5,"transition",
U389&lt;1,"conduction",
U389&lt;1.5,"transition",U389&lt;3,"keyholeⅠ",3&lt;=U389,"keyhole Ⅱ"
)</f>
        <v>conduction</v>
      </c>
      <c r="X389">
        <f t="shared" si="21"/>
        <v>1.5805129561078795</v>
      </c>
    </row>
    <row r="390" spans="1:24">
      <c r="A390" s="2" t="s">
        <v>54</v>
      </c>
      <c r="B390" s="4">
        <v>150</v>
      </c>
      <c r="C390" s="4">
        <v>300</v>
      </c>
      <c r="D390" s="4">
        <v>7.31</v>
      </c>
      <c r="E390" s="4">
        <v>7.03</v>
      </c>
      <c r="F390" s="4">
        <v>296</v>
      </c>
      <c r="G390" s="16" t="s">
        <v>96</v>
      </c>
      <c r="H390" s="4">
        <v>0.22800000000000001</v>
      </c>
      <c r="I390" s="4">
        <v>66.8</v>
      </c>
      <c r="J390" s="4">
        <v>232</v>
      </c>
      <c r="K390" s="4">
        <v>2602</v>
      </c>
      <c r="L390" s="4">
        <v>0.7</v>
      </c>
      <c r="M390" s="4">
        <v>655.42</v>
      </c>
      <c r="N390" s="5">
        <v>641.54</v>
      </c>
      <c r="Q390" s="1">
        <f t="shared" si="19"/>
        <v>128.2051282051282</v>
      </c>
      <c r="R390" t="str" cm="1">
        <f t="array" ref="R390">_xlfn.IFS(Q390&lt;42.7, "low",
Q390&lt;85.4,"medium low",
Q390&lt;128,"medium high",
Q390&gt;=128,"high"
)</f>
        <v>high</v>
      </c>
      <c r="S390" t="str" cm="1">
        <f t="array" ref="S390">_xlfn.IFS(J390&lt;700,"low",J390&lt;1600,"medium low",J390&lt;2200,"medium high",J390&gt;=2200,"high")</f>
        <v>low</v>
      </c>
      <c r="T390" t="str" cm="1">
        <f t="array" ref="T390">_xlfn.IFS(
J390&lt;630,"Low",
J390&lt;1287,"Medium",
J390&lt;1495,"Intermediate",
J390&lt;1668,"Moderately",
J390&lt;1843,"Transition",
J390&lt;2477,"High",
J390&lt;2996,"Refractory I",
TRUE,"Refractory II"
)</f>
        <v>Low</v>
      </c>
      <c r="U390">
        <f t="shared" si="20"/>
        <v>0.97882273961734456</v>
      </c>
      <c r="V390" t="str" cm="1">
        <f t="array" ref="V390">_xlfn.IFS(U390&lt;0.25,"shallow condution",
U390&lt;0.5,"transition",
U390&lt;1,"conduction",
U390&lt;1.5,"transition",U390&lt;3,"keyholeⅠ",3&lt;=U390,"keyhole Ⅱ"
)</f>
        <v>conduction</v>
      </c>
      <c r="X390">
        <f t="shared" si="21"/>
        <v>1.0216354397231662</v>
      </c>
    </row>
    <row r="391" spans="1:24">
      <c r="A391" s="2" t="s">
        <v>54</v>
      </c>
      <c r="B391" s="4">
        <v>200</v>
      </c>
      <c r="C391" s="4">
        <v>300</v>
      </c>
      <c r="D391" s="4">
        <v>7.31</v>
      </c>
      <c r="E391" s="4">
        <v>7.03</v>
      </c>
      <c r="F391" s="4">
        <v>296</v>
      </c>
      <c r="G391" s="16" t="s">
        <v>96</v>
      </c>
      <c r="H391" s="4">
        <v>0.22800000000000001</v>
      </c>
      <c r="I391" s="4">
        <v>66.8</v>
      </c>
      <c r="J391" s="4">
        <v>232</v>
      </c>
      <c r="K391" s="4">
        <v>2602</v>
      </c>
      <c r="L391" s="4">
        <v>0.7</v>
      </c>
      <c r="M391" s="4">
        <v>730.55</v>
      </c>
      <c r="N391" s="5">
        <v>800.99</v>
      </c>
      <c r="Q391" s="1">
        <f t="shared" si="19"/>
        <v>170.94017094017093</v>
      </c>
      <c r="R391" t="str" cm="1">
        <f t="array" ref="R391">_xlfn.IFS(Q391&lt;42.7, "low",
Q391&lt;85.4,"medium low",
Q391&lt;128,"medium high",
Q391&gt;=128,"high"
)</f>
        <v>high</v>
      </c>
      <c r="S391" t="str" cm="1">
        <f t="array" ref="S391">_xlfn.IFS(J391&lt;700,"low",J391&lt;1600,"medium low",J391&lt;2200,"medium high",J391&gt;=2200,"high")</f>
        <v>low</v>
      </c>
      <c r="T391" t="str" cm="1">
        <f t="array" ref="T391">_xlfn.IFS(
J391&lt;630,"Low",
J391&lt;1287,"Medium",
J391&lt;1495,"Intermediate",
J391&lt;1668,"Moderately",
J391&lt;1843,"Transition",
J391&lt;2477,"High",
J391&lt;2996,"Refractory I",
TRUE,"Refractory II"
)</f>
        <v>Low</v>
      </c>
      <c r="U391">
        <f t="shared" si="20"/>
        <v>1.0964205050988982</v>
      </c>
      <c r="V391" t="str" cm="1">
        <f t="array" ref="V391">_xlfn.IFS(U391&lt;0.25,"shallow condution",
U391&lt;0.5,"transition",
U391&lt;1,"conduction",
U391&lt;1.5,"transition",U391&lt;3,"keyholeⅠ",3&lt;=U391,"keyhole Ⅱ"
)</f>
        <v>transition</v>
      </c>
      <c r="X391">
        <f t="shared" si="21"/>
        <v>0.91205882720133824</v>
      </c>
    </row>
    <row r="392" spans="1:24">
      <c r="A392" s="2" t="s">
        <v>54</v>
      </c>
      <c r="B392" s="4">
        <v>250</v>
      </c>
      <c r="C392" s="4">
        <v>300</v>
      </c>
      <c r="D392" s="4">
        <v>7.31</v>
      </c>
      <c r="E392" s="4">
        <v>7.03</v>
      </c>
      <c r="F392" s="4">
        <v>296</v>
      </c>
      <c r="G392" s="16" t="s">
        <v>96</v>
      </c>
      <c r="H392" s="4">
        <v>0.22800000000000001</v>
      </c>
      <c r="I392" s="4">
        <v>66.8</v>
      </c>
      <c r="J392" s="4">
        <v>232</v>
      </c>
      <c r="K392" s="4">
        <v>2602</v>
      </c>
      <c r="L392" s="4">
        <v>0.7</v>
      </c>
      <c r="M392" s="4">
        <v>836.48</v>
      </c>
      <c r="N392" s="5">
        <v>979.5</v>
      </c>
      <c r="Q392" s="1">
        <f t="shared" si="19"/>
        <v>213.67521367521368</v>
      </c>
      <c r="R392" t="str" cm="1">
        <f t="array" ref="R392">_xlfn.IFS(Q392&lt;42.7, "low",
Q392&lt;85.4,"medium low",
Q392&lt;128,"medium high",
Q392&gt;=128,"high"
)</f>
        <v>high</v>
      </c>
      <c r="S392" t="str" cm="1">
        <f t="array" ref="S392">_xlfn.IFS(J392&lt;700,"low",J392&lt;1600,"medium low",J392&lt;2200,"medium high",J392&gt;=2200,"high")</f>
        <v>low</v>
      </c>
      <c r="T392" t="str" cm="1">
        <f t="array" ref="T392">_xlfn.IFS(
J392&lt;630,"Low",
J392&lt;1287,"Medium",
J392&lt;1495,"Intermediate",
J392&lt;1668,"Moderately",
J392&lt;1843,"Transition",
J392&lt;2477,"High",
J392&lt;2996,"Refractory I",
TRUE,"Refractory II"
)</f>
        <v>Low</v>
      </c>
      <c r="U392">
        <f t="shared" si="20"/>
        <v>1.1709783856159144</v>
      </c>
      <c r="V392" t="str" cm="1">
        <f t="array" ref="V392">_xlfn.IFS(U392&lt;0.25,"shallow condution",
U392&lt;0.5,"transition",
U392&lt;1,"conduction",
U392&lt;1.5,"transition",U392&lt;3,"keyholeⅠ",3&lt;=U392,"keyhole Ⅱ"
)</f>
        <v>transition</v>
      </c>
      <c r="X392">
        <f t="shared" si="21"/>
        <v>0.85398672792240937</v>
      </c>
    </row>
    <row r="393" spans="1:24">
      <c r="A393" s="2" t="s">
        <v>54</v>
      </c>
      <c r="B393" s="4">
        <v>300</v>
      </c>
      <c r="C393" s="4">
        <v>300</v>
      </c>
      <c r="D393" s="4">
        <v>7.31</v>
      </c>
      <c r="E393" s="4">
        <v>7.03</v>
      </c>
      <c r="F393" s="4">
        <v>296</v>
      </c>
      <c r="G393" s="16" t="s">
        <v>96</v>
      </c>
      <c r="H393" s="4">
        <v>0.22800000000000001</v>
      </c>
      <c r="I393" s="4">
        <v>66.8</v>
      </c>
      <c r="J393" s="4">
        <v>232</v>
      </c>
      <c r="K393" s="4">
        <v>2602</v>
      </c>
      <c r="L393" s="4">
        <v>0.7</v>
      </c>
      <c r="M393" s="4">
        <v>815.94</v>
      </c>
      <c r="N393" s="5">
        <v>1267.5999999999999</v>
      </c>
      <c r="Q393" s="1">
        <f t="shared" si="19"/>
        <v>256.41025641025641</v>
      </c>
      <c r="R393" t="str" cm="1">
        <f t="array" ref="R393">_xlfn.IFS(Q393&lt;42.7, "low",
Q393&lt;85.4,"medium low",
Q393&lt;128,"medium high",
Q393&gt;=128,"high"
)</f>
        <v>high</v>
      </c>
      <c r="S393" t="str" cm="1">
        <f t="array" ref="S393">_xlfn.IFS(J393&lt;700,"low",J393&lt;1600,"medium low",J393&lt;2200,"medium high",J393&gt;=2200,"high")</f>
        <v>low</v>
      </c>
      <c r="T393" t="str" cm="1">
        <f t="array" ref="T393">_xlfn.IFS(
J393&lt;630,"Low",
J393&lt;1287,"Medium",
J393&lt;1495,"Intermediate",
J393&lt;1668,"Moderately",
J393&lt;1843,"Transition",
J393&lt;2477,"High",
J393&lt;2996,"Refractory I",
TRUE,"Refractory II"
)</f>
        <v>Low</v>
      </c>
      <c r="U393">
        <f t="shared" si="20"/>
        <v>1.5535456038434197</v>
      </c>
      <c r="V393" t="str" cm="1">
        <f t="array" ref="V393">_xlfn.IFS(U393&lt;0.25,"shallow condution",
U393&lt;0.5,"transition",
U393&lt;1,"conduction",
U393&lt;1.5,"transition",U393&lt;3,"keyholeⅠ",3&lt;=U393,"keyhole Ⅱ"
)</f>
        <v>keyholeⅠ</v>
      </c>
      <c r="X393">
        <f t="shared" si="21"/>
        <v>0.64368886083938159</v>
      </c>
    </row>
    <row r="394" spans="1:24">
      <c r="A394" s="2" t="s">
        <v>54</v>
      </c>
      <c r="B394" s="4">
        <v>100</v>
      </c>
      <c r="C394" s="4">
        <v>600</v>
      </c>
      <c r="D394" s="4">
        <v>7.31</v>
      </c>
      <c r="E394" s="4">
        <v>7.03</v>
      </c>
      <c r="F394" s="4">
        <v>296</v>
      </c>
      <c r="G394" s="16" t="s">
        <v>96</v>
      </c>
      <c r="H394" s="4">
        <v>0.22800000000000001</v>
      </c>
      <c r="I394" s="4">
        <v>66.8</v>
      </c>
      <c r="J394" s="4">
        <v>232</v>
      </c>
      <c r="K394" s="4">
        <v>2602</v>
      </c>
      <c r="L394" s="4">
        <v>0.7</v>
      </c>
      <c r="M394" s="4">
        <v>515.46</v>
      </c>
      <c r="N394" s="5">
        <v>264.45</v>
      </c>
      <c r="Q394" s="1">
        <f t="shared" si="19"/>
        <v>42.735042735042732</v>
      </c>
      <c r="R394" t="str" cm="1">
        <f t="array" ref="R394">_xlfn.IFS(Q394&lt;42.7, "low",
Q394&lt;85.4,"medium low",
Q394&lt;128,"medium high",
Q394&gt;=128,"high"
)</f>
        <v>medium low</v>
      </c>
      <c r="S394" t="str" cm="1">
        <f t="array" ref="S394">_xlfn.IFS(J394&lt;700,"low",J394&lt;1600,"medium low",J394&lt;2200,"medium high",J394&gt;=2200,"high")</f>
        <v>low</v>
      </c>
      <c r="T394" t="str" cm="1">
        <f t="array" ref="T394">_xlfn.IFS(
J394&lt;630,"Low",
J394&lt;1287,"Medium",
J394&lt;1495,"Intermediate",
J394&lt;1668,"Moderately",
J394&lt;1843,"Transition",
J394&lt;2477,"High",
J394&lt;2996,"Refractory I",
TRUE,"Refractory II"
)</f>
        <v>Low</v>
      </c>
      <c r="U394">
        <f t="shared" si="20"/>
        <v>0.51303689908043293</v>
      </c>
      <c r="V394" t="str" cm="1">
        <f t="array" ref="V394">_xlfn.IFS(U394&lt;0.25,"shallow condution",
U394&lt;0.5,"transition",
U394&lt;1,"conduction",
U394&lt;1.5,"transition",U394&lt;3,"keyholeⅠ",3&lt;=U394,"keyhole Ⅱ"
)</f>
        <v>conduction</v>
      </c>
      <c r="X394">
        <f t="shared" si="21"/>
        <v>1.9491775382870109</v>
      </c>
    </row>
    <row r="395" spans="1:24">
      <c r="A395" s="2" t="s">
        <v>54</v>
      </c>
      <c r="B395" s="4">
        <v>150</v>
      </c>
      <c r="C395" s="4">
        <v>600</v>
      </c>
      <c r="D395" s="4">
        <v>7.31</v>
      </c>
      <c r="E395" s="4">
        <v>7.03</v>
      </c>
      <c r="F395" s="4">
        <v>296</v>
      </c>
      <c r="G395" s="16" t="s">
        <v>96</v>
      </c>
      <c r="H395" s="4">
        <v>0.22800000000000001</v>
      </c>
      <c r="I395" s="4">
        <v>66.8</v>
      </c>
      <c r="J395" s="4">
        <v>232</v>
      </c>
      <c r="K395" s="4">
        <v>2602</v>
      </c>
      <c r="L395" s="4">
        <v>0.7</v>
      </c>
      <c r="M395" s="4">
        <v>571</v>
      </c>
      <c r="N395" s="5">
        <v>339</v>
      </c>
      <c r="Q395" s="1">
        <f t="shared" si="19"/>
        <v>64.102564102564102</v>
      </c>
      <c r="R395" t="str" cm="1">
        <f t="array" ref="R395">_xlfn.IFS(Q395&lt;42.7, "low",
Q395&lt;85.4,"medium low",
Q395&lt;128,"medium high",
Q395&gt;=128,"high"
)</f>
        <v>medium low</v>
      </c>
      <c r="S395" t="str" cm="1">
        <f t="array" ref="S395">_xlfn.IFS(J395&lt;700,"low",J395&lt;1600,"medium low",J395&lt;2200,"medium high",J395&gt;=2200,"high")</f>
        <v>low</v>
      </c>
      <c r="T395" t="str" cm="1">
        <f t="array" ref="T395">_xlfn.IFS(
J395&lt;630,"Low",
J395&lt;1287,"Medium",
J395&lt;1495,"Intermediate",
J395&lt;1668,"Moderately",
J395&lt;1843,"Transition",
J395&lt;2477,"High",
J395&lt;2996,"Refractory I",
TRUE,"Refractory II"
)</f>
        <v>Low</v>
      </c>
      <c r="U395">
        <f t="shared" si="20"/>
        <v>0.59369527145359025</v>
      </c>
      <c r="V395" t="str" cm="1">
        <f t="array" ref="V395">_xlfn.IFS(U395&lt;0.25,"shallow condution",
U395&lt;0.5,"transition",
U395&lt;1,"conduction",
U395&lt;1.5,"transition",U395&lt;3,"keyholeⅠ",3&lt;=U395,"keyhole Ⅱ"
)</f>
        <v>conduction</v>
      </c>
      <c r="X395">
        <f t="shared" si="21"/>
        <v>1.6843657817109146</v>
      </c>
    </row>
    <row r="396" spans="1:24">
      <c r="A396" s="2" t="s">
        <v>54</v>
      </c>
      <c r="B396" s="4">
        <v>200</v>
      </c>
      <c r="C396" s="4">
        <v>600</v>
      </c>
      <c r="D396" s="4">
        <v>7.31</v>
      </c>
      <c r="E396" s="4">
        <v>7.03</v>
      </c>
      <c r="F396" s="4">
        <v>296</v>
      </c>
      <c r="G396" s="16" t="s">
        <v>96</v>
      </c>
      <c r="H396" s="4">
        <v>0.22800000000000001</v>
      </c>
      <c r="I396" s="4">
        <v>66.8</v>
      </c>
      <c r="J396" s="4">
        <v>232</v>
      </c>
      <c r="K396" s="4">
        <v>2602</v>
      </c>
      <c r="L396" s="4">
        <v>0.7</v>
      </c>
      <c r="M396" s="4">
        <v>579</v>
      </c>
      <c r="N396" s="5">
        <v>422.58</v>
      </c>
      <c r="Q396" s="1">
        <f t="shared" si="19"/>
        <v>85.470085470085465</v>
      </c>
      <c r="R396" t="str" cm="1">
        <f t="array" ref="R396">_xlfn.IFS(Q396&lt;42.7, "low",
Q396&lt;85.4,"medium low",
Q396&lt;128,"medium high",
Q396&gt;=128,"high"
)</f>
        <v>medium high</v>
      </c>
      <c r="S396" t="str" cm="1">
        <f t="array" ref="S396">_xlfn.IFS(J396&lt;700,"low",J396&lt;1600,"medium low",J396&lt;2200,"medium high",J396&gt;=2200,"high")</f>
        <v>low</v>
      </c>
      <c r="T396" t="str" cm="1">
        <f t="array" ref="T396">_xlfn.IFS(
J396&lt;630,"Low",
J396&lt;1287,"Medium",
J396&lt;1495,"Intermediate",
J396&lt;1668,"Moderately",
J396&lt;1843,"Transition",
J396&lt;2477,"High",
J396&lt;2996,"Refractory I",
TRUE,"Refractory II"
)</f>
        <v>Low</v>
      </c>
      <c r="U396">
        <f t="shared" si="20"/>
        <v>0.72984455958549221</v>
      </c>
      <c r="V396" t="str" cm="1">
        <f t="array" ref="V396">_xlfn.IFS(U396&lt;0.25,"shallow condution",
U396&lt;0.5,"transition",
U396&lt;1,"conduction",
U396&lt;1.5,"transition",U396&lt;3,"keyholeⅠ",3&lt;=U396,"keyhole Ⅱ"
)</f>
        <v>conduction</v>
      </c>
      <c r="X396">
        <f t="shared" si="21"/>
        <v>1.3701547635950591</v>
      </c>
    </row>
    <row r="397" spans="1:24">
      <c r="A397" s="2" t="s">
        <v>54</v>
      </c>
      <c r="B397" s="4">
        <v>250</v>
      </c>
      <c r="C397" s="4">
        <v>600</v>
      </c>
      <c r="D397" s="4">
        <v>7.31</v>
      </c>
      <c r="E397" s="4">
        <v>7.03</v>
      </c>
      <c r="F397" s="4">
        <v>296</v>
      </c>
      <c r="G397" s="16" t="s">
        <v>96</v>
      </c>
      <c r="H397" s="4">
        <v>0.22800000000000001</v>
      </c>
      <c r="I397" s="4">
        <v>66.8</v>
      </c>
      <c r="J397" s="4">
        <v>232</v>
      </c>
      <c r="K397" s="4">
        <v>2602</v>
      </c>
      <c r="L397" s="4">
        <v>0.7</v>
      </c>
      <c r="M397" s="4">
        <v>585</v>
      </c>
      <c r="N397" s="5">
        <v>643</v>
      </c>
      <c r="Q397" s="1">
        <f t="shared" si="19"/>
        <v>106.83760683760684</v>
      </c>
      <c r="R397" t="str" cm="1">
        <f t="array" ref="R397">_xlfn.IFS(Q397&lt;42.7, "low",
Q397&lt;85.4,"medium low",
Q397&lt;128,"medium high",
Q397&gt;=128,"high"
)</f>
        <v>medium high</v>
      </c>
      <c r="S397" t="str" cm="1">
        <f t="array" ref="S397">_xlfn.IFS(J397&lt;700,"low",J397&lt;1600,"medium low",J397&lt;2200,"medium high",J397&gt;=2200,"high")</f>
        <v>low</v>
      </c>
      <c r="T397" t="str" cm="1">
        <f t="array" ref="T397">_xlfn.IFS(
J397&lt;630,"Low",
J397&lt;1287,"Medium",
J397&lt;1495,"Intermediate",
J397&lt;1668,"Moderately",
J397&lt;1843,"Transition",
J397&lt;2477,"High",
J397&lt;2996,"Refractory I",
TRUE,"Refractory II"
)</f>
        <v>Low</v>
      </c>
      <c r="U397">
        <f t="shared" si="20"/>
        <v>1.0991452991452992</v>
      </c>
      <c r="V397" t="str" cm="1">
        <f t="array" ref="V397">_xlfn.IFS(U397&lt;0.25,"shallow condution",
U397&lt;0.5,"transition",
U397&lt;1,"conduction",
U397&lt;1.5,"transition",U397&lt;3,"keyholeⅠ",3&lt;=U397,"keyhole Ⅱ"
)</f>
        <v>transition</v>
      </c>
      <c r="X397">
        <f t="shared" si="21"/>
        <v>0.90979782270606535</v>
      </c>
    </row>
    <row r="398" spans="1:24">
      <c r="A398" s="2" t="s">
        <v>54</v>
      </c>
      <c r="B398" s="4">
        <v>300</v>
      </c>
      <c r="C398" s="4">
        <v>600</v>
      </c>
      <c r="D398" s="4">
        <v>7.31</v>
      </c>
      <c r="E398" s="4">
        <v>7.03</v>
      </c>
      <c r="F398" s="4">
        <v>296</v>
      </c>
      <c r="G398" s="16" t="s">
        <v>96</v>
      </c>
      <c r="H398" s="4">
        <v>0.22800000000000001</v>
      </c>
      <c r="I398" s="4">
        <v>66.8</v>
      </c>
      <c r="J398" s="4">
        <v>232</v>
      </c>
      <c r="K398" s="4">
        <v>2602</v>
      </c>
      <c r="L398" s="4">
        <v>0.7</v>
      </c>
      <c r="M398" s="4">
        <v>600</v>
      </c>
      <c r="N398" s="5">
        <v>911.78</v>
      </c>
      <c r="Q398" s="1">
        <f t="shared" si="19"/>
        <v>128.2051282051282</v>
      </c>
      <c r="R398" t="str" cm="1">
        <f t="array" ref="R398">_xlfn.IFS(Q398&lt;42.7, "low",
Q398&lt;85.4,"medium low",
Q398&lt;128,"medium high",
Q398&gt;=128,"high"
)</f>
        <v>high</v>
      </c>
      <c r="S398" t="str" cm="1">
        <f t="array" ref="S398">_xlfn.IFS(J398&lt;700,"low",J398&lt;1600,"medium low",J398&lt;2200,"medium high",J398&gt;=2200,"high")</f>
        <v>low</v>
      </c>
      <c r="T398" t="str" cm="1">
        <f t="array" ref="T398">_xlfn.IFS(
J398&lt;630,"Low",
J398&lt;1287,"Medium",
J398&lt;1495,"Intermediate",
J398&lt;1668,"Moderately",
J398&lt;1843,"Transition",
J398&lt;2477,"High",
J398&lt;2996,"Refractory I",
TRUE,"Refractory II"
)</f>
        <v>Low</v>
      </c>
      <c r="U398">
        <f t="shared" si="20"/>
        <v>1.5196333333333334</v>
      </c>
      <c r="V398" t="str" cm="1">
        <f t="array" ref="V398">_xlfn.IFS(U398&lt;0.25,"shallow condution",
U398&lt;0.5,"transition",
U398&lt;1,"conduction",
U398&lt;1.5,"transition",U398&lt;3,"keyholeⅠ",3&lt;=U398,"keyhole Ⅱ"
)</f>
        <v>keyholeⅠ</v>
      </c>
      <c r="X398">
        <f t="shared" si="21"/>
        <v>0.65805347781263024</v>
      </c>
    </row>
    <row r="399" spans="1:24">
      <c r="A399" s="2" t="s">
        <v>54</v>
      </c>
      <c r="B399" s="4">
        <v>100</v>
      </c>
      <c r="C399" s="4">
        <v>900</v>
      </c>
      <c r="D399" s="4">
        <v>7.31</v>
      </c>
      <c r="E399" s="4">
        <v>7.03</v>
      </c>
      <c r="F399" s="4">
        <v>296</v>
      </c>
      <c r="G399" s="16" t="s">
        <v>96</v>
      </c>
      <c r="H399" s="4">
        <v>0.22800000000000001</v>
      </c>
      <c r="I399" s="4">
        <v>66.8</v>
      </c>
      <c r="J399" s="4">
        <v>232</v>
      </c>
      <c r="K399" s="4">
        <v>2602</v>
      </c>
      <c r="L399" s="4">
        <v>0.7</v>
      </c>
      <c r="M399" s="4">
        <v>388.6</v>
      </c>
      <c r="N399" s="5">
        <v>146.1</v>
      </c>
      <c r="Q399" s="1">
        <f t="shared" si="19"/>
        <v>28.490028490028489</v>
      </c>
      <c r="R399" t="str" cm="1">
        <f t="array" ref="R399">_xlfn.IFS(Q399&lt;42.7, "low",
Q399&lt;85.4,"medium low",
Q399&lt;128,"medium high",
Q399&gt;=128,"high"
)</f>
        <v>low</v>
      </c>
      <c r="S399" t="str" cm="1">
        <f t="array" ref="S399">_xlfn.IFS(J399&lt;700,"low",J399&lt;1600,"medium low",J399&lt;2200,"medium high",J399&gt;=2200,"high")</f>
        <v>low</v>
      </c>
      <c r="T399" t="str" cm="1">
        <f t="array" ref="T399">_xlfn.IFS(
J399&lt;630,"Low",
J399&lt;1287,"Medium",
J399&lt;1495,"Intermediate",
J399&lt;1668,"Moderately",
J399&lt;1843,"Transition",
J399&lt;2477,"High",
J399&lt;2996,"Refractory I",
TRUE,"Refractory II"
)</f>
        <v>Low</v>
      </c>
      <c r="U399">
        <f t="shared" si="20"/>
        <v>0.37596500257334015</v>
      </c>
      <c r="V399" t="str" cm="1">
        <f t="array" ref="V399">_xlfn.IFS(U399&lt;0.25,"shallow condution",
U399&lt;0.5,"transition",
U399&lt;1,"conduction",
U399&lt;1.5,"transition",U399&lt;3,"keyholeⅠ",3&lt;=U399,"keyhole Ⅱ"
)</f>
        <v>transition</v>
      </c>
      <c r="X399">
        <f t="shared" si="21"/>
        <v>2.6598220396988368</v>
      </c>
    </row>
    <row r="400" spans="1:24">
      <c r="A400" s="2" t="s">
        <v>54</v>
      </c>
      <c r="B400" s="4">
        <v>150</v>
      </c>
      <c r="C400" s="4">
        <v>900</v>
      </c>
      <c r="D400" s="4">
        <v>7.31</v>
      </c>
      <c r="E400" s="4">
        <v>7.03</v>
      </c>
      <c r="F400" s="4">
        <v>296</v>
      </c>
      <c r="G400" s="16" t="s">
        <v>96</v>
      </c>
      <c r="H400" s="4">
        <v>0.22800000000000001</v>
      </c>
      <c r="I400" s="4">
        <v>66.8</v>
      </c>
      <c r="J400" s="4">
        <v>232</v>
      </c>
      <c r="K400" s="4">
        <v>2602</v>
      </c>
      <c r="L400" s="4">
        <v>0.7</v>
      </c>
      <c r="M400" s="4">
        <v>491.83</v>
      </c>
      <c r="N400" s="5">
        <v>189.85</v>
      </c>
      <c r="Q400" s="1">
        <f t="shared" si="19"/>
        <v>42.735042735042732</v>
      </c>
      <c r="R400" t="str" cm="1">
        <f t="array" ref="R400">_xlfn.IFS(Q400&lt;42.7, "low",
Q400&lt;85.4,"medium low",
Q400&lt;128,"medium high",
Q400&gt;=128,"high"
)</f>
        <v>medium low</v>
      </c>
      <c r="S400" t="str" cm="1">
        <f t="array" ref="S400">_xlfn.IFS(J400&lt;700,"low",J400&lt;1600,"medium low",J400&lt;2200,"medium high",J400&gt;=2200,"high")</f>
        <v>low</v>
      </c>
      <c r="T400" t="str" cm="1">
        <f t="array" ref="T400">_xlfn.IFS(
J400&lt;630,"Low",
J400&lt;1287,"Medium",
J400&lt;1495,"Intermediate",
J400&lt;1668,"Moderately",
J400&lt;1843,"Transition",
J400&lt;2477,"High",
J400&lt;2996,"Refractory I",
TRUE,"Refractory II"
)</f>
        <v>Low</v>
      </c>
      <c r="U400">
        <f t="shared" si="20"/>
        <v>0.38600736026675886</v>
      </c>
      <c r="V400" t="str" cm="1">
        <f t="array" ref="V400">_xlfn.IFS(U400&lt;0.25,"shallow condution",
U400&lt;0.5,"transition",
U400&lt;1,"conduction",
U400&lt;1.5,"transition",U400&lt;3,"keyholeⅠ",3&lt;=U400,"keyhole Ⅱ"
)</f>
        <v>transition</v>
      </c>
      <c r="X400">
        <f t="shared" si="21"/>
        <v>2.5906241769818279</v>
      </c>
    </row>
    <row r="401" spans="1:24">
      <c r="A401" s="2" t="s">
        <v>54</v>
      </c>
      <c r="B401" s="4">
        <v>200</v>
      </c>
      <c r="C401" s="4">
        <v>900</v>
      </c>
      <c r="D401" s="4">
        <v>7.31</v>
      </c>
      <c r="E401" s="4">
        <v>7.03</v>
      </c>
      <c r="F401" s="4">
        <v>296</v>
      </c>
      <c r="G401" s="16" t="s">
        <v>96</v>
      </c>
      <c r="H401" s="4">
        <v>0.22800000000000001</v>
      </c>
      <c r="I401" s="4">
        <v>66.8</v>
      </c>
      <c r="J401" s="4">
        <v>232</v>
      </c>
      <c r="K401" s="4">
        <v>2602</v>
      </c>
      <c r="L401" s="4">
        <v>0.7</v>
      </c>
      <c r="M401" s="4">
        <v>318.89999999999998</v>
      </c>
      <c r="N401" s="5">
        <v>256</v>
      </c>
      <c r="Q401" s="1">
        <f t="shared" si="19"/>
        <v>56.980056980056979</v>
      </c>
      <c r="R401" t="str" cm="1">
        <f t="array" ref="R401">_xlfn.IFS(Q401&lt;42.7, "low",
Q401&lt;85.4,"medium low",
Q401&lt;128,"medium high",
Q401&gt;=128,"high"
)</f>
        <v>medium low</v>
      </c>
      <c r="S401" t="str" cm="1">
        <f t="array" ref="S401">_xlfn.IFS(J401&lt;700,"low",J401&lt;1600,"medium low",J401&lt;2200,"medium high",J401&gt;=2200,"high")</f>
        <v>low</v>
      </c>
      <c r="T401" t="str" cm="1">
        <f t="array" ref="T401">_xlfn.IFS(
J401&lt;630,"Low",
J401&lt;1287,"Medium",
J401&lt;1495,"Intermediate",
J401&lt;1668,"Moderately",
J401&lt;1843,"Transition",
J401&lt;2477,"High",
J401&lt;2996,"Refractory I",
TRUE,"Refractory II"
)</f>
        <v>Low</v>
      </c>
      <c r="U401">
        <f t="shared" si="20"/>
        <v>0.80275948573220446</v>
      </c>
      <c r="V401" t="str" cm="1">
        <f t="array" ref="V401">_xlfn.IFS(U401&lt;0.25,"shallow condution",
U401&lt;0.5,"transition",
U401&lt;1,"conduction",
U401&lt;1.5,"transition",U401&lt;3,"keyholeⅠ",3&lt;=U401,"keyhole Ⅱ"
)</f>
        <v>conduction</v>
      </c>
      <c r="X401">
        <f t="shared" si="21"/>
        <v>1.2457031249999999</v>
      </c>
    </row>
    <row r="402" spans="1:24">
      <c r="A402" s="2" t="s">
        <v>54</v>
      </c>
      <c r="B402" s="4">
        <v>250</v>
      </c>
      <c r="C402" s="4">
        <v>900</v>
      </c>
      <c r="D402" s="4">
        <v>7.31</v>
      </c>
      <c r="E402" s="4">
        <v>7.03</v>
      </c>
      <c r="F402" s="4">
        <v>296</v>
      </c>
      <c r="G402" s="16" t="s">
        <v>96</v>
      </c>
      <c r="H402" s="4">
        <v>0.22800000000000001</v>
      </c>
      <c r="I402" s="4">
        <v>66.8</v>
      </c>
      <c r="J402" s="4">
        <v>232</v>
      </c>
      <c r="K402" s="4">
        <v>2602</v>
      </c>
      <c r="L402" s="4">
        <v>0.7</v>
      </c>
      <c r="M402" s="4">
        <v>358.4</v>
      </c>
      <c r="N402" s="5">
        <v>363.76</v>
      </c>
      <c r="Q402" s="1">
        <f t="shared" si="19"/>
        <v>71.225071225071218</v>
      </c>
      <c r="R402" t="str" cm="1">
        <f t="array" ref="R402">_xlfn.IFS(Q402&lt;42.7, "low",
Q402&lt;85.4,"medium low",
Q402&lt;128,"medium high",
Q402&gt;=128,"high"
)</f>
        <v>medium low</v>
      </c>
      <c r="S402" t="str" cm="1">
        <f t="array" ref="S402">_xlfn.IFS(J402&lt;700,"low",J402&lt;1600,"medium low",J402&lt;2200,"medium high",J402&gt;=2200,"high")</f>
        <v>low</v>
      </c>
      <c r="T402" t="str" cm="1">
        <f t="array" ref="T402">_xlfn.IFS(
J402&lt;630,"Low",
J402&lt;1287,"Medium",
J402&lt;1495,"Intermediate",
J402&lt;1668,"Moderately",
J402&lt;1843,"Transition",
J402&lt;2477,"High",
J402&lt;2996,"Refractory I",
TRUE,"Refractory II"
)</f>
        <v>Low</v>
      </c>
      <c r="U402">
        <f t="shared" si="20"/>
        <v>1.0149553571428571</v>
      </c>
      <c r="V402" t="str" cm="1">
        <f t="array" ref="V402">_xlfn.IFS(U402&lt;0.25,"shallow condution",
U402&lt;0.5,"transition",
U402&lt;1,"conduction",
U402&lt;1.5,"transition",U402&lt;3,"keyholeⅠ",3&lt;=U402,"keyhole Ⅱ"
)</f>
        <v>transition</v>
      </c>
      <c r="X402">
        <f t="shared" si="21"/>
        <v>0.98526500989663512</v>
      </c>
    </row>
    <row r="403" spans="1:24" ht="14.45" thickBot="1">
      <c r="A403" s="3" t="s">
        <v>54</v>
      </c>
      <c r="B403" s="7">
        <v>300</v>
      </c>
      <c r="C403" s="7">
        <v>900</v>
      </c>
      <c r="D403" s="7">
        <v>7.31</v>
      </c>
      <c r="E403" s="7">
        <v>7.03</v>
      </c>
      <c r="F403" s="7">
        <v>296</v>
      </c>
      <c r="G403" s="16" t="s">
        <v>96</v>
      </c>
      <c r="H403" s="7">
        <v>0.22800000000000001</v>
      </c>
      <c r="I403" s="7">
        <v>66.8</v>
      </c>
      <c r="J403" s="7">
        <v>232</v>
      </c>
      <c r="K403" s="7">
        <v>2602</v>
      </c>
      <c r="L403" s="7">
        <v>0.7</v>
      </c>
      <c r="M403" s="7">
        <v>338.1</v>
      </c>
      <c r="N403" s="15">
        <v>635.49</v>
      </c>
      <c r="Q403" s="1">
        <f t="shared" si="19"/>
        <v>85.470085470085465</v>
      </c>
      <c r="R403" t="str" cm="1">
        <f t="array" ref="R403">_xlfn.IFS(Q403&lt;42.7, "low",
Q403&lt;85.4,"medium low",
Q403&lt;128,"medium high",
Q403&gt;=128,"high"
)</f>
        <v>medium high</v>
      </c>
      <c r="S403" t="str" cm="1">
        <f t="array" ref="S403">_xlfn.IFS(J403&lt;700,"low",J403&lt;1600,"medium low",J403&lt;2200,"medium high",J403&gt;=2200,"high")</f>
        <v>low</v>
      </c>
      <c r="T403" t="str" cm="1">
        <f t="array" ref="T403">_xlfn.IFS(
J403&lt;630,"Low",
J403&lt;1287,"Medium",
J403&lt;1495,"Intermediate",
J403&lt;1668,"Moderately",
J403&lt;1843,"Transition",
J403&lt;2477,"High",
J403&lt;2996,"Refractory I",
TRUE,"Refractory II"
)</f>
        <v>Low</v>
      </c>
      <c r="U403">
        <f t="shared" si="20"/>
        <v>1.8795918367346938</v>
      </c>
      <c r="V403" t="str" cm="1">
        <f t="array" ref="V403">_xlfn.IFS(U403&lt;0.25,"shallow condution",
U403&lt;0.5,"transition",
U403&lt;1,"conduction",
U403&lt;1.5,"transition",U403&lt;3,"keyholeⅠ",3&lt;=U403,"keyhole Ⅱ"
)</f>
        <v>keyholeⅠ</v>
      </c>
      <c r="X403">
        <f t="shared" si="21"/>
        <v>0.53203040173724214</v>
      </c>
    </row>
    <row r="404" spans="1:24">
      <c r="A404" s="19" t="s">
        <v>55</v>
      </c>
      <c r="B404" s="16">
        <v>200</v>
      </c>
      <c r="C404" s="16">
        <v>200</v>
      </c>
      <c r="D404" s="16">
        <v>6.6970000000000001</v>
      </c>
      <c r="E404" s="16">
        <v>19.7</v>
      </c>
      <c r="F404" s="16">
        <v>193</v>
      </c>
      <c r="G404" s="16" t="s">
        <v>97</v>
      </c>
      <c r="H404" s="16">
        <v>0.20699999999999999</v>
      </c>
      <c r="I404" s="16">
        <v>24.4</v>
      </c>
      <c r="J404" s="16">
        <v>630</v>
      </c>
      <c r="K404" s="16">
        <v>1587</v>
      </c>
      <c r="L404" s="16">
        <v>0.7</v>
      </c>
      <c r="M404" s="16">
        <v>328.14</v>
      </c>
      <c r="N404" s="17">
        <v>307.75</v>
      </c>
      <c r="Q404" s="1">
        <f t="shared" si="19"/>
        <v>256.41025641025641</v>
      </c>
      <c r="R404" t="str" cm="1">
        <f t="array" ref="R404">_xlfn.IFS(Q404&lt;42.7, "low",
Q404&lt;85.4,"medium low",
Q404&lt;128,"medium high",
Q404&gt;=128,"high"
)</f>
        <v>high</v>
      </c>
      <c r="S404" t="str" cm="1">
        <f t="array" ref="S404">_xlfn.IFS(J404&lt;700,"low",J404&lt;1600,"medium low",J404&lt;2200,"medium high",J404&gt;=2200,"high")</f>
        <v>low</v>
      </c>
      <c r="T404" t="str" cm="1">
        <f t="array" ref="T404">_xlfn.IFS(
J404&lt;630,"Low",
J404&lt;1287,"Medium",
J404&lt;1495,"Intermediate",
J404&lt;1668,"Moderately",
J404&lt;1843,"Transition",
J404&lt;2477,"High",
J404&lt;2996,"Refractory I",
TRUE,"Refractory II"
)</f>
        <v>Medium</v>
      </c>
      <c r="U404">
        <f t="shared" si="20"/>
        <v>0.93786188821844341</v>
      </c>
      <c r="V404" t="str" cm="1">
        <f t="array" ref="V404">_xlfn.IFS(U404&lt;0.25,"shallow condution",
U404&lt;0.5,"transition",
U404&lt;1,"conduction",
U404&lt;1.5,"transition",U404&lt;3,"keyholeⅠ",3&lt;=U404,"keyhole Ⅱ"
)</f>
        <v>conduction</v>
      </c>
      <c r="X404">
        <f t="shared" si="21"/>
        <v>1.0662550771730299</v>
      </c>
    </row>
    <row r="405" spans="1:24">
      <c r="A405" s="2" t="s">
        <v>55</v>
      </c>
      <c r="B405" s="4">
        <v>200</v>
      </c>
      <c r="C405" s="4">
        <v>400</v>
      </c>
      <c r="D405" s="4">
        <v>6.6970000000000001</v>
      </c>
      <c r="E405" s="4">
        <v>19.7</v>
      </c>
      <c r="F405" s="4">
        <v>193</v>
      </c>
      <c r="G405" s="16" t="s">
        <v>97</v>
      </c>
      <c r="H405" s="4">
        <v>0.20699999999999999</v>
      </c>
      <c r="I405" s="4">
        <v>24.4</v>
      </c>
      <c r="J405" s="4">
        <v>630</v>
      </c>
      <c r="K405" s="4">
        <v>1587</v>
      </c>
      <c r="L405" s="4">
        <v>0.7</v>
      </c>
      <c r="M405" s="4">
        <v>230.92</v>
      </c>
      <c r="N405" s="5">
        <v>205.31</v>
      </c>
      <c r="Q405" s="1">
        <f t="shared" si="19"/>
        <v>128.2051282051282</v>
      </c>
      <c r="R405" t="str" cm="1">
        <f t="array" ref="R405">_xlfn.IFS(Q405&lt;42.7, "low",
Q405&lt;85.4,"medium low",
Q405&lt;128,"medium high",
Q405&gt;=128,"high"
)</f>
        <v>high</v>
      </c>
      <c r="S405" t="str" cm="1">
        <f t="array" ref="S405">_xlfn.IFS(J405&lt;700,"low",J405&lt;1600,"medium low",J405&lt;2200,"medium high",J405&gt;=2200,"high")</f>
        <v>low</v>
      </c>
      <c r="T405" t="str" cm="1">
        <f t="array" ref="T405">_xlfn.IFS(
J405&lt;630,"Low",
J405&lt;1287,"Medium",
J405&lt;1495,"Intermediate",
J405&lt;1668,"Moderately",
J405&lt;1843,"Transition",
J405&lt;2477,"High",
J405&lt;2996,"Refractory I",
TRUE,"Refractory II"
)</f>
        <v>Medium</v>
      </c>
      <c r="U405">
        <f t="shared" si="20"/>
        <v>0.88909579075004341</v>
      </c>
      <c r="V405" t="str" cm="1">
        <f t="array" ref="V405">_xlfn.IFS(U405&lt;0.25,"shallow condution",
U405&lt;0.5,"transition",
U405&lt;1,"conduction",
U405&lt;1.5,"transition",U405&lt;3,"keyholeⅠ",3&lt;=U405,"keyhole Ⅱ"
)</f>
        <v>conduction</v>
      </c>
      <c r="X405">
        <f t="shared" si="21"/>
        <v>1.1247382007695679</v>
      </c>
    </row>
    <row r="406" spans="1:24">
      <c r="A406" s="2" t="s">
        <v>55</v>
      </c>
      <c r="B406" s="4">
        <v>200</v>
      </c>
      <c r="C406" s="4">
        <v>600</v>
      </c>
      <c r="D406" s="4">
        <v>6.6970000000000001</v>
      </c>
      <c r="E406" s="4">
        <v>19.7</v>
      </c>
      <c r="F406" s="4">
        <v>193</v>
      </c>
      <c r="G406" s="16" t="s">
        <v>97</v>
      </c>
      <c r="H406" s="4">
        <v>0.20699999999999999</v>
      </c>
      <c r="I406" s="4">
        <v>24.4</v>
      </c>
      <c r="J406" s="4">
        <v>630</v>
      </c>
      <c r="K406" s="4">
        <v>1587</v>
      </c>
      <c r="L406" s="4">
        <v>0.7</v>
      </c>
      <c r="M406" s="4">
        <v>172.31</v>
      </c>
      <c r="N406" s="5">
        <v>167.58</v>
      </c>
      <c r="Q406" s="1">
        <f t="shared" si="19"/>
        <v>85.470085470085465</v>
      </c>
      <c r="R406" t="str" cm="1">
        <f t="array" ref="R406">_xlfn.IFS(Q406&lt;42.7, "low",
Q406&lt;85.4,"medium low",
Q406&lt;128,"medium high",
Q406&gt;=128,"high"
)</f>
        <v>medium high</v>
      </c>
      <c r="S406" t="str" cm="1">
        <f t="array" ref="S406">_xlfn.IFS(J406&lt;700,"low",J406&lt;1600,"medium low",J406&lt;2200,"medium high",J406&gt;=2200,"high")</f>
        <v>low</v>
      </c>
      <c r="T406" t="str" cm="1">
        <f t="array" ref="T406">_xlfn.IFS(
J406&lt;630,"Low",
J406&lt;1287,"Medium",
J406&lt;1495,"Intermediate",
J406&lt;1668,"Moderately",
J406&lt;1843,"Transition",
J406&lt;2477,"High",
J406&lt;2996,"Refractory I",
TRUE,"Refractory II"
)</f>
        <v>Medium</v>
      </c>
      <c r="U406">
        <f t="shared" si="20"/>
        <v>0.97254947478381992</v>
      </c>
      <c r="V406" t="str" cm="1">
        <f t="array" ref="V406">_xlfn.IFS(U406&lt;0.25,"shallow condution",
U406&lt;0.5,"transition",
U406&lt;1,"conduction",
U406&lt;1.5,"transition",U406&lt;3,"keyholeⅠ",3&lt;=U406,"keyhole Ⅱ"
)</f>
        <v>conduction</v>
      </c>
      <c r="X406">
        <f t="shared" si="21"/>
        <v>1.0282253252178064</v>
      </c>
    </row>
    <row r="407" spans="1:24">
      <c r="A407" s="2" t="s">
        <v>55</v>
      </c>
      <c r="B407" s="4">
        <v>200</v>
      </c>
      <c r="C407" s="4">
        <v>800</v>
      </c>
      <c r="D407" s="4">
        <v>6.6970000000000001</v>
      </c>
      <c r="E407" s="4">
        <v>19.7</v>
      </c>
      <c r="F407" s="4">
        <v>193</v>
      </c>
      <c r="G407" s="16" t="s">
        <v>97</v>
      </c>
      <c r="H407" s="4">
        <v>0.20699999999999999</v>
      </c>
      <c r="I407" s="4">
        <v>24.4</v>
      </c>
      <c r="J407" s="4">
        <v>630</v>
      </c>
      <c r="K407" s="4">
        <v>1587</v>
      </c>
      <c r="L407" s="4">
        <v>0.7</v>
      </c>
      <c r="M407" s="4">
        <v>177.45</v>
      </c>
      <c r="N407" s="5">
        <v>107.99</v>
      </c>
      <c r="Q407" s="1">
        <f t="shared" si="19"/>
        <v>64.102564102564102</v>
      </c>
      <c r="R407" t="str" cm="1">
        <f t="array" ref="R407">_xlfn.IFS(Q407&lt;42.7, "low",
Q407&lt;85.4,"medium low",
Q407&lt;128,"medium high",
Q407&gt;=128,"high"
)</f>
        <v>medium low</v>
      </c>
      <c r="S407" t="str" cm="1">
        <f t="array" ref="S407">_xlfn.IFS(J407&lt;700,"low",J407&lt;1600,"medium low",J407&lt;2200,"medium high",J407&gt;=2200,"high")</f>
        <v>low</v>
      </c>
      <c r="T407" t="str" cm="1">
        <f t="array" ref="T407">_xlfn.IFS(
J407&lt;630,"Low",
J407&lt;1287,"Medium",
J407&lt;1495,"Intermediate",
J407&lt;1668,"Moderately",
J407&lt;1843,"Transition",
J407&lt;2477,"High",
J407&lt;2996,"Refractory I",
TRUE,"Refractory II"
)</f>
        <v>Medium</v>
      </c>
      <c r="U407">
        <f t="shared" si="20"/>
        <v>0.60856579318117776</v>
      </c>
      <c r="V407" t="str" cm="1">
        <f t="array" ref="V407">_xlfn.IFS(U407&lt;0.25,"shallow condution",
U407&lt;0.5,"transition",
U407&lt;1,"conduction",
U407&lt;1.5,"transition",U407&lt;3,"keyholeⅠ",3&lt;=U407,"keyhole Ⅱ"
)</f>
        <v>conduction</v>
      </c>
      <c r="X407">
        <f t="shared" si="21"/>
        <v>1.6432077044170756</v>
      </c>
    </row>
    <row r="408" spans="1:24">
      <c r="A408" s="2" t="s">
        <v>55</v>
      </c>
      <c r="B408" s="4">
        <v>200</v>
      </c>
      <c r="C408" s="4">
        <v>1200</v>
      </c>
      <c r="D408" s="4">
        <v>6.6970000000000001</v>
      </c>
      <c r="E408" s="4">
        <v>19.7</v>
      </c>
      <c r="F408" s="4">
        <v>193</v>
      </c>
      <c r="G408" s="16" t="s">
        <v>97</v>
      </c>
      <c r="H408" s="4">
        <v>0.20699999999999999</v>
      </c>
      <c r="I408" s="4">
        <v>24.4</v>
      </c>
      <c r="J408" s="4">
        <v>630</v>
      </c>
      <c r="K408" s="4">
        <v>1587</v>
      </c>
      <c r="L408" s="4">
        <v>0.7</v>
      </c>
      <c r="M408" s="4">
        <v>163.53</v>
      </c>
      <c r="N408" s="5">
        <v>82.36</v>
      </c>
      <c r="Q408" s="1">
        <f t="shared" si="19"/>
        <v>42.735042735042732</v>
      </c>
      <c r="R408" t="str" cm="1">
        <f t="array" ref="R408">_xlfn.IFS(Q408&lt;42.7, "low",
Q408&lt;85.4,"medium low",
Q408&lt;128,"medium high",
Q408&gt;=128,"high"
)</f>
        <v>medium low</v>
      </c>
      <c r="S408" t="str" cm="1">
        <f t="array" ref="S408">_xlfn.IFS(J408&lt;700,"low",J408&lt;1600,"medium low",J408&lt;2200,"medium high",J408&gt;=2200,"high")</f>
        <v>low</v>
      </c>
      <c r="T408" t="str" cm="1">
        <f t="array" ref="T408">_xlfn.IFS(
J408&lt;630,"Low",
J408&lt;1287,"Medium",
J408&lt;1495,"Intermediate",
J408&lt;1668,"Moderately",
J408&lt;1843,"Transition",
J408&lt;2477,"High",
J408&lt;2996,"Refractory I",
TRUE,"Refractory II"
)</f>
        <v>Medium</v>
      </c>
      <c r="U408">
        <f t="shared" si="20"/>
        <v>0.50363847612058954</v>
      </c>
      <c r="V408" t="str" cm="1">
        <f t="array" ref="V408">_xlfn.IFS(U408&lt;0.25,"shallow condution",
U408&lt;0.5,"transition",
U408&lt;1,"conduction",
U408&lt;1.5,"transition",U408&lt;3,"keyholeⅠ",3&lt;=U408,"keyhole Ⅱ"
)</f>
        <v>conduction</v>
      </c>
      <c r="X408">
        <f t="shared" si="21"/>
        <v>1.9855512384652745</v>
      </c>
    </row>
    <row r="409" spans="1:24">
      <c r="A409" s="2" t="s">
        <v>55</v>
      </c>
      <c r="B409" s="4">
        <v>200</v>
      </c>
      <c r="C409" s="4">
        <v>1600</v>
      </c>
      <c r="D409" s="4">
        <v>6.6970000000000001</v>
      </c>
      <c r="E409" s="4">
        <v>19.7</v>
      </c>
      <c r="F409" s="4">
        <v>193</v>
      </c>
      <c r="G409" s="16" t="s">
        <v>97</v>
      </c>
      <c r="H409" s="4">
        <v>0.20699999999999999</v>
      </c>
      <c r="I409" s="4">
        <v>24.4</v>
      </c>
      <c r="J409" s="4">
        <v>630</v>
      </c>
      <c r="K409" s="4">
        <v>1587</v>
      </c>
      <c r="L409" s="4">
        <v>0.7</v>
      </c>
      <c r="M409" s="4">
        <v>145.88</v>
      </c>
      <c r="N409" s="5">
        <v>51.04</v>
      </c>
      <c r="Q409" s="1">
        <f t="shared" si="19"/>
        <v>32.051282051282051</v>
      </c>
      <c r="R409" t="str" cm="1">
        <f t="array" ref="R409">_xlfn.IFS(Q409&lt;42.7, "low",
Q409&lt;85.4,"medium low",
Q409&lt;128,"medium high",
Q409&gt;=128,"high"
)</f>
        <v>low</v>
      </c>
      <c r="S409" t="str" cm="1">
        <f t="array" ref="S409">_xlfn.IFS(J409&lt;700,"low",J409&lt;1600,"medium low",J409&lt;2200,"medium high",J409&gt;=2200,"high")</f>
        <v>low</v>
      </c>
      <c r="T409" t="str" cm="1">
        <f t="array" ref="T409">_xlfn.IFS(
J409&lt;630,"Low",
J409&lt;1287,"Medium",
J409&lt;1495,"Intermediate",
J409&lt;1668,"Moderately",
J409&lt;1843,"Transition",
J409&lt;2477,"High",
J409&lt;2996,"Refractory I",
TRUE,"Refractory II"
)</f>
        <v>Medium</v>
      </c>
      <c r="U409">
        <f t="shared" si="20"/>
        <v>0.34987661091307926</v>
      </c>
      <c r="V409" t="str" cm="1">
        <f t="array" ref="V409">_xlfn.IFS(U409&lt;0.25,"shallow condution",
U409&lt;0.5,"transition",
U409&lt;1,"conduction",
U409&lt;1.5,"transition",U409&lt;3,"keyholeⅠ",3&lt;=U409,"keyhole Ⅱ"
)</f>
        <v>transition</v>
      </c>
      <c r="X409">
        <f t="shared" si="21"/>
        <v>2.8581504702194356</v>
      </c>
    </row>
    <row r="410" spans="1:24">
      <c r="A410" s="2" t="s">
        <v>55</v>
      </c>
      <c r="B410" s="4">
        <v>200</v>
      </c>
      <c r="C410" s="4">
        <v>2000</v>
      </c>
      <c r="D410" s="4">
        <v>6.6970000000000001</v>
      </c>
      <c r="E410" s="4">
        <v>19.7</v>
      </c>
      <c r="F410" s="4">
        <v>193</v>
      </c>
      <c r="G410" s="16" t="s">
        <v>97</v>
      </c>
      <c r="H410" s="4">
        <v>0.20699999999999999</v>
      </c>
      <c r="I410" s="4">
        <v>24.4</v>
      </c>
      <c r="J410" s="4">
        <v>630</v>
      </c>
      <c r="K410" s="4">
        <v>1587</v>
      </c>
      <c r="L410" s="4">
        <v>0.7</v>
      </c>
      <c r="M410" s="4">
        <v>111.87</v>
      </c>
      <c r="N410" s="5">
        <v>47</v>
      </c>
      <c r="Q410" s="1">
        <f t="shared" si="19"/>
        <v>25.641025641025642</v>
      </c>
      <c r="R410" t="str" cm="1">
        <f t="array" ref="R410">_xlfn.IFS(Q410&lt;42.7, "low",
Q410&lt;85.4,"medium low",
Q410&lt;128,"medium high",
Q410&gt;=128,"high"
)</f>
        <v>low</v>
      </c>
      <c r="S410" t="str" cm="1">
        <f t="array" ref="S410">_xlfn.IFS(J410&lt;700,"low",J410&lt;1600,"medium low",J410&lt;2200,"medium high",J410&gt;=2200,"high")</f>
        <v>low</v>
      </c>
      <c r="T410" t="str" cm="1">
        <f t="array" ref="T410">_xlfn.IFS(
J410&lt;630,"Low",
J410&lt;1287,"Medium",
J410&lt;1495,"Intermediate",
J410&lt;1668,"Moderately",
J410&lt;1843,"Transition",
J410&lt;2477,"High",
J410&lt;2996,"Refractory I",
TRUE,"Refractory II"
)</f>
        <v>Medium</v>
      </c>
      <c r="U410">
        <f t="shared" si="20"/>
        <v>0.42013050862608381</v>
      </c>
      <c r="V410" t="str" cm="1">
        <f t="array" ref="V410">_xlfn.IFS(U410&lt;0.25,"shallow condution",
U410&lt;0.5,"transition",
U410&lt;1,"conduction",
U410&lt;1.5,"transition",U410&lt;3,"keyholeⅠ",3&lt;=U410,"keyhole Ⅱ"
)</f>
        <v>transition</v>
      </c>
      <c r="X410">
        <f t="shared" si="21"/>
        <v>2.380212765957447</v>
      </c>
    </row>
    <row r="411" spans="1:24">
      <c r="A411" s="2" t="s">
        <v>55</v>
      </c>
      <c r="B411" s="4">
        <v>200</v>
      </c>
      <c r="C411" s="4">
        <v>2400</v>
      </c>
      <c r="D411" s="4">
        <v>6.6970000000000001</v>
      </c>
      <c r="E411" s="4">
        <v>19.7</v>
      </c>
      <c r="F411" s="4">
        <v>193</v>
      </c>
      <c r="G411" s="16" t="s">
        <v>97</v>
      </c>
      <c r="H411" s="4">
        <v>0.20699999999999999</v>
      </c>
      <c r="I411" s="4">
        <v>24.4</v>
      </c>
      <c r="J411" s="4">
        <v>630</v>
      </c>
      <c r="K411" s="4">
        <v>1587</v>
      </c>
      <c r="L411" s="4">
        <v>0.7</v>
      </c>
      <c r="M411" s="4">
        <v>86</v>
      </c>
      <c r="N411" s="5">
        <v>30</v>
      </c>
      <c r="Q411" s="1">
        <f t="shared" si="19"/>
        <v>21.367521367521366</v>
      </c>
      <c r="R411" t="str" cm="1">
        <f t="array" ref="R411">_xlfn.IFS(Q411&lt;42.7, "low",
Q411&lt;85.4,"medium low",
Q411&lt;128,"medium high",
Q411&gt;=128,"high"
)</f>
        <v>low</v>
      </c>
      <c r="S411" t="str" cm="1">
        <f t="array" ref="S411">_xlfn.IFS(J411&lt;700,"low",J411&lt;1600,"medium low",J411&lt;2200,"medium high",J411&gt;=2200,"high")</f>
        <v>low</v>
      </c>
      <c r="T411" t="str" cm="1">
        <f t="array" ref="T411">_xlfn.IFS(
J411&lt;630,"Low",
J411&lt;1287,"Medium",
J411&lt;1495,"Intermediate",
J411&lt;1668,"Moderately",
J411&lt;1843,"Transition",
J411&lt;2477,"High",
J411&lt;2996,"Refractory I",
TRUE,"Refractory II"
)</f>
        <v>Medium</v>
      </c>
      <c r="U411">
        <f t="shared" si="20"/>
        <v>0.34883720930232559</v>
      </c>
      <c r="V411" t="str" cm="1">
        <f t="array" ref="V411">_xlfn.IFS(U411&lt;0.25,"shallow condution",
U411&lt;0.5,"transition",
U411&lt;1,"conduction",
U411&lt;1.5,"transition",U411&lt;3,"keyholeⅠ",3&lt;=U411,"keyhole Ⅱ"
)</f>
        <v>transition</v>
      </c>
      <c r="X411">
        <f t="shared" si="21"/>
        <v>2.8666666666666667</v>
      </c>
    </row>
    <row r="412" spans="1:24">
      <c r="A412" s="2" t="s">
        <v>55</v>
      </c>
      <c r="B412" s="4">
        <v>350</v>
      </c>
      <c r="C412" s="4">
        <v>400</v>
      </c>
      <c r="D412" s="4">
        <v>6.6970000000000001</v>
      </c>
      <c r="E412" s="4">
        <v>19.7</v>
      </c>
      <c r="F412" s="4">
        <v>193</v>
      </c>
      <c r="G412" s="16" t="s">
        <v>97</v>
      </c>
      <c r="H412" s="4">
        <v>0.20699999999999999</v>
      </c>
      <c r="I412" s="4">
        <v>24.4</v>
      </c>
      <c r="J412" s="4">
        <v>630</v>
      </c>
      <c r="K412" s="4">
        <v>1587</v>
      </c>
      <c r="L412" s="4">
        <v>0.7</v>
      </c>
      <c r="M412" s="4">
        <v>366.79</v>
      </c>
      <c r="N412" s="5">
        <v>2700</v>
      </c>
      <c r="Q412" s="1">
        <f t="shared" si="19"/>
        <v>224.35897435897436</v>
      </c>
      <c r="R412" t="str" cm="1">
        <f t="array" ref="R412">_xlfn.IFS(Q412&lt;42.7, "low",
Q412&lt;85.4,"medium low",
Q412&lt;128,"medium high",
Q412&gt;=128,"high"
)</f>
        <v>high</v>
      </c>
      <c r="S412" t="str" cm="1">
        <f t="array" ref="S412">_xlfn.IFS(J412&lt;700,"low",J412&lt;1600,"medium low",J412&lt;2200,"medium high",J412&gt;=2200,"high")</f>
        <v>low</v>
      </c>
      <c r="T412" t="str" cm="1">
        <f t="array" ref="T412">_xlfn.IFS(
J412&lt;630,"Low",
J412&lt;1287,"Medium",
J412&lt;1495,"Intermediate",
J412&lt;1668,"Moderately",
J412&lt;1843,"Transition",
J412&lt;2477,"High",
J412&lt;2996,"Refractory I",
TRUE,"Refractory II"
)</f>
        <v>Medium</v>
      </c>
      <c r="U412">
        <f t="shared" si="20"/>
        <v>7.3611603369775613</v>
      </c>
      <c r="V412" t="str" cm="1">
        <f t="array" ref="V412">_xlfn.IFS(U412&lt;0.25,"shallow condution",
U412&lt;0.5,"transition",
U412&lt;1,"conduction",
U412&lt;1.5,"transition",U412&lt;3,"keyholeⅠ",3&lt;=U412,"keyhole Ⅱ"
)</f>
        <v>keyhole Ⅱ</v>
      </c>
      <c r="X412">
        <f t="shared" si="21"/>
        <v>0.13584814814814816</v>
      </c>
    </row>
    <row r="413" spans="1:24">
      <c r="A413" s="2" t="s">
        <v>55</v>
      </c>
      <c r="B413" s="4">
        <v>350</v>
      </c>
      <c r="C413" s="4">
        <v>600</v>
      </c>
      <c r="D413" s="4">
        <v>6.6970000000000001</v>
      </c>
      <c r="E413" s="4">
        <v>19.7</v>
      </c>
      <c r="F413" s="4">
        <v>193</v>
      </c>
      <c r="G413" s="16" t="s">
        <v>97</v>
      </c>
      <c r="H413" s="4">
        <v>0.20699999999999999</v>
      </c>
      <c r="I413" s="4">
        <v>24.4</v>
      </c>
      <c r="J413" s="4">
        <v>630</v>
      </c>
      <c r="K413" s="4">
        <v>1587</v>
      </c>
      <c r="L413" s="4">
        <v>0.7</v>
      </c>
      <c r="M413" s="4">
        <v>240.87</v>
      </c>
      <c r="N413" s="5">
        <v>1155.8900000000001</v>
      </c>
      <c r="Q413" s="1">
        <f t="shared" si="19"/>
        <v>149.57264957264957</v>
      </c>
      <c r="R413" t="str" cm="1">
        <f t="array" ref="R413">_xlfn.IFS(Q413&lt;42.7, "low",
Q413&lt;85.4,"medium low",
Q413&lt;128,"medium high",
Q413&gt;=128,"high"
)</f>
        <v>high</v>
      </c>
      <c r="S413" t="str" cm="1">
        <f t="array" ref="S413">_xlfn.IFS(J413&lt;700,"low",J413&lt;1600,"medium low",J413&lt;2200,"medium high",J413&gt;=2200,"high")</f>
        <v>low</v>
      </c>
      <c r="T413" t="str" cm="1">
        <f t="array" ref="T413">_xlfn.IFS(
J413&lt;630,"Low",
J413&lt;1287,"Medium",
J413&lt;1495,"Intermediate",
J413&lt;1668,"Moderately",
J413&lt;1843,"Transition",
J413&lt;2477,"High",
J413&lt;2996,"Refractory I",
TRUE,"Refractory II"
)</f>
        <v>Medium</v>
      </c>
      <c r="U413">
        <f t="shared" si="20"/>
        <v>4.7988126375223157</v>
      </c>
      <c r="V413" t="str" cm="1">
        <f t="array" ref="V413">_xlfn.IFS(U413&lt;0.25,"shallow condution",
U413&lt;0.5,"transition",
U413&lt;1,"conduction",
U413&lt;1.5,"transition",U413&lt;3,"keyholeⅠ",3&lt;=U413,"keyhole Ⅱ"
)</f>
        <v>keyhole Ⅱ</v>
      </c>
      <c r="X413">
        <f t="shared" si="21"/>
        <v>0.20838488091427385</v>
      </c>
    </row>
    <row r="414" spans="1:24">
      <c r="A414" s="2" t="s">
        <v>55</v>
      </c>
      <c r="B414" s="4">
        <v>350</v>
      </c>
      <c r="C414" s="4">
        <v>800</v>
      </c>
      <c r="D414" s="4">
        <v>6.6970000000000001</v>
      </c>
      <c r="E414" s="4">
        <v>19.7</v>
      </c>
      <c r="F414" s="4">
        <v>193</v>
      </c>
      <c r="G414" s="16" t="s">
        <v>97</v>
      </c>
      <c r="H414" s="4">
        <v>0.20699999999999999</v>
      </c>
      <c r="I414" s="4">
        <v>24.4</v>
      </c>
      <c r="J414" s="4">
        <v>630</v>
      </c>
      <c r="K414" s="4">
        <v>1587</v>
      </c>
      <c r="L414" s="4">
        <v>0.7</v>
      </c>
      <c r="M414" s="4">
        <v>207.37</v>
      </c>
      <c r="N414" s="5">
        <v>733.97</v>
      </c>
      <c r="Q414" s="1">
        <f t="shared" si="19"/>
        <v>112.17948717948718</v>
      </c>
      <c r="R414" t="str" cm="1">
        <f t="array" ref="R414">_xlfn.IFS(Q414&lt;42.7, "low",
Q414&lt;85.4,"medium low",
Q414&lt;128,"medium high",
Q414&gt;=128,"high"
)</f>
        <v>medium high</v>
      </c>
      <c r="S414" t="str" cm="1">
        <f t="array" ref="S414">_xlfn.IFS(J414&lt;700,"low",J414&lt;1600,"medium low",J414&lt;2200,"medium high",J414&gt;=2200,"high")</f>
        <v>low</v>
      </c>
      <c r="T414" t="str" cm="1">
        <f t="array" ref="T414">_xlfn.IFS(
J414&lt;630,"Low",
J414&lt;1287,"Medium",
J414&lt;1495,"Intermediate",
J414&lt;1668,"Moderately",
J414&lt;1843,"Transition",
J414&lt;2477,"High",
J414&lt;2996,"Refractory I",
TRUE,"Refractory II"
)</f>
        <v>Medium</v>
      </c>
      <c r="U414">
        <f t="shared" si="20"/>
        <v>3.5394222886627769</v>
      </c>
      <c r="V414" t="str" cm="1">
        <f t="array" ref="V414">_xlfn.IFS(U414&lt;0.25,"shallow condution",
U414&lt;0.5,"transition",
U414&lt;1,"conduction",
U414&lt;1.5,"transition",U414&lt;3,"keyholeⅠ",3&lt;=U414,"keyhole Ⅱ"
)</f>
        <v>keyhole Ⅱ</v>
      </c>
      <c r="X414">
        <f t="shared" si="21"/>
        <v>0.2825319835960598</v>
      </c>
    </row>
    <row r="415" spans="1:24">
      <c r="A415" s="2" t="s">
        <v>55</v>
      </c>
      <c r="B415" s="4">
        <v>350</v>
      </c>
      <c r="C415" s="4">
        <v>1000</v>
      </c>
      <c r="D415" s="4">
        <v>6.6970000000000001</v>
      </c>
      <c r="E415" s="4">
        <v>19.7</v>
      </c>
      <c r="F415" s="4">
        <v>193</v>
      </c>
      <c r="G415" s="16" t="s">
        <v>97</v>
      </c>
      <c r="H415" s="4">
        <v>0.20699999999999999</v>
      </c>
      <c r="I415" s="4">
        <v>24.4</v>
      </c>
      <c r="J415" s="4">
        <v>630</v>
      </c>
      <c r="K415" s="4">
        <v>1587</v>
      </c>
      <c r="L415" s="4">
        <v>0.7</v>
      </c>
      <c r="M415" s="4">
        <v>261.33</v>
      </c>
      <c r="N415" s="5">
        <v>578.92999999999995</v>
      </c>
      <c r="Q415" s="1">
        <f t="shared" si="19"/>
        <v>89.743589743589737</v>
      </c>
      <c r="R415" t="str" cm="1">
        <f t="array" ref="R415">_xlfn.IFS(Q415&lt;42.7, "low",
Q415&lt;85.4,"medium low",
Q415&lt;128,"medium high",
Q415&gt;=128,"high"
)</f>
        <v>medium high</v>
      </c>
      <c r="S415" t="str" cm="1">
        <f t="array" ref="S415">_xlfn.IFS(J415&lt;700,"low",J415&lt;1600,"medium low",J415&lt;2200,"medium high",J415&gt;=2200,"high")</f>
        <v>low</v>
      </c>
      <c r="T415" t="str" cm="1">
        <f t="array" ref="T415">_xlfn.IFS(
J415&lt;630,"Low",
J415&lt;1287,"Medium",
J415&lt;1495,"Intermediate",
J415&lt;1668,"Moderately",
J415&lt;1843,"Transition",
J415&lt;2477,"High",
J415&lt;2996,"Refractory I",
TRUE,"Refractory II"
)</f>
        <v>Medium</v>
      </c>
      <c r="U415">
        <f t="shared" si="20"/>
        <v>2.215321624000306</v>
      </c>
      <c r="V415" t="str" cm="1">
        <f t="array" ref="V415">_xlfn.IFS(U415&lt;0.25,"shallow condution",
U415&lt;0.5,"transition",
U415&lt;1,"conduction",
U415&lt;1.5,"transition",U415&lt;3,"keyholeⅠ",3&lt;=U415,"keyhole Ⅱ"
)</f>
        <v>keyholeⅠ</v>
      </c>
      <c r="X415">
        <f t="shared" si="21"/>
        <v>0.45140172386989791</v>
      </c>
    </row>
    <row r="416" spans="1:24">
      <c r="A416" s="2" t="s">
        <v>55</v>
      </c>
      <c r="B416" s="4">
        <v>350</v>
      </c>
      <c r="C416" s="4">
        <v>1200</v>
      </c>
      <c r="D416" s="4">
        <v>6.6970000000000001</v>
      </c>
      <c r="E416" s="4">
        <v>19.7</v>
      </c>
      <c r="F416" s="4">
        <v>193</v>
      </c>
      <c r="G416" s="16" t="s">
        <v>97</v>
      </c>
      <c r="H416" s="4">
        <v>0.20699999999999999</v>
      </c>
      <c r="I416" s="4">
        <v>24.4</v>
      </c>
      <c r="J416" s="4">
        <v>630</v>
      </c>
      <c r="K416" s="4">
        <v>1587</v>
      </c>
      <c r="L416" s="4">
        <v>0.7</v>
      </c>
      <c r="M416" s="4">
        <v>289.70999999999998</v>
      </c>
      <c r="N416" s="5">
        <v>295.64999999999998</v>
      </c>
      <c r="Q416" s="1">
        <f t="shared" si="19"/>
        <v>74.786324786324784</v>
      </c>
      <c r="R416" t="str" cm="1">
        <f t="array" ref="R416">_xlfn.IFS(Q416&lt;42.7, "low",
Q416&lt;85.4,"medium low",
Q416&lt;128,"medium high",
Q416&gt;=128,"high"
)</f>
        <v>medium low</v>
      </c>
      <c r="S416" t="str" cm="1">
        <f t="array" ref="S416">_xlfn.IFS(J416&lt;700,"low",J416&lt;1600,"medium low",J416&lt;2200,"medium high",J416&gt;=2200,"high")</f>
        <v>low</v>
      </c>
      <c r="T416" t="str" cm="1">
        <f t="array" ref="T416">_xlfn.IFS(
J416&lt;630,"Low",
J416&lt;1287,"Medium",
J416&lt;1495,"Intermediate",
J416&lt;1668,"Moderately",
J416&lt;1843,"Transition",
J416&lt;2477,"High",
J416&lt;2996,"Refractory I",
TRUE,"Refractory II"
)</f>
        <v>Medium</v>
      </c>
      <c r="U416">
        <f t="shared" si="20"/>
        <v>1.0205032618825722</v>
      </c>
      <c r="V416" t="str" cm="1">
        <f t="array" ref="V416">_xlfn.IFS(U416&lt;0.25,"shallow condution",
U416&lt;0.5,"transition",
U416&lt;1,"conduction",
U416&lt;1.5,"transition",U416&lt;3,"keyholeⅠ",3&lt;=U416,"keyhole Ⅱ"
)</f>
        <v>transition</v>
      </c>
      <c r="X416">
        <f t="shared" si="21"/>
        <v>0.9799086757990868</v>
      </c>
    </row>
    <row r="417" spans="1:24">
      <c r="A417" s="2" t="s">
        <v>55</v>
      </c>
      <c r="B417" s="4">
        <v>350</v>
      </c>
      <c r="C417" s="4">
        <v>1600</v>
      </c>
      <c r="D417" s="4">
        <v>6.6970000000000001</v>
      </c>
      <c r="E417" s="4">
        <v>19.7</v>
      </c>
      <c r="F417" s="4">
        <v>193</v>
      </c>
      <c r="G417" s="16" t="s">
        <v>97</v>
      </c>
      <c r="H417" s="4">
        <v>0.20699999999999999</v>
      </c>
      <c r="I417" s="4">
        <v>24.4</v>
      </c>
      <c r="J417" s="4">
        <v>630</v>
      </c>
      <c r="K417" s="4">
        <v>1587</v>
      </c>
      <c r="L417" s="4">
        <v>0.7</v>
      </c>
      <c r="M417" s="4">
        <v>200.53</v>
      </c>
      <c r="N417" s="5">
        <v>322.27</v>
      </c>
      <c r="Q417" s="1">
        <f t="shared" si="19"/>
        <v>56.089743589743591</v>
      </c>
      <c r="R417" t="str" cm="1">
        <f t="array" ref="R417">_xlfn.IFS(Q417&lt;42.7, "low",
Q417&lt;85.4,"medium low",
Q417&lt;128,"medium high",
Q417&gt;=128,"high"
)</f>
        <v>medium low</v>
      </c>
      <c r="S417" t="str" cm="1">
        <f t="array" ref="S417">_xlfn.IFS(J417&lt;700,"low",J417&lt;1600,"medium low",J417&lt;2200,"medium high",J417&gt;=2200,"high")</f>
        <v>low</v>
      </c>
      <c r="T417" t="str" cm="1">
        <f t="array" ref="T417">_xlfn.IFS(
J417&lt;630,"Low",
J417&lt;1287,"Medium",
J417&lt;1495,"Intermediate",
J417&lt;1668,"Moderately",
J417&lt;1843,"Transition",
J417&lt;2477,"High",
J417&lt;2996,"Refractory I",
TRUE,"Refractory II"
)</f>
        <v>Medium</v>
      </c>
      <c r="U417">
        <f t="shared" si="20"/>
        <v>1.6070912082980102</v>
      </c>
      <c r="V417" t="str" cm="1">
        <f t="array" ref="V417">_xlfn.IFS(U417&lt;0.25,"shallow condution",
U417&lt;0.5,"transition",
U417&lt;1,"conduction",
U417&lt;1.5,"transition",U417&lt;3,"keyholeⅠ",3&lt;=U417,"keyhole Ⅱ"
)</f>
        <v>keyholeⅠ</v>
      </c>
      <c r="X417">
        <f t="shared" si="21"/>
        <v>0.62224221925714462</v>
      </c>
    </row>
    <row r="418" spans="1:24">
      <c r="A418" s="2" t="s">
        <v>55</v>
      </c>
      <c r="B418" s="4">
        <v>350</v>
      </c>
      <c r="C418" s="4">
        <v>2000</v>
      </c>
      <c r="D418" s="4">
        <v>6.6970000000000001</v>
      </c>
      <c r="E418" s="4">
        <v>19.7</v>
      </c>
      <c r="F418" s="4">
        <v>193</v>
      </c>
      <c r="G418" s="16" t="s">
        <v>97</v>
      </c>
      <c r="H418" s="4">
        <v>0.20699999999999999</v>
      </c>
      <c r="I418" s="4">
        <v>24.4</v>
      </c>
      <c r="J418" s="4">
        <v>630</v>
      </c>
      <c r="K418" s="4">
        <v>1587</v>
      </c>
      <c r="L418" s="4">
        <v>0.7</v>
      </c>
      <c r="M418" s="4">
        <v>218.84</v>
      </c>
      <c r="N418" s="5">
        <v>208.49</v>
      </c>
      <c r="Q418" s="1">
        <f t="shared" si="19"/>
        <v>44.871794871794869</v>
      </c>
      <c r="R418" t="str" cm="1">
        <f t="array" ref="R418">_xlfn.IFS(Q418&lt;42.7, "low",
Q418&lt;85.4,"medium low",
Q418&lt;128,"medium high",
Q418&gt;=128,"high"
)</f>
        <v>medium low</v>
      </c>
      <c r="S418" t="str" cm="1">
        <f t="array" ref="S418">_xlfn.IFS(J418&lt;700,"low",J418&lt;1600,"medium low",J418&lt;2200,"medium high",J418&gt;=2200,"high")</f>
        <v>low</v>
      </c>
      <c r="T418" t="str" cm="1">
        <f t="array" ref="T418">_xlfn.IFS(
J418&lt;630,"Low",
J418&lt;1287,"Medium",
J418&lt;1495,"Intermediate",
J418&lt;1668,"Moderately",
J418&lt;1843,"Transition",
J418&lt;2477,"High",
J418&lt;2996,"Refractory I",
TRUE,"Refractory II"
)</f>
        <v>Medium</v>
      </c>
      <c r="U418">
        <f t="shared" si="20"/>
        <v>0.9527051727289344</v>
      </c>
      <c r="V418" t="str" cm="1">
        <f t="array" ref="V418">_xlfn.IFS(U418&lt;0.25,"shallow condution",
U418&lt;0.5,"transition",
U418&lt;1,"conduction",
U418&lt;1.5,"transition",U418&lt;3,"keyholeⅠ",3&lt;=U418,"keyhole Ⅱ"
)</f>
        <v>conduction</v>
      </c>
      <c r="X418">
        <f t="shared" si="21"/>
        <v>1.0496426687131277</v>
      </c>
    </row>
    <row r="419" spans="1:24">
      <c r="A419" s="2" t="s">
        <v>55</v>
      </c>
      <c r="B419" s="4">
        <v>350</v>
      </c>
      <c r="C419" s="4">
        <v>2400</v>
      </c>
      <c r="D419" s="4">
        <v>6.6970000000000001</v>
      </c>
      <c r="E419" s="4">
        <v>19.7</v>
      </c>
      <c r="F419" s="4">
        <v>193</v>
      </c>
      <c r="G419" s="16" t="s">
        <v>97</v>
      </c>
      <c r="H419" s="4">
        <v>0.20699999999999999</v>
      </c>
      <c r="I419" s="4">
        <v>24.4</v>
      </c>
      <c r="J419" s="4">
        <v>630</v>
      </c>
      <c r="K419" s="4">
        <v>1587</v>
      </c>
      <c r="L419" s="4">
        <v>0.7</v>
      </c>
      <c r="M419" s="4">
        <v>190.49</v>
      </c>
      <c r="N419" s="5">
        <v>163.52000000000001</v>
      </c>
      <c r="Q419" s="1">
        <f t="shared" si="19"/>
        <v>37.393162393162392</v>
      </c>
      <c r="R419" t="str" cm="1">
        <f t="array" ref="R419">_xlfn.IFS(Q419&lt;42.7, "low",
Q419&lt;85.4,"medium low",
Q419&lt;128,"medium high",
Q419&gt;=128,"high"
)</f>
        <v>low</v>
      </c>
      <c r="S419" t="str" cm="1">
        <f t="array" ref="S419">_xlfn.IFS(J419&lt;700,"low",J419&lt;1600,"medium low",J419&lt;2200,"medium high",J419&gt;=2200,"high")</f>
        <v>low</v>
      </c>
      <c r="T419" t="str" cm="1">
        <f t="array" ref="T419">_xlfn.IFS(
J419&lt;630,"Low",
J419&lt;1287,"Medium",
J419&lt;1495,"Intermediate",
J419&lt;1668,"Moderately",
J419&lt;1843,"Transition",
J419&lt;2477,"High",
J419&lt;2996,"Refractory I",
TRUE,"Refractory II"
)</f>
        <v>Medium</v>
      </c>
      <c r="U419">
        <f t="shared" si="20"/>
        <v>0.85841776471205844</v>
      </c>
      <c r="V419" t="str" cm="1">
        <f t="array" ref="V419">_xlfn.IFS(U419&lt;0.25,"shallow condution",
U419&lt;0.5,"transition",
U419&lt;1,"conduction",
U419&lt;1.5,"transition",U419&lt;3,"keyholeⅠ",3&lt;=U419,"keyhole Ⅱ"
)</f>
        <v>conduction</v>
      </c>
      <c r="X419">
        <f t="shared" si="21"/>
        <v>1.1649339530332681</v>
      </c>
    </row>
    <row r="420" spans="1:24">
      <c r="A420" s="2" t="s">
        <v>55</v>
      </c>
      <c r="B420" s="4">
        <v>100</v>
      </c>
      <c r="C420" s="4">
        <v>300</v>
      </c>
      <c r="D420" s="4">
        <v>6.6970000000000001</v>
      </c>
      <c r="E420" s="4">
        <v>19.7</v>
      </c>
      <c r="F420" s="4">
        <v>193</v>
      </c>
      <c r="G420" s="16" t="s">
        <v>97</v>
      </c>
      <c r="H420" s="4">
        <v>0.20699999999999999</v>
      </c>
      <c r="I420" s="4">
        <v>24.4</v>
      </c>
      <c r="J420" s="4">
        <v>630</v>
      </c>
      <c r="K420" s="4">
        <v>1587</v>
      </c>
      <c r="L420" s="4">
        <v>0.7</v>
      </c>
      <c r="M420" s="4">
        <v>253.14</v>
      </c>
      <c r="N420" s="5">
        <v>176.33</v>
      </c>
      <c r="Q420" s="1">
        <f t="shared" si="19"/>
        <v>85.470085470085465</v>
      </c>
      <c r="R420" t="str" cm="1">
        <f t="array" ref="R420">_xlfn.IFS(Q420&lt;42.7, "low",
Q420&lt;85.4,"medium low",
Q420&lt;128,"medium high",
Q420&gt;=128,"high"
)</f>
        <v>medium high</v>
      </c>
      <c r="S420" t="str" cm="1">
        <f t="array" ref="S420">_xlfn.IFS(J420&lt;700,"low",J420&lt;1600,"medium low",J420&lt;2200,"medium high",J420&gt;=2200,"high")</f>
        <v>low</v>
      </c>
      <c r="T420" t="str" cm="1">
        <f t="array" ref="T420">_xlfn.IFS(
J420&lt;630,"Low",
J420&lt;1287,"Medium",
J420&lt;1495,"Intermediate",
J420&lt;1668,"Moderately",
J420&lt;1843,"Transition",
J420&lt;2477,"High",
J420&lt;2996,"Refractory I",
TRUE,"Refractory II"
)</f>
        <v>Medium</v>
      </c>
      <c r="U420">
        <f t="shared" si="20"/>
        <v>0.69657106739353725</v>
      </c>
      <c r="V420" t="str" cm="1">
        <f t="array" ref="V420">_xlfn.IFS(U420&lt;0.25,"shallow condution",
U420&lt;0.5,"transition",
U420&lt;1,"conduction",
U420&lt;1.5,"transition",U420&lt;3,"keyholeⅠ",3&lt;=U420,"keyhole Ⅱ"
)</f>
        <v>conduction</v>
      </c>
      <c r="X420">
        <f t="shared" si="21"/>
        <v>1.4356036976124311</v>
      </c>
    </row>
    <row r="421" spans="1:24">
      <c r="A421" s="2" t="s">
        <v>55</v>
      </c>
      <c r="B421" s="4">
        <v>150</v>
      </c>
      <c r="C421" s="4">
        <v>300</v>
      </c>
      <c r="D421" s="4">
        <v>6.6970000000000001</v>
      </c>
      <c r="E421" s="4">
        <v>19.7</v>
      </c>
      <c r="F421" s="4">
        <v>193</v>
      </c>
      <c r="G421" s="16" t="s">
        <v>97</v>
      </c>
      <c r="H421" s="4">
        <v>0.20699999999999999</v>
      </c>
      <c r="I421" s="4">
        <v>24.4</v>
      </c>
      <c r="J421" s="4">
        <v>630</v>
      </c>
      <c r="K421" s="4">
        <v>1587</v>
      </c>
      <c r="L421" s="4">
        <v>0.7</v>
      </c>
      <c r="M421" s="4">
        <v>224</v>
      </c>
      <c r="N421" s="5">
        <v>266.23</v>
      </c>
      <c r="Q421" s="1">
        <f t="shared" si="19"/>
        <v>128.2051282051282</v>
      </c>
      <c r="R421" t="str" cm="1">
        <f t="array" ref="R421">_xlfn.IFS(Q421&lt;42.7, "low",
Q421&lt;85.4,"medium low",
Q421&lt;128,"medium high",
Q421&gt;=128,"high"
)</f>
        <v>high</v>
      </c>
      <c r="S421" t="str" cm="1">
        <f t="array" ref="S421">_xlfn.IFS(J421&lt;700,"low",J421&lt;1600,"medium low",J421&lt;2200,"medium high",J421&gt;=2200,"high")</f>
        <v>low</v>
      </c>
      <c r="T421" t="str" cm="1">
        <f t="array" ref="T421">_xlfn.IFS(
J421&lt;630,"Low",
J421&lt;1287,"Medium",
J421&lt;1495,"Intermediate",
J421&lt;1668,"Moderately",
J421&lt;1843,"Transition",
J421&lt;2477,"High",
J421&lt;2996,"Refractory I",
TRUE,"Refractory II"
)</f>
        <v>Medium</v>
      </c>
      <c r="U421">
        <f t="shared" si="20"/>
        <v>1.1885267857142858</v>
      </c>
      <c r="V421" t="str" cm="1">
        <f t="array" ref="V421">_xlfn.IFS(U421&lt;0.25,"shallow condution",
U421&lt;0.5,"transition",
U421&lt;1,"conduction",
U421&lt;1.5,"transition",U421&lt;3,"keyholeⅠ",3&lt;=U421,"keyhole Ⅱ"
)</f>
        <v>transition</v>
      </c>
      <c r="X421">
        <f t="shared" si="21"/>
        <v>0.84137775607557375</v>
      </c>
    </row>
    <row r="422" spans="1:24">
      <c r="A422" s="2" t="s">
        <v>55</v>
      </c>
      <c r="B422" s="4">
        <v>200</v>
      </c>
      <c r="C422" s="4">
        <v>300</v>
      </c>
      <c r="D422" s="4">
        <v>6.6970000000000001</v>
      </c>
      <c r="E422" s="4">
        <v>19.7</v>
      </c>
      <c r="F422" s="4">
        <v>193</v>
      </c>
      <c r="G422" s="16" t="s">
        <v>97</v>
      </c>
      <c r="H422" s="4">
        <v>0.20699999999999999</v>
      </c>
      <c r="I422" s="4">
        <v>24.4</v>
      </c>
      <c r="J422" s="4">
        <v>630</v>
      </c>
      <c r="K422" s="4">
        <v>1587</v>
      </c>
      <c r="L422" s="4">
        <v>0.7</v>
      </c>
      <c r="M422" s="4">
        <v>211.57</v>
      </c>
      <c r="N422" s="5">
        <v>423.83</v>
      </c>
      <c r="Q422" s="1">
        <f t="shared" si="19"/>
        <v>170.94017094017093</v>
      </c>
      <c r="R422" t="str" cm="1">
        <f t="array" ref="R422">_xlfn.IFS(Q422&lt;42.7, "low",
Q422&lt;85.4,"medium low",
Q422&lt;128,"medium high",
Q422&gt;=128,"high"
)</f>
        <v>high</v>
      </c>
      <c r="S422" t="str" cm="1">
        <f t="array" ref="S422">_xlfn.IFS(J422&lt;700,"low",J422&lt;1600,"medium low",J422&lt;2200,"medium high",J422&gt;=2200,"high")</f>
        <v>low</v>
      </c>
      <c r="T422" t="str" cm="1">
        <f t="array" ref="T422">_xlfn.IFS(
J422&lt;630,"Low",
J422&lt;1287,"Medium",
J422&lt;1495,"Intermediate",
J422&lt;1668,"Moderately",
J422&lt;1843,"Transition",
J422&lt;2477,"High",
J422&lt;2996,"Refractory I",
TRUE,"Refractory II"
)</f>
        <v>Medium</v>
      </c>
      <c r="U422">
        <f t="shared" si="20"/>
        <v>2.0032613319468733</v>
      </c>
      <c r="V422" t="str" cm="1">
        <f t="array" ref="V422">_xlfn.IFS(U422&lt;0.25,"shallow condution",
U422&lt;0.5,"transition",
U422&lt;1,"conduction",
U422&lt;1.5,"transition",U422&lt;3,"keyholeⅠ",3&lt;=U422,"keyhole Ⅱ"
)</f>
        <v>keyholeⅠ</v>
      </c>
      <c r="X422">
        <f t="shared" si="21"/>
        <v>0.49918599438454098</v>
      </c>
    </row>
    <row r="423" spans="1:24">
      <c r="A423" s="2" t="s">
        <v>55</v>
      </c>
      <c r="B423" s="4">
        <v>250</v>
      </c>
      <c r="C423" s="4">
        <v>300</v>
      </c>
      <c r="D423" s="4">
        <v>6.6970000000000001</v>
      </c>
      <c r="E423" s="4">
        <v>19.7</v>
      </c>
      <c r="F423" s="4">
        <v>193</v>
      </c>
      <c r="G423" s="16" t="s">
        <v>97</v>
      </c>
      <c r="H423" s="4">
        <v>0.20699999999999999</v>
      </c>
      <c r="I423" s="4">
        <v>24.4</v>
      </c>
      <c r="J423" s="4">
        <v>630</v>
      </c>
      <c r="K423" s="4">
        <v>1587</v>
      </c>
      <c r="L423" s="4">
        <v>0.7</v>
      </c>
      <c r="M423" s="4">
        <v>210</v>
      </c>
      <c r="N423" s="5">
        <v>434</v>
      </c>
      <c r="Q423" s="1">
        <f t="shared" si="19"/>
        <v>213.67521367521368</v>
      </c>
      <c r="R423" t="str" cm="1">
        <f t="array" ref="R423">_xlfn.IFS(Q423&lt;42.7, "low",
Q423&lt;85.4,"medium low",
Q423&lt;128,"medium high",
Q423&gt;=128,"high"
)</f>
        <v>high</v>
      </c>
      <c r="S423" t="str" cm="1">
        <f t="array" ref="S423">_xlfn.IFS(J423&lt;700,"low",J423&lt;1600,"medium low",J423&lt;2200,"medium high",J423&gt;=2200,"high")</f>
        <v>low</v>
      </c>
      <c r="T423" t="str" cm="1">
        <f t="array" ref="T423">_xlfn.IFS(
J423&lt;630,"Low",
J423&lt;1287,"Medium",
J423&lt;1495,"Intermediate",
J423&lt;1668,"Moderately",
J423&lt;1843,"Transition",
J423&lt;2477,"High",
J423&lt;2996,"Refractory I",
TRUE,"Refractory II"
)</f>
        <v>Medium</v>
      </c>
      <c r="U423">
        <f t="shared" si="20"/>
        <v>2.0666666666666669</v>
      </c>
      <c r="V423" t="str" cm="1">
        <f t="array" ref="V423">_xlfn.IFS(U423&lt;0.25,"shallow condution",
U423&lt;0.5,"transition",
U423&lt;1,"conduction",
U423&lt;1.5,"transition",U423&lt;3,"keyholeⅠ",3&lt;=U423,"keyhole Ⅱ"
)</f>
        <v>keyholeⅠ</v>
      </c>
      <c r="X423">
        <f t="shared" si="21"/>
        <v>0.4838709677419355</v>
      </c>
    </row>
    <row r="424" spans="1:24">
      <c r="A424" s="2" t="s">
        <v>55</v>
      </c>
      <c r="B424" s="4">
        <v>300</v>
      </c>
      <c r="C424" s="4">
        <v>300</v>
      </c>
      <c r="D424" s="4">
        <v>6.6970000000000001</v>
      </c>
      <c r="E424" s="4">
        <v>19.7</v>
      </c>
      <c r="F424" s="4">
        <v>193</v>
      </c>
      <c r="G424" s="16" t="s">
        <v>97</v>
      </c>
      <c r="H424" s="4">
        <v>0.20699999999999999</v>
      </c>
      <c r="I424" s="4">
        <v>24.4</v>
      </c>
      <c r="J424" s="4">
        <v>630</v>
      </c>
      <c r="K424" s="4">
        <v>1587</v>
      </c>
      <c r="L424" s="4">
        <v>0.7</v>
      </c>
      <c r="M424" s="4">
        <v>170</v>
      </c>
      <c r="N424" s="5">
        <v>445</v>
      </c>
      <c r="Q424" s="1">
        <f t="shared" si="19"/>
        <v>256.41025641025641</v>
      </c>
      <c r="R424" t="str" cm="1">
        <f t="array" ref="R424">_xlfn.IFS(Q424&lt;42.7, "low",
Q424&lt;85.4,"medium low",
Q424&lt;128,"medium high",
Q424&gt;=128,"high"
)</f>
        <v>high</v>
      </c>
      <c r="S424" t="str" cm="1">
        <f t="array" ref="S424">_xlfn.IFS(J424&lt;700,"low",J424&lt;1600,"medium low",J424&lt;2200,"medium high",J424&gt;=2200,"high")</f>
        <v>low</v>
      </c>
      <c r="T424" t="str" cm="1">
        <f t="array" ref="T424">_xlfn.IFS(
J424&lt;630,"Low",
J424&lt;1287,"Medium",
J424&lt;1495,"Intermediate",
J424&lt;1668,"Moderately",
J424&lt;1843,"Transition",
J424&lt;2477,"High",
J424&lt;2996,"Refractory I",
TRUE,"Refractory II"
)</f>
        <v>Medium</v>
      </c>
      <c r="U424">
        <f t="shared" si="20"/>
        <v>2.6176470588235294</v>
      </c>
      <c r="V424" t="str" cm="1">
        <f t="array" ref="V424">_xlfn.IFS(U424&lt;0.25,"shallow condution",
U424&lt;0.5,"transition",
U424&lt;1,"conduction",
U424&lt;1.5,"transition",U424&lt;3,"keyholeⅠ",3&lt;=U424,"keyhole Ⅱ"
)</f>
        <v>keyholeⅠ</v>
      </c>
      <c r="X424">
        <f t="shared" si="21"/>
        <v>0.38202247191011235</v>
      </c>
    </row>
    <row r="425" spans="1:24">
      <c r="A425" s="2" t="s">
        <v>55</v>
      </c>
      <c r="B425" s="4">
        <v>100</v>
      </c>
      <c r="C425" s="4">
        <v>600</v>
      </c>
      <c r="D425" s="4">
        <v>6.6970000000000001</v>
      </c>
      <c r="E425" s="4">
        <v>19.7</v>
      </c>
      <c r="F425" s="4">
        <v>193</v>
      </c>
      <c r="G425" s="16" t="s">
        <v>97</v>
      </c>
      <c r="H425" s="4">
        <v>0.20699999999999999</v>
      </c>
      <c r="I425" s="4">
        <v>24.4</v>
      </c>
      <c r="J425" s="4">
        <v>630</v>
      </c>
      <c r="K425" s="4">
        <v>1587</v>
      </c>
      <c r="L425" s="4">
        <v>0.7</v>
      </c>
      <c r="M425" s="4">
        <v>122.9</v>
      </c>
      <c r="N425" s="5">
        <v>34.200000000000003</v>
      </c>
      <c r="Q425" s="1">
        <f t="shared" si="19"/>
        <v>42.735042735042732</v>
      </c>
      <c r="R425" t="str" cm="1">
        <f t="array" ref="R425">_xlfn.IFS(Q425&lt;42.7, "low",
Q425&lt;85.4,"medium low",
Q425&lt;128,"medium high",
Q425&gt;=128,"high"
)</f>
        <v>medium low</v>
      </c>
      <c r="S425" t="str" cm="1">
        <f t="array" ref="S425">_xlfn.IFS(J425&lt;700,"low",J425&lt;1600,"medium low",J425&lt;2200,"medium high",J425&gt;=2200,"high")</f>
        <v>low</v>
      </c>
      <c r="T425" t="str" cm="1">
        <f t="array" ref="T425">_xlfn.IFS(
J425&lt;630,"Low",
J425&lt;1287,"Medium",
J425&lt;1495,"Intermediate",
J425&lt;1668,"Moderately",
J425&lt;1843,"Transition",
J425&lt;2477,"High",
J425&lt;2996,"Refractory I",
TRUE,"Refractory II"
)</f>
        <v>Medium</v>
      </c>
      <c r="U425">
        <f t="shared" si="20"/>
        <v>0.27827502034174129</v>
      </c>
      <c r="V425" t="str" cm="1">
        <f t="array" ref="V425">_xlfn.IFS(U425&lt;0.25,"shallow condution",
U425&lt;0.5,"transition",
U425&lt;1,"conduction",
U425&lt;1.5,"transition",U425&lt;3,"keyholeⅠ",3&lt;=U425,"keyhole Ⅱ"
)</f>
        <v>transition</v>
      </c>
      <c r="X425">
        <f t="shared" si="21"/>
        <v>3.5935672514619883</v>
      </c>
    </row>
    <row r="426" spans="1:24">
      <c r="A426" s="2" t="s">
        <v>55</v>
      </c>
      <c r="B426" s="4">
        <v>150</v>
      </c>
      <c r="C426" s="4">
        <v>600</v>
      </c>
      <c r="D426" s="4">
        <v>6.6970000000000001</v>
      </c>
      <c r="E426" s="4">
        <v>19.7</v>
      </c>
      <c r="F426" s="4">
        <v>193</v>
      </c>
      <c r="G426" s="16" t="s">
        <v>97</v>
      </c>
      <c r="H426" s="4">
        <v>0.20699999999999999</v>
      </c>
      <c r="I426" s="4">
        <v>24.4</v>
      </c>
      <c r="J426" s="4">
        <v>630</v>
      </c>
      <c r="K426" s="4">
        <v>1587</v>
      </c>
      <c r="L426" s="4">
        <v>0.7</v>
      </c>
      <c r="M426" s="4">
        <v>131.72999999999999</v>
      </c>
      <c r="N426" s="5">
        <v>66.44</v>
      </c>
      <c r="Q426" s="1">
        <f t="shared" si="19"/>
        <v>64.102564102564102</v>
      </c>
      <c r="R426" t="str" cm="1">
        <f t="array" ref="R426">_xlfn.IFS(Q426&lt;42.7, "low",
Q426&lt;85.4,"medium low",
Q426&lt;128,"medium high",
Q426&gt;=128,"high"
)</f>
        <v>medium low</v>
      </c>
      <c r="S426" t="str" cm="1">
        <f t="array" ref="S426">_xlfn.IFS(J426&lt;700,"low",J426&lt;1600,"medium low",J426&lt;2200,"medium high",J426&gt;=2200,"high")</f>
        <v>low</v>
      </c>
      <c r="T426" t="str" cm="1">
        <f t="array" ref="T426">_xlfn.IFS(
J426&lt;630,"Low",
J426&lt;1287,"Medium",
J426&lt;1495,"Intermediate",
J426&lt;1668,"Moderately",
J426&lt;1843,"Transition",
J426&lt;2477,"High",
J426&lt;2996,"Refractory I",
TRUE,"Refractory II"
)</f>
        <v>Medium</v>
      </c>
      <c r="U426">
        <f t="shared" si="20"/>
        <v>0.50436498899263649</v>
      </c>
      <c r="V426" t="str" cm="1">
        <f t="array" ref="V426">_xlfn.IFS(U426&lt;0.25,"shallow condution",
U426&lt;0.5,"transition",
U426&lt;1,"conduction",
U426&lt;1.5,"transition",U426&lt;3,"keyholeⅠ",3&lt;=U426,"keyhole Ⅱ"
)</f>
        <v>conduction</v>
      </c>
      <c r="X426">
        <f t="shared" si="21"/>
        <v>1.9826911499096929</v>
      </c>
    </row>
    <row r="427" spans="1:24">
      <c r="A427" s="2" t="s">
        <v>55</v>
      </c>
      <c r="B427" s="4">
        <v>200</v>
      </c>
      <c r="C427" s="4">
        <v>600</v>
      </c>
      <c r="D427" s="4">
        <v>6.6970000000000001</v>
      </c>
      <c r="E427" s="4">
        <v>19.7</v>
      </c>
      <c r="F427" s="4">
        <v>193</v>
      </c>
      <c r="G427" s="16" t="s">
        <v>97</v>
      </c>
      <c r="H427" s="4">
        <v>0.20699999999999999</v>
      </c>
      <c r="I427" s="4">
        <v>24.4</v>
      </c>
      <c r="J427" s="4">
        <v>630</v>
      </c>
      <c r="K427" s="4">
        <v>1587</v>
      </c>
      <c r="L427" s="4">
        <v>0.7</v>
      </c>
      <c r="M427" s="4">
        <v>151.22999999999999</v>
      </c>
      <c r="N427" s="5">
        <v>60.93</v>
      </c>
      <c r="Q427" s="1">
        <f t="shared" si="19"/>
        <v>85.470085470085465</v>
      </c>
      <c r="R427" t="str" cm="1">
        <f t="array" ref="R427">_xlfn.IFS(Q427&lt;42.7, "low",
Q427&lt;85.4,"medium low",
Q427&lt;128,"medium high",
Q427&gt;=128,"high"
)</f>
        <v>medium high</v>
      </c>
      <c r="S427" t="str" cm="1">
        <f t="array" ref="S427">_xlfn.IFS(J427&lt;700,"low",J427&lt;1600,"medium low",J427&lt;2200,"medium high",J427&gt;=2200,"high")</f>
        <v>low</v>
      </c>
      <c r="T427" t="str" cm="1">
        <f t="array" ref="T427">_xlfn.IFS(
J427&lt;630,"Low",
J427&lt;1287,"Medium",
J427&lt;1495,"Intermediate",
J427&lt;1668,"Moderately",
J427&lt;1843,"Transition",
J427&lt;2477,"High",
J427&lt;2996,"Refractory I",
TRUE,"Refractory II"
)</f>
        <v>Medium</v>
      </c>
      <c r="U427">
        <f t="shared" si="20"/>
        <v>0.40289625074390006</v>
      </c>
      <c r="V427" t="str" cm="1">
        <f t="array" ref="V427">_xlfn.IFS(U427&lt;0.25,"shallow condution",
U427&lt;0.5,"transition",
U427&lt;1,"conduction",
U427&lt;1.5,"transition",U427&lt;3,"keyholeⅠ",3&lt;=U427,"keyhole Ⅱ"
)</f>
        <v>transition</v>
      </c>
      <c r="X427">
        <f t="shared" si="21"/>
        <v>2.482028557360906</v>
      </c>
    </row>
    <row r="428" spans="1:24">
      <c r="A428" s="2" t="s">
        <v>55</v>
      </c>
      <c r="B428" s="4">
        <v>250</v>
      </c>
      <c r="C428" s="4">
        <v>600</v>
      </c>
      <c r="D428" s="4">
        <v>6.6970000000000001</v>
      </c>
      <c r="E428" s="4">
        <v>19.7</v>
      </c>
      <c r="F428" s="4">
        <v>193</v>
      </c>
      <c r="G428" s="16" t="s">
        <v>97</v>
      </c>
      <c r="H428" s="4">
        <v>0.20699999999999999</v>
      </c>
      <c r="I428" s="4">
        <v>24.4</v>
      </c>
      <c r="J428" s="4">
        <v>630</v>
      </c>
      <c r="K428" s="4">
        <v>1587</v>
      </c>
      <c r="L428" s="4">
        <v>0.7</v>
      </c>
      <c r="M428" s="4">
        <v>164</v>
      </c>
      <c r="N428" s="5">
        <v>65</v>
      </c>
      <c r="Q428" s="1">
        <f t="shared" si="19"/>
        <v>106.83760683760684</v>
      </c>
      <c r="R428" t="str" cm="1">
        <f t="array" ref="R428">_xlfn.IFS(Q428&lt;42.7, "low",
Q428&lt;85.4,"medium low",
Q428&lt;128,"medium high",
Q428&gt;=128,"high"
)</f>
        <v>medium high</v>
      </c>
      <c r="S428" t="str" cm="1">
        <f t="array" ref="S428">_xlfn.IFS(J428&lt;700,"low",J428&lt;1600,"medium low",J428&lt;2200,"medium high",J428&gt;=2200,"high")</f>
        <v>low</v>
      </c>
      <c r="T428" t="str" cm="1">
        <f t="array" ref="T428">_xlfn.IFS(
J428&lt;630,"Low",
J428&lt;1287,"Medium",
J428&lt;1495,"Intermediate",
J428&lt;1668,"Moderately",
J428&lt;1843,"Transition",
J428&lt;2477,"High",
J428&lt;2996,"Refractory I",
TRUE,"Refractory II"
)</f>
        <v>Medium</v>
      </c>
      <c r="U428">
        <f t="shared" si="20"/>
        <v>0.39634146341463417</v>
      </c>
      <c r="V428" t="str" cm="1">
        <f t="array" ref="V428">_xlfn.IFS(U428&lt;0.25,"shallow condution",
U428&lt;0.5,"transition",
U428&lt;1,"conduction",
U428&lt;1.5,"transition",U428&lt;3,"keyholeⅠ",3&lt;=U428,"keyhole Ⅱ"
)</f>
        <v>transition</v>
      </c>
      <c r="X428">
        <f t="shared" si="21"/>
        <v>2.523076923076923</v>
      </c>
    </row>
    <row r="429" spans="1:24">
      <c r="A429" s="2" t="s">
        <v>55</v>
      </c>
      <c r="B429" s="4">
        <v>300</v>
      </c>
      <c r="C429" s="4">
        <v>600</v>
      </c>
      <c r="D429" s="4">
        <v>6.6970000000000001</v>
      </c>
      <c r="E429" s="4">
        <v>19.7</v>
      </c>
      <c r="F429" s="4">
        <v>193</v>
      </c>
      <c r="G429" s="16" t="s">
        <v>97</v>
      </c>
      <c r="H429" s="4">
        <v>0.20699999999999999</v>
      </c>
      <c r="I429" s="4">
        <v>24.4</v>
      </c>
      <c r="J429" s="4">
        <v>630</v>
      </c>
      <c r="K429" s="4">
        <v>1587</v>
      </c>
      <c r="L429" s="4">
        <v>0.7</v>
      </c>
      <c r="M429" s="4">
        <v>170</v>
      </c>
      <c r="N429" s="5">
        <v>79</v>
      </c>
      <c r="Q429" s="1">
        <f t="shared" si="19"/>
        <v>128.2051282051282</v>
      </c>
      <c r="R429" t="str" cm="1">
        <f t="array" ref="R429">_xlfn.IFS(Q429&lt;42.7, "low",
Q429&lt;85.4,"medium low",
Q429&lt;128,"medium high",
Q429&gt;=128,"high"
)</f>
        <v>high</v>
      </c>
      <c r="S429" t="str" cm="1">
        <f t="array" ref="S429">_xlfn.IFS(J429&lt;700,"low",J429&lt;1600,"medium low",J429&lt;2200,"medium high",J429&gt;=2200,"high")</f>
        <v>low</v>
      </c>
      <c r="T429" t="str" cm="1">
        <f t="array" ref="T429">_xlfn.IFS(
J429&lt;630,"Low",
J429&lt;1287,"Medium",
J429&lt;1495,"Intermediate",
J429&lt;1668,"Moderately",
J429&lt;1843,"Transition",
J429&lt;2477,"High",
J429&lt;2996,"Refractory I",
TRUE,"Refractory II"
)</f>
        <v>Medium</v>
      </c>
      <c r="U429">
        <f t="shared" si="20"/>
        <v>0.46470588235294119</v>
      </c>
      <c r="V429" t="str" cm="1">
        <f t="array" ref="V429">_xlfn.IFS(U429&lt;0.25,"shallow condution",
U429&lt;0.5,"transition",
U429&lt;1,"conduction",
U429&lt;1.5,"transition",U429&lt;3,"keyholeⅠ",3&lt;=U429,"keyhole Ⅱ"
)</f>
        <v>transition</v>
      </c>
      <c r="X429">
        <f t="shared" si="21"/>
        <v>2.1518987341772151</v>
      </c>
    </row>
    <row r="430" spans="1:24">
      <c r="A430" s="2" t="s">
        <v>55</v>
      </c>
      <c r="B430" s="4">
        <v>100</v>
      </c>
      <c r="C430" s="4">
        <v>900</v>
      </c>
      <c r="D430" s="4">
        <v>6.6970000000000001</v>
      </c>
      <c r="E430" s="4">
        <v>19.7</v>
      </c>
      <c r="F430" s="4">
        <v>193</v>
      </c>
      <c r="G430" s="16" t="s">
        <v>97</v>
      </c>
      <c r="H430" s="4">
        <v>0.20699999999999999</v>
      </c>
      <c r="I430" s="4">
        <v>24.4</v>
      </c>
      <c r="J430" s="4">
        <v>630</v>
      </c>
      <c r="K430" s="4">
        <v>1587</v>
      </c>
      <c r="L430" s="4">
        <v>0.7</v>
      </c>
      <c r="M430" s="4">
        <v>141</v>
      </c>
      <c r="N430" s="5">
        <v>45.7</v>
      </c>
      <c r="Q430" s="1">
        <f t="shared" si="19"/>
        <v>28.490028490028489</v>
      </c>
      <c r="R430" t="str" cm="1">
        <f t="array" ref="R430">_xlfn.IFS(Q430&lt;42.7, "low",
Q430&lt;85.4,"medium low",
Q430&lt;128,"medium high",
Q430&gt;=128,"high"
)</f>
        <v>low</v>
      </c>
      <c r="S430" t="str" cm="1">
        <f t="array" ref="S430">_xlfn.IFS(J430&lt;700,"low",J430&lt;1600,"medium low",J430&lt;2200,"medium high",J430&gt;=2200,"high")</f>
        <v>low</v>
      </c>
      <c r="T430" t="str" cm="1">
        <f t="array" ref="T430">_xlfn.IFS(
J430&lt;630,"Low",
J430&lt;1287,"Medium",
J430&lt;1495,"Intermediate",
J430&lt;1668,"Moderately",
J430&lt;1843,"Transition",
J430&lt;2477,"High",
J430&lt;2996,"Refractory I",
TRUE,"Refractory II"
)</f>
        <v>Medium</v>
      </c>
      <c r="U430">
        <f t="shared" si="20"/>
        <v>0.32411347517730499</v>
      </c>
      <c r="V430" t="str" cm="1">
        <f t="array" ref="V430">_xlfn.IFS(U430&lt;0.25,"shallow condution",
U430&lt;0.5,"transition",
U430&lt;1,"conduction",
U430&lt;1.5,"transition",U430&lt;3,"keyholeⅠ",3&lt;=U430,"keyhole Ⅱ"
)</f>
        <v>transition</v>
      </c>
      <c r="X430">
        <f t="shared" si="21"/>
        <v>3.0853391684901528</v>
      </c>
    </row>
    <row r="431" spans="1:24">
      <c r="A431" s="2" t="s">
        <v>55</v>
      </c>
      <c r="B431" s="4">
        <v>150</v>
      </c>
      <c r="C431" s="4">
        <v>900</v>
      </c>
      <c r="D431" s="4">
        <v>6.6970000000000001</v>
      </c>
      <c r="E431" s="4">
        <v>19.7</v>
      </c>
      <c r="F431" s="4">
        <v>193</v>
      </c>
      <c r="G431" s="16" t="s">
        <v>97</v>
      </c>
      <c r="H431" s="4">
        <v>0.20699999999999999</v>
      </c>
      <c r="I431" s="4">
        <v>24.4</v>
      </c>
      <c r="J431" s="4">
        <v>630</v>
      </c>
      <c r="K431" s="4">
        <v>1587</v>
      </c>
      <c r="L431" s="4">
        <v>0.7</v>
      </c>
      <c r="M431" s="4">
        <v>137</v>
      </c>
      <c r="N431" s="5">
        <v>50.8</v>
      </c>
      <c r="Q431" s="1">
        <f t="shared" si="19"/>
        <v>42.735042735042732</v>
      </c>
      <c r="R431" t="str" cm="1">
        <f t="array" ref="R431">_xlfn.IFS(Q431&lt;42.7, "low",
Q431&lt;85.4,"medium low",
Q431&lt;128,"medium high",
Q431&gt;=128,"high"
)</f>
        <v>medium low</v>
      </c>
      <c r="S431" t="str" cm="1">
        <f t="array" ref="S431">_xlfn.IFS(J431&lt;700,"low",J431&lt;1600,"medium low",J431&lt;2200,"medium high",J431&gt;=2200,"high")</f>
        <v>low</v>
      </c>
      <c r="T431" t="str" cm="1">
        <f t="array" ref="T431">_xlfn.IFS(
J431&lt;630,"Low",
J431&lt;1287,"Medium",
J431&lt;1495,"Intermediate",
J431&lt;1668,"Moderately",
J431&lt;1843,"Transition",
J431&lt;2477,"High",
J431&lt;2996,"Refractory I",
TRUE,"Refractory II"
)</f>
        <v>Medium</v>
      </c>
      <c r="U431">
        <f t="shared" si="20"/>
        <v>0.3708029197080292</v>
      </c>
      <c r="V431" t="str" cm="1">
        <f t="array" ref="V431">_xlfn.IFS(U431&lt;0.25,"shallow condution",
U431&lt;0.5,"transition",
U431&lt;1,"conduction",
U431&lt;1.5,"transition",U431&lt;3,"keyholeⅠ",3&lt;=U431,"keyhole Ⅱ"
)</f>
        <v>transition</v>
      </c>
      <c r="X431">
        <f t="shared" si="21"/>
        <v>2.6968503937007875</v>
      </c>
    </row>
    <row r="432" spans="1:24">
      <c r="A432" s="2" t="s">
        <v>55</v>
      </c>
      <c r="B432" s="4">
        <v>200</v>
      </c>
      <c r="C432" s="4">
        <v>900</v>
      </c>
      <c r="D432" s="4">
        <v>6.6970000000000001</v>
      </c>
      <c r="E432" s="4">
        <v>19.7</v>
      </c>
      <c r="F432" s="4">
        <v>193</v>
      </c>
      <c r="G432" s="16" t="s">
        <v>97</v>
      </c>
      <c r="H432" s="4">
        <v>0.20699999999999999</v>
      </c>
      <c r="I432" s="4">
        <v>24.4</v>
      </c>
      <c r="J432" s="4">
        <v>630</v>
      </c>
      <c r="K432" s="4">
        <v>1587</v>
      </c>
      <c r="L432" s="4">
        <v>0.7</v>
      </c>
      <c r="M432" s="4">
        <v>145.88999999999999</v>
      </c>
      <c r="N432" s="5">
        <v>53.27</v>
      </c>
      <c r="Q432" s="1">
        <f t="shared" si="19"/>
        <v>56.980056980056979</v>
      </c>
      <c r="R432" t="str" cm="1">
        <f t="array" ref="R432">_xlfn.IFS(Q432&lt;42.7, "low",
Q432&lt;85.4,"medium low",
Q432&lt;128,"medium high",
Q432&gt;=128,"high"
)</f>
        <v>medium low</v>
      </c>
      <c r="S432" t="str" cm="1">
        <f t="array" ref="S432">_xlfn.IFS(J432&lt;700,"low",J432&lt;1600,"medium low",J432&lt;2200,"medium high",J432&gt;=2200,"high")</f>
        <v>low</v>
      </c>
      <c r="T432" t="str" cm="1">
        <f t="array" ref="T432">_xlfn.IFS(
J432&lt;630,"Low",
J432&lt;1287,"Medium",
J432&lt;1495,"Intermediate",
J432&lt;1668,"Moderately",
J432&lt;1843,"Transition",
J432&lt;2477,"High",
J432&lt;2996,"Refractory I",
TRUE,"Refractory II"
)</f>
        <v>Medium</v>
      </c>
      <c r="U432">
        <f t="shared" si="20"/>
        <v>0.36513811775995619</v>
      </c>
      <c r="V432" t="str" cm="1">
        <f t="array" ref="V432">_xlfn.IFS(U432&lt;0.25,"shallow condution",
U432&lt;0.5,"transition",
U432&lt;1,"conduction",
U432&lt;1.5,"transition",U432&lt;3,"keyholeⅠ",3&lt;=U432,"keyhole Ⅱ"
)</f>
        <v>transition</v>
      </c>
      <c r="X432">
        <f t="shared" si="21"/>
        <v>2.7386896940116383</v>
      </c>
    </row>
    <row r="433" spans="1:24">
      <c r="A433" s="2" t="s">
        <v>55</v>
      </c>
      <c r="B433" s="4">
        <v>250</v>
      </c>
      <c r="C433" s="4">
        <v>900</v>
      </c>
      <c r="D433" s="4">
        <v>6.6970000000000001</v>
      </c>
      <c r="E433" s="4">
        <v>19.7</v>
      </c>
      <c r="F433" s="4">
        <v>193</v>
      </c>
      <c r="G433" s="16" t="s">
        <v>97</v>
      </c>
      <c r="H433" s="4">
        <v>0.20699999999999999</v>
      </c>
      <c r="I433" s="4">
        <v>24.4</v>
      </c>
      <c r="J433" s="4">
        <v>630</v>
      </c>
      <c r="K433" s="4">
        <v>1587</v>
      </c>
      <c r="L433" s="4">
        <v>0.7</v>
      </c>
      <c r="M433" s="4">
        <v>165.35</v>
      </c>
      <c r="N433" s="5">
        <v>57.98</v>
      </c>
      <c r="Q433" s="1">
        <f t="shared" si="19"/>
        <v>71.225071225071218</v>
      </c>
      <c r="R433" t="str" cm="1">
        <f t="array" ref="R433">_xlfn.IFS(Q433&lt;42.7, "low",
Q433&lt;85.4,"medium low",
Q433&lt;128,"medium high",
Q433&gt;=128,"high"
)</f>
        <v>medium low</v>
      </c>
      <c r="S433" t="str" cm="1">
        <f t="array" ref="S433">_xlfn.IFS(J433&lt;700,"low",J433&lt;1600,"medium low",J433&lt;2200,"medium high",J433&gt;=2200,"high")</f>
        <v>low</v>
      </c>
      <c r="T433" t="str" cm="1">
        <f t="array" ref="T433">_xlfn.IFS(
J433&lt;630,"Low",
J433&lt;1287,"Medium",
J433&lt;1495,"Intermediate",
J433&lt;1668,"Moderately",
J433&lt;1843,"Transition",
J433&lt;2477,"High",
J433&lt;2996,"Refractory I",
TRUE,"Refractory II"
)</f>
        <v>Medium</v>
      </c>
      <c r="U433">
        <f t="shared" si="20"/>
        <v>0.35065013607499246</v>
      </c>
      <c r="V433" t="str" cm="1">
        <f t="array" ref="V433">_xlfn.IFS(U433&lt;0.25,"shallow condution",
U433&lt;0.5,"transition",
U433&lt;1,"conduction",
U433&lt;1.5,"transition",U433&lt;3,"keyholeⅠ",3&lt;=U433,"keyhole Ⅱ"
)</f>
        <v>transition</v>
      </c>
      <c r="X433">
        <f t="shared" si="21"/>
        <v>2.8518454639530875</v>
      </c>
    </row>
    <row r="434" spans="1:24" ht="14.45" thickBot="1">
      <c r="A434" s="3" t="s">
        <v>55</v>
      </c>
      <c r="B434" s="7">
        <v>300</v>
      </c>
      <c r="C434" s="7">
        <v>900</v>
      </c>
      <c r="D434" s="7">
        <v>6.6970000000000001</v>
      </c>
      <c r="E434" s="7">
        <v>19.7</v>
      </c>
      <c r="F434" s="7">
        <v>193</v>
      </c>
      <c r="G434" s="16" t="s">
        <v>97</v>
      </c>
      <c r="H434" s="7">
        <v>0.20699999999999999</v>
      </c>
      <c r="I434" s="7">
        <v>24.4</v>
      </c>
      <c r="J434" s="7">
        <v>630</v>
      </c>
      <c r="K434" s="7">
        <v>1587</v>
      </c>
      <c r="L434" s="7">
        <v>0.7</v>
      </c>
      <c r="M434" s="7">
        <v>176.21</v>
      </c>
      <c r="N434" s="15">
        <v>63.92</v>
      </c>
      <c r="Q434" s="1">
        <f t="shared" si="19"/>
        <v>85.470085470085465</v>
      </c>
      <c r="R434" t="str" cm="1">
        <f t="array" ref="R434">_xlfn.IFS(Q434&lt;42.7, "low",
Q434&lt;85.4,"medium low",
Q434&lt;128,"medium high",
Q434&gt;=128,"high"
)</f>
        <v>medium high</v>
      </c>
      <c r="S434" t="str" cm="1">
        <f t="array" ref="S434">_xlfn.IFS(J434&lt;700,"low",J434&lt;1600,"medium low",J434&lt;2200,"medium high",J434&gt;=2200,"high")</f>
        <v>low</v>
      </c>
      <c r="T434" t="str" cm="1">
        <f t="array" ref="T434">_xlfn.IFS(
J434&lt;630,"Low",
J434&lt;1287,"Medium",
J434&lt;1495,"Intermediate",
J434&lt;1668,"Moderately",
J434&lt;1843,"Transition",
J434&lt;2477,"High",
J434&lt;2996,"Refractory I",
TRUE,"Refractory II"
)</f>
        <v>Medium</v>
      </c>
      <c r="U434">
        <f t="shared" si="20"/>
        <v>0.36274899267918959</v>
      </c>
      <c r="V434" t="str" cm="1">
        <f t="array" ref="V434">_xlfn.IFS(U434&lt;0.25,"shallow condution",
U434&lt;0.5,"transition",
U434&lt;1,"conduction",
U434&lt;1.5,"transition",U434&lt;3,"keyholeⅠ",3&lt;=U434,"keyhole Ⅱ"
)</f>
        <v>transition</v>
      </c>
      <c r="X434">
        <f t="shared" si="21"/>
        <v>2.7567271589486859</v>
      </c>
    </row>
    <row r="435" spans="1:24">
      <c r="A435" s="19" t="s">
        <v>56</v>
      </c>
      <c r="B435" s="16">
        <v>200</v>
      </c>
      <c r="C435" s="16">
        <v>200</v>
      </c>
      <c r="D435" s="16">
        <v>11.34</v>
      </c>
      <c r="E435" s="16">
        <v>4.7699999999999996</v>
      </c>
      <c r="F435" s="16">
        <v>179.5</v>
      </c>
      <c r="G435" s="16" t="s">
        <v>98</v>
      </c>
      <c r="H435" s="16">
        <v>0.129</v>
      </c>
      <c r="I435" s="16">
        <v>35.299999999999997</v>
      </c>
      <c r="J435" s="16">
        <v>327</v>
      </c>
      <c r="K435" s="16">
        <v>1749</v>
      </c>
      <c r="L435" s="16">
        <v>0.7</v>
      </c>
      <c r="M435" s="16">
        <v>607</v>
      </c>
      <c r="N435" s="17">
        <v>688</v>
      </c>
      <c r="Q435" s="1">
        <f t="shared" si="19"/>
        <v>256.41025641025641</v>
      </c>
      <c r="R435" t="str" cm="1">
        <f t="array" ref="R435">_xlfn.IFS(Q435&lt;42.7, "low",
Q435&lt;85.4,"medium low",
Q435&lt;128,"medium high",
Q435&gt;=128,"high"
)</f>
        <v>high</v>
      </c>
      <c r="S435" t="str" cm="1">
        <f t="array" ref="S435">_xlfn.IFS(J435&lt;700,"low",J435&lt;1600,"medium low",J435&lt;2200,"medium high",J435&gt;=2200,"high")</f>
        <v>low</v>
      </c>
      <c r="T435" t="str" cm="1">
        <f t="array" ref="T435">_xlfn.IFS(
J435&lt;630,"Low",
J435&lt;1287,"Medium",
J435&lt;1495,"Intermediate",
J435&lt;1668,"Moderately",
J435&lt;1843,"Transition",
J435&lt;2477,"High",
J435&lt;2996,"Refractory I",
TRUE,"Refractory II"
)</f>
        <v>Low</v>
      </c>
      <c r="U435">
        <f t="shared" si="20"/>
        <v>1.1334431630971993</v>
      </c>
      <c r="V435" t="str" cm="1">
        <f t="array" ref="V435">_xlfn.IFS(U435&lt;0.25,"shallow condution",
U435&lt;0.5,"transition",
U435&lt;1,"conduction",
U435&lt;1.5,"transition",U435&lt;3,"keyholeⅠ",3&lt;=U435,"keyhole Ⅱ"
)</f>
        <v>transition</v>
      </c>
      <c r="X435">
        <f t="shared" si="21"/>
        <v>0.88226744186046513</v>
      </c>
    </row>
    <row r="436" spans="1:24">
      <c r="A436" s="2" t="s">
        <v>56</v>
      </c>
      <c r="B436" s="4">
        <v>200</v>
      </c>
      <c r="C436" s="4">
        <v>400</v>
      </c>
      <c r="D436" s="4">
        <v>11.34</v>
      </c>
      <c r="E436" s="4">
        <v>4.7699999999999996</v>
      </c>
      <c r="F436" s="4">
        <v>179.5</v>
      </c>
      <c r="G436" s="16" t="s">
        <v>98</v>
      </c>
      <c r="H436" s="4">
        <v>0.129</v>
      </c>
      <c r="I436" s="4">
        <v>35.299999999999997</v>
      </c>
      <c r="J436" s="4">
        <v>327</v>
      </c>
      <c r="K436" s="4">
        <v>1749</v>
      </c>
      <c r="L436" s="4">
        <v>0.7</v>
      </c>
      <c r="M436" s="4">
        <v>397</v>
      </c>
      <c r="N436" s="5">
        <v>494</v>
      </c>
      <c r="Q436" s="1">
        <f t="shared" si="19"/>
        <v>128.2051282051282</v>
      </c>
      <c r="R436" t="str" cm="1">
        <f t="array" ref="R436">_xlfn.IFS(Q436&lt;42.7, "low",
Q436&lt;85.4,"medium low",
Q436&lt;128,"medium high",
Q436&gt;=128,"high"
)</f>
        <v>high</v>
      </c>
      <c r="S436" t="str" cm="1">
        <f t="array" ref="S436">_xlfn.IFS(J436&lt;700,"low",J436&lt;1600,"medium low",J436&lt;2200,"medium high",J436&gt;=2200,"high")</f>
        <v>low</v>
      </c>
      <c r="T436" t="str" cm="1">
        <f t="array" ref="T436">_xlfn.IFS(
J436&lt;630,"Low",
J436&lt;1287,"Medium",
J436&lt;1495,"Intermediate",
J436&lt;1668,"Moderately",
J436&lt;1843,"Transition",
J436&lt;2477,"High",
J436&lt;2996,"Refractory I",
TRUE,"Refractory II"
)</f>
        <v>Low</v>
      </c>
      <c r="U436">
        <f t="shared" si="20"/>
        <v>1.2443324937027709</v>
      </c>
      <c r="V436" t="str" cm="1">
        <f t="array" ref="V436">_xlfn.IFS(U436&lt;0.25,"shallow condution",
U436&lt;0.5,"transition",
U436&lt;1,"conduction",
U436&lt;1.5,"transition",U436&lt;3,"keyholeⅠ",3&lt;=U436,"keyhole Ⅱ"
)</f>
        <v>transition</v>
      </c>
      <c r="X436">
        <f t="shared" si="21"/>
        <v>0.80364372469635625</v>
      </c>
    </row>
    <row r="437" spans="1:24">
      <c r="A437" s="2" t="s">
        <v>56</v>
      </c>
      <c r="B437" s="4">
        <v>200</v>
      </c>
      <c r="C437" s="4">
        <v>600</v>
      </c>
      <c r="D437" s="4">
        <v>11.34</v>
      </c>
      <c r="E437" s="4">
        <v>4.7699999999999996</v>
      </c>
      <c r="F437" s="4">
        <v>179.5</v>
      </c>
      <c r="G437" s="16" t="s">
        <v>98</v>
      </c>
      <c r="H437" s="4">
        <v>0.129</v>
      </c>
      <c r="I437" s="4">
        <v>35.299999999999997</v>
      </c>
      <c r="J437" s="4">
        <v>327</v>
      </c>
      <c r="K437" s="4">
        <v>1749</v>
      </c>
      <c r="L437" s="4">
        <v>0.7</v>
      </c>
      <c r="M437" s="4">
        <v>424</v>
      </c>
      <c r="N437" s="5">
        <v>417</v>
      </c>
      <c r="Q437" s="1">
        <f t="shared" si="19"/>
        <v>85.470085470085465</v>
      </c>
      <c r="R437" t="str" cm="1">
        <f t="array" ref="R437">_xlfn.IFS(Q437&lt;42.7, "low",
Q437&lt;85.4,"medium low",
Q437&lt;128,"medium high",
Q437&gt;=128,"high"
)</f>
        <v>medium high</v>
      </c>
      <c r="S437" t="str" cm="1">
        <f t="array" ref="S437">_xlfn.IFS(J437&lt;700,"low",J437&lt;1600,"medium low",J437&lt;2200,"medium high",J437&gt;=2200,"high")</f>
        <v>low</v>
      </c>
      <c r="T437" t="str" cm="1">
        <f t="array" ref="T437">_xlfn.IFS(
J437&lt;630,"Low",
J437&lt;1287,"Medium",
J437&lt;1495,"Intermediate",
J437&lt;1668,"Moderately",
J437&lt;1843,"Transition",
J437&lt;2477,"High",
J437&lt;2996,"Refractory I",
TRUE,"Refractory II"
)</f>
        <v>Low</v>
      </c>
      <c r="U437">
        <f t="shared" si="20"/>
        <v>0.98349056603773588</v>
      </c>
      <c r="V437" t="str" cm="1">
        <f t="array" ref="V437">_xlfn.IFS(U437&lt;0.25,"shallow condution",
U437&lt;0.5,"transition",
U437&lt;1,"conduction",
U437&lt;1.5,"transition",U437&lt;3,"keyholeⅠ",3&lt;=U437,"keyhole Ⅱ"
)</f>
        <v>conduction</v>
      </c>
      <c r="X437">
        <f t="shared" si="21"/>
        <v>1.0167865707434052</v>
      </c>
    </row>
    <row r="438" spans="1:24">
      <c r="A438" s="2" t="s">
        <v>56</v>
      </c>
      <c r="B438" s="4">
        <v>200</v>
      </c>
      <c r="C438" s="4">
        <v>800</v>
      </c>
      <c r="D438" s="4">
        <v>11.34</v>
      </c>
      <c r="E438" s="4">
        <v>4.7699999999999996</v>
      </c>
      <c r="F438" s="4">
        <v>179.5</v>
      </c>
      <c r="G438" s="16" t="s">
        <v>98</v>
      </c>
      <c r="H438" s="4">
        <v>0.129</v>
      </c>
      <c r="I438" s="4">
        <v>35.299999999999997</v>
      </c>
      <c r="J438" s="4">
        <v>327</v>
      </c>
      <c r="K438" s="4">
        <v>1749</v>
      </c>
      <c r="L438" s="4">
        <v>0.7</v>
      </c>
      <c r="M438" s="4">
        <v>405</v>
      </c>
      <c r="N438" s="5">
        <v>375</v>
      </c>
      <c r="Q438" s="1">
        <f t="shared" si="19"/>
        <v>64.102564102564102</v>
      </c>
      <c r="R438" t="str" cm="1">
        <f t="array" ref="R438">_xlfn.IFS(Q438&lt;42.7, "low",
Q438&lt;85.4,"medium low",
Q438&lt;128,"medium high",
Q438&gt;=128,"high"
)</f>
        <v>medium low</v>
      </c>
      <c r="S438" t="str" cm="1">
        <f t="array" ref="S438">_xlfn.IFS(J438&lt;700,"low",J438&lt;1600,"medium low",J438&lt;2200,"medium high",J438&gt;=2200,"high")</f>
        <v>low</v>
      </c>
      <c r="T438" t="str" cm="1">
        <f t="array" ref="T438">_xlfn.IFS(
J438&lt;630,"Low",
J438&lt;1287,"Medium",
J438&lt;1495,"Intermediate",
J438&lt;1668,"Moderately",
J438&lt;1843,"Transition",
J438&lt;2477,"High",
J438&lt;2996,"Refractory I",
TRUE,"Refractory II"
)</f>
        <v>Low</v>
      </c>
      <c r="U438">
        <f t="shared" si="20"/>
        <v>0.92592592592592593</v>
      </c>
      <c r="V438" t="str" cm="1">
        <f t="array" ref="V438">_xlfn.IFS(U438&lt;0.25,"shallow condution",
U438&lt;0.5,"transition",
U438&lt;1,"conduction",
U438&lt;1.5,"transition",U438&lt;3,"keyholeⅠ",3&lt;=U438,"keyhole Ⅱ"
)</f>
        <v>conduction</v>
      </c>
      <c r="X438">
        <f t="shared" si="21"/>
        <v>1.08</v>
      </c>
    </row>
    <row r="439" spans="1:24">
      <c r="A439" s="2" t="s">
        <v>56</v>
      </c>
      <c r="B439" s="4">
        <v>200</v>
      </c>
      <c r="C439" s="4">
        <v>1200</v>
      </c>
      <c r="D439" s="4">
        <v>11.34</v>
      </c>
      <c r="E439" s="4">
        <v>4.7699999999999996</v>
      </c>
      <c r="F439" s="4">
        <v>179.5</v>
      </c>
      <c r="G439" s="16" t="s">
        <v>98</v>
      </c>
      <c r="H439" s="4">
        <v>0.129</v>
      </c>
      <c r="I439" s="4">
        <v>35.299999999999997</v>
      </c>
      <c r="J439" s="4">
        <v>327</v>
      </c>
      <c r="K439" s="4">
        <v>1749</v>
      </c>
      <c r="L439" s="4">
        <v>0.7</v>
      </c>
      <c r="M439" s="4">
        <v>365</v>
      </c>
      <c r="N439" s="5">
        <v>308</v>
      </c>
      <c r="Q439" s="1">
        <f t="shared" si="19"/>
        <v>42.735042735042732</v>
      </c>
      <c r="R439" t="str" cm="1">
        <f t="array" ref="R439">_xlfn.IFS(Q439&lt;42.7, "low",
Q439&lt;85.4,"medium low",
Q439&lt;128,"medium high",
Q439&gt;=128,"high"
)</f>
        <v>medium low</v>
      </c>
      <c r="S439" t="str" cm="1">
        <f t="array" ref="S439">_xlfn.IFS(J439&lt;700,"low",J439&lt;1600,"medium low",J439&lt;2200,"medium high",J439&gt;=2200,"high")</f>
        <v>low</v>
      </c>
      <c r="T439" t="str" cm="1">
        <f t="array" ref="T439">_xlfn.IFS(
J439&lt;630,"Low",
J439&lt;1287,"Medium",
J439&lt;1495,"Intermediate",
J439&lt;1668,"Moderately",
J439&lt;1843,"Transition",
J439&lt;2477,"High",
J439&lt;2996,"Refractory I",
TRUE,"Refractory II"
)</f>
        <v>Low</v>
      </c>
      <c r="U439">
        <f t="shared" si="20"/>
        <v>0.84383561643835614</v>
      </c>
      <c r="V439" t="str" cm="1">
        <f t="array" ref="V439">_xlfn.IFS(U439&lt;0.25,"shallow condution",
U439&lt;0.5,"transition",
U439&lt;1,"conduction",
U439&lt;1.5,"transition",U439&lt;3,"keyholeⅠ",3&lt;=U439,"keyhole Ⅱ"
)</f>
        <v>conduction</v>
      </c>
      <c r="X439">
        <f t="shared" si="21"/>
        <v>1.1850649350649352</v>
      </c>
    </row>
    <row r="440" spans="1:24">
      <c r="A440" s="2" t="s">
        <v>56</v>
      </c>
      <c r="B440" s="4">
        <v>200</v>
      </c>
      <c r="C440" s="4">
        <v>1600</v>
      </c>
      <c r="D440" s="4">
        <v>11.34</v>
      </c>
      <c r="E440" s="4">
        <v>4.7699999999999996</v>
      </c>
      <c r="F440" s="4">
        <v>179.5</v>
      </c>
      <c r="G440" s="16" t="s">
        <v>98</v>
      </c>
      <c r="H440" s="4">
        <v>0.129</v>
      </c>
      <c r="I440" s="4">
        <v>35.299999999999997</v>
      </c>
      <c r="J440" s="4">
        <v>327</v>
      </c>
      <c r="K440" s="4">
        <v>1749</v>
      </c>
      <c r="L440" s="4">
        <v>0.7</v>
      </c>
      <c r="M440" s="4">
        <v>318</v>
      </c>
      <c r="N440" s="5">
        <v>280</v>
      </c>
      <c r="Q440" s="1">
        <f t="shared" si="19"/>
        <v>32.051282051282051</v>
      </c>
      <c r="R440" t="str" cm="1">
        <f t="array" ref="R440">_xlfn.IFS(Q440&lt;42.7, "low",
Q440&lt;85.4,"medium low",
Q440&lt;128,"medium high",
Q440&gt;=128,"high"
)</f>
        <v>low</v>
      </c>
      <c r="S440" t="str" cm="1">
        <f t="array" ref="S440">_xlfn.IFS(J440&lt;700,"low",J440&lt;1600,"medium low",J440&lt;2200,"medium high",J440&gt;=2200,"high")</f>
        <v>low</v>
      </c>
      <c r="T440" t="str" cm="1">
        <f t="array" ref="T440">_xlfn.IFS(
J440&lt;630,"Low",
J440&lt;1287,"Medium",
J440&lt;1495,"Intermediate",
J440&lt;1668,"Moderately",
J440&lt;1843,"Transition",
J440&lt;2477,"High",
J440&lt;2996,"Refractory I",
TRUE,"Refractory II"
)</f>
        <v>Low</v>
      </c>
      <c r="U440">
        <f t="shared" si="20"/>
        <v>0.88050314465408808</v>
      </c>
      <c r="V440" t="str" cm="1">
        <f t="array" ref="V440">_xlfn.IFS(U440&lt;0.25,"shallow condution",
U440&lt;0.5,"transition",
U440&lt;1,"conduction",
U440&lt;1.5,"transition",U440&lt;3,"keyholeⅠ",3&lt;=U440,"keyhole Ⅱ"
)</f>
        <v>conduction</v>
      </c>
      <c r="X440">
        <f t="shared" si="21"/>
        <v>1.1357142857142857</v>
      </c>
    </row>
    <row r="441" spans="1:24">
      <c r="A441" s="2" t="s">
        <v>56</v>
      </c>
      <c r="B441" s="4">
        <v>200</v>
      </c>
      <c r="C441" s="4">
        <v>2000</v>
      </c>
      <c r="D441" s="4">
        <v>11.34</v>
      </c>
      <c r="E441" s="4">
        <v>4.7699999999999996</v>
      </c>
      <c r="F441" s="4">
        <v>179.5</v>
      </c>
      <c r="G441" s="16" t="s">
        <v>98</v>
      </c>
      <c r="H441" s="4">
        <v>0.129</v>
      </c>
      <c r="I441" s="4">
        <v>35.299999999999997</v>
      </c>
      <c r="J441" s="4">
        <v>327</v>
      </c>
      <c r="K441" s="4">
        <v>1749</v>
      </c>
      <c r="L441" s="4">
        <v>0.7</v>
      </c>
      <c r="M441" s="4">
        <v>276</v>
      </c>
      <c r="N441" s="5">
        <v>240</v>
      </c>
      <c r="Q441" s="1">
        <f t="shared" si="19"/>
        <v>25.641025641025642</v>
      </c>
      <c r="R441" t="str" cm="1">
        <f t="array" ref="R441">_xlfn.IFS(Q441&lt;42.7, "low",
Q441&lt;85.4,"medium low",
Q441&lt;128,"medium high",
Q441&gt;=128,"high"
)</f>
        <v>low</v>
      </c>
      <c r="S441" t="str" cm="1">
        <f t="array" ref="S441">_xlfn.IFS(J441&lt;700,"low",J441&lt;1600,"medium low",J441&lt;2200,"medium high",J441&gt;=2200,"high")</f>
        <v>low</v>
      </c>
      <c r="T441" t="str" cm="1">
        <f t="array" ref="T441">_xlfn.IFS(
J441&lt;630,"Low",
J441&lt;1287,"Medium",
J441&lt;1495,"Intermediate",
J441&lt;1668,"Moderately",
J441&lt;1843,"Transition",
J441&lt;2477,"High",
J441&lt;2996,"Refractory I",
TRUE,"Refractory II"
)</f>
        <v>Low</v>
      </c>
      <c r="U441">
        <f t="shared" si="20"/>
        <v>0.86956521739130432</v>
      </c>
      <c r="V441" t="str" cm="1">
        <f t="array" ref="V441">_xlfn.IFS(U441&lt;0.25,"shallow condution",
U441&lt;0.5,"transition",
U441&lt;1,"conduction",
U441&lt;1.5,"transition",U441&lt;3,"keyholeⅠ",3&lt;=U441,"keyhole Ⅱ"
)</f>
        <v>conduction</v>
      </c>
      <c r="X441">
        <f t="shared" si="21"/>
        <v>1.1499999999999999</v>
      </c>
    </row>
    <row r="442" spans="1:24">
      <c r="A442" s="2" t="s">
        <v>56</v>
      </c>
      <c r="B442" s="4">
        <v>200</v>
      </c>
      <c r="C442" s="4">
        <v>2400</v>
      </c>
      <c r="D442" s="4">
        <v>11.34</v>
      </c>
      <c r="E442" s="4">
        <v>4.7699999999999996</v>
      </c>
      <c r="F442" s="4">
        <v>179.5</v>
      </c>
      <c r="G442" s="16" t="s">
        <v>98</v>
      </c>
      <c r="H442" s="4">
        <v>0.129</v>
      </c>
      <c r="I442" s="4">
        <v>35.299999999999997</v>
      </c>
      <c r="J442" s="4">
        <v>327</v>
      </c>
      <c r="K442" s="4">
        <v>1749</v>
      </c>
      <c r="L442" s="4">
        <v>0.7</v>
      </c>
      <c r="M442" s="4">
        <v>184</v>
      </c>
      <c r="N442" s="5">
        <v>208</v>
      </c>
      <c r="Q442" s="1">
        <f t="shared" si="19"/>
        <v>21.367521367521366</v>
      </c>
      <c r="R442" t="str" cm="1">
        <f t="array" ref="R442">_xlfn.IFS(Q442&lt;42.7, "low",
Q442&lt;85.4,"medium low",
Q442&lt;128,"medium high",
Q442&gt;=128,"high"
)</f>
        <v>low</v>
      </c>
      <c r="S442" t="str" cm="1">
        <f t="array" ref="S442">_xlfn.IFS(J442&lt;700,"low",J442&lt;1600,"medium low",J442&lt;2200,"medium high",J442&gt;=2200,"high")</f>
        <v>low</v>
      </c>
      <c r="T442" t="str" cm="1">
        <f t="array" ref="T442">_xlfn.IFS(
J442&lt;630,"Low",
J442&lt;1287,"Medium",
J442&lt;1495,"Intermediate",
J442&lt;1668,"Moderately",
J442&lt;1843,"Transition",
J442&lt;2477,"High",
J442&lt;2996,"Refractory I",
TRUE,"Refractory II"
)</f>
        <v>Low</v>
      </c>
      <c r="U442">
        <f t="shared" si="20"/>
        <v>1.1304347826086956</v>
      </c>
      <c r="V442" t="str" cm="1">
        <f t="array" ref="V442">_xlfn.IFS(U442&lt;0.25,"shallow condution",
U442&lt;0.5,"transition",
U442&lt;1,"conduction",
U442&lt;1.5,"transition",U442&lt;3,"keyholeⅠ",3&lt;=U442,"keyhole Ⅱ"
)</f>
        <v>transition</v>
      </c>
      <c r="X442">
        <f t="shared" si="21"/>
        <v>0.88461538461538458</v>
      </c>
    </row>
    <row r="443" spans="1:24">
      <c r="A443" s="2" t="s">
        <v>56</v>
      </c>
      <c r="B443" s="4">
        <v>350</v>
      </c>
      <c r="C443" s="4">
        <v>400</v>
      </c>
      <c r="D443" s="4">
        <v>11.34</v>
      </c>
      <c r="E443" s="4">
        <v>4.7699999999999996</v>
      </c>
      <c r="F443" s="4">
        <v>179.5</v>
      </c>
      <c r="G443" s="16" t="s">
        <v>98</v>
      </c>
      <c r="H443" s="4">
        <v>0.129</v>
      </c>
      <c r="I443" s="4">
        <v>35.299999999999997</v>
      </c>
      <c r="J443" s="4">
        <v>327</v>
      </c>
      <c r="K443" s="4">
        <v>1749</v>
      </c>
      <c r="L443" s="4">
        <v>0.7</v>
      </c>
      <c r="M443" s="4">
        <v>566</v>
      </c>
      <c r="N443" s="5">
        <v>2085</v>
      </c>
      <c r="Q443" s="1">
        <f t="shared" si="19"/>
        <v>224.35897435897436</v>
      </c>
      <c r="R443" t="str" cm="1">
        <f t="array" ref="R443">_xlfn.IFS(Q443&lt;42.7, "low",
Q443&lt;85.4,"medium low",
Q443&lt;128,"medium high",
Q443&gt;=128,"high"
)</f>
        <v>high</v>
      </c>
      <c r="S443" t="str" cm="1">
        <f t="array" ref="S443">_xlfn.IFS(J443&lt;700,"low",J443&lt;1600,"medium low",J443&lt;2200,"medium high",J443&gt;=2200,"high")</f>
        <v>low</v>
      </c>
      <c r="T443" t="str" cm="1">
        <f t="array" ref="T443">_xlfn.IFS(
J443&lt;630,"Low",
J443&lt;1287,"Medium",
J443&lt;1495,"Intermediate",
J443&lt;1668,"Moderately",
J443&lt;1843,"Transition",
J443&lt;2477,"High",
J443&lt;2996,"Refractory I",
TRUE,"Refractory II"
)</f>
        <v>Low</v>
      </c>
      <c r="U443">
        <f t="shared" si="20"/>
        <v>3.6837455830388692</v>
      </c>
      <c r="V443" t="str" cm="1">
        <f t="array" ref="V443">_xlfn.IFS(U443&lt;0.25,"shallow condution",
U443&lt;0.5,"transition",
U443&lt;1,"conduction",
U443&lt;1.5,"transition",U443&lt;3,"keyholeⅠ",3&lt;=U443,"keyhole Ⅱ"
)</f>
        <v>keyhole Ⅱ</v>
      </c>
      <c r="X443">
        <f t="shared" si="21"/>
        <v>0.27146282973621105</v>
      </c>
    </row>
    <row r="444" spans="1:24">
      <c r="A444" s="2" t="s">
        <v>56</v>
      </c>
      <c r="B444" s="4">
        <v>350</v>
      </c>
      <c r="C444" s="4">
        <v>600</v>
      </c>
      <c r="D444" s="4">
        <v>11.34</v>
      </c>
      <c r="E444" s="4">
        <v>4.7699999999999996</v>
      </c>
      <c r="F444" s="4">
        <v>179.5</v>
      </c>
      <c r="G444" s="16" t="s">
        <v>98</v>
      </c>
      <c r="H444" s="4">
        <v>0.129</v>
      </c>
      <c r="I444" s="4">
        <v>35.299999999999997</v>
      </c>
      <c r="J444" s="4">
        <v>327</v>
      </c>
      <c r="K444" s="4">
        <v>1749</v>
      </c>
      <c r="L444" s="4">
        <v>0.7</v>
      </c>
      <c r="M444" s="4">
        <v>589</v>
      </c>
      <c r="N444" s="5">
        <v>1569</v>
      </c>
      <c r="Q444" s="1">
        <f t="shared" si="19"/>
        <v>149.57264957264957</v>
      </c>
      <c r="R444" t="str" cm="1">
        <f t="array" ref="R444">_xlfn.IFS(Q444&lt;42.7, "low",
Q444&lt;85.4,"medium low",
Q444&lt;128,"medium high",
Q444&gt;=128,"high"
)</f>
        <v>high</v>
      </c>
      <c r="S444" t="str" cm="1">
        <f t="array" ref="S444">_xlfn.IFS(J444&lt;700,"low",J444&lt;1600,"medium low",J444&lt;2200,"medium high",J444&gt;=2200,"high")</f>
        <v>low</v>
      </c>
      <c r="T444" t="str" cm="1">
        <f t="array" ref="T444">_xlfn.IFS(
J444&lt;630,"Low",
J444&lt;1287,"Medium",
J444&lt;1495,"Intermediate",
J444&lt;1668,"Moderately",
J444&lt;1843,"Transition",
J444&lt;2477,"High",
J444&lt;2996,"Refractory I",
TRUE,"Refractory II"
)</f>
        <v>Low</v>
      </c>
      <c r="U444">
        <f t="shared" si="20"/>
        <v>2.6638370118845502</v>
      </c>
      <c r="V444" t="str" cm="1">
        <f t="array" ref="V444">_xlfn.IFS(U444&lt;0.25,"shallow condution",
U444&lt;0.5,"transition",
U444&lt;1,"conduction",
U444&lt;1.5,"transition",U444&lt;3,"keyholeⅠ",3&lt;=U444,"keyhole Ⅱ"
)</f>
        <v>keyholeⅠ</v>
      </c>
      <c r="X444">
        <f t="shared" si="21"/>
        <v>0.37539834289356278</v>
      </c>
    </row>
    <row r="445" spans="1:24">
      <c r="A445" s="2" t="s">
        <v>56</v>
      </c>
      <c r="B445" s="4">
        <v>350</v>
      </c>
      <c r="C445" s="4">
        <v>800</v>
      </c>
      <c r="D445" s="4">
        <v>11.34</v>
      </c>
      <c r="E445" s="4">
        <v>4.7699999999999996</v>
      </c>
      <c r="F445" s="4">
        <v>179.5</v>
      </c>
      <c r="G445" s="16" t="s">
        <v>98</v>
      </c>
      <c r="H445" s="4">
        <v>0.129</v>
      </c>
      <c r="I445" s="4">
        <v>35.299999999999997</v>
      </c>
      <c r="J445" s="4">
        <v>327</v>
      </c>
      <c r="K445" s="4">
        <v>1749</v>
      </c>
      <c r="L445" s="4">
        <v>0.7</v>
      </c>
      <c r="M445" s="4">
        <v>555</v>
      </c>
      <c r="N445" s="5">
        <v>1236</v>
      </c>
      <c r="Q445" s="1">
        <f t="shared" si="19"/>
        <v>112.17948717948718</v>
      </c>
      <c r="R445" t="str" cm="1">
        <f t="array" ref="R445">_xlfn.IFS(Q445&lt;42.7, "low",
Q445&lt;85.4,"medium low",
Q445&lt;128,"medium high",
Q445&gt;=128,"high"
)</f>
        <v>medium high</v>
      </c>
      <c r="S445" t="str" cm="1">
        <f t="array" ref="S445">_xlfn.IFS(J445&lt;700,"low",J445&lt;1600,"medium low",J445&lt;2200,"medium high",J445&gt;=2200,"high")</f>
        <v>low</v>
      </c>
      <c r="T445" t="str" cm="1">
        <f t="array" ref="T445">_xlfn.IFS(
J445&lt;630,"Low",
J445&lt;1287,"Medium",
J445&lt;1495,"Intermediate",
J445&lt;1668,"Moderately",
J445&lt;1843,"Transition",
J445&lt;2477,"High",
J445&lt;2996,"Refractory I",
TRUE,"Refractory II"
)</f>
        <v>Low</v>
      </c>
      <c r="U445">
        <f t="shared" si="20"/>
        <v>2.2270270270270269</v>
      </c>
      <c r="V445" t="str" cm="1">
        <f t="array" ref="V445">_xlfn.IFS(U445&lt;0.25,"shallow condution",
U445&lt;0.5,"transition",
U445&lt;1,"conduction",
U445&lt;1.5,"transition",U445&lt;3,"keyholeⅠ",3&lt;=U445,"keyhole Ⅱ"
)</f>
        <v>keyholeⅠ</v>
      </c>
      <c r="X445">
        <f t="shared" si="21"/>
        <v>0.44902912621359226</v>
      </c>
    </row>
    <row r="446" spans="1:24">
      <c r="A446" s="2" t="s">
        <v>56</v>
      </c>
      <c r="B446" s="4">
        <v>350</v>
      </c>
      <c r="C446" s="4">
        <v>1000</v>
      </c>
      <c r="D446" s="4">
        <v>11.34</v>
      </c>
      <c r="E446" s="4">
        <v>4.7699999999999996</v>
      </c>
      <c r="F446" s="4">
        <v>179.5</v>
      </c>
      <c r="G446" s="16" t="s">
        <v>98</v>
      </c>
      <c r="H446" s="4">
        <v>0.129</v>
      </c>
      <c r="I446" s="4">
        <v>35.299999999999997</v>
      </c>
      <c r="J446" s="4">
        <v>327</v>
      </c>
      <c r="K446" s="4">
        <v>1749</v>
      </c>
      <c r="L446" s="4">
        <v>0.7</v>
      </c>
      <c r="M446" s="4">
        <v>572</v>
      </c>
      <c r="N446" s="5">
        <v>831</v>
      </c>
      <c r="Q446" s="1">
        <f t="shared" si="19"/>
        <v>89.743589743589737</v>
      </c>
      <c r="R446" t="str" cm="1">
        <f t="array" ref="R446">_xlfn.IFS(Q446&lt;42.7, "low",
Q446&lt;85.4,"medium low",
Q446&lt;128,"medium high",
Q446&gt;=128,"high"
)</f>
        <v>medium high</v>
      </c>
      <c r="S446" t="str" cm="1">
        <f t="array" ref="S446">_xlfn.IFS(J446&lt;700,"low",J446&lt;1600,"medium low",J446&lt;2200,"medium high",J446&gt;=2200,"high")</f>
        <v>low</v>
      </c>
      <c r="T446" t="str" cm="1">
        <f t="array" ref="T446">_xlfn.IFS(
J446&lt;630,"Low",
J446&lt;1287,"Medium",
J446&lt;1495,"Intermediate",
J446&lt;1668,"Moderately",
J446&lt;1843,"Transition",
J446&lt;2477,"High",
J446&lt;2996,"Refractory I",
TRUE,"Refractory II"
)</f>
        <v>Low</v>
      </c>
      <c r="U446">
        <f t="shared" si="20"/>
        <v>1.4527972027972027</v>
      </c>
      <c r="V446" t="str" cm="1">
        <f t="array" ref="V446">_xlfn.IFS(U446&lt;0.25,"shallow condution",
U446&lt;0.5,"transition",
U446&lt;1,"conduction",
U446&lt;1.5,"transition",U446&lt;3,"keyholeⅠ",3&lt;=U446,"keyhole Ⅱ"
)</f>
        <v>transition</v>
      </c>
      <c r="X446">
        <f t="shared" si="21"/>
        <v>0.6883273164861613</v>
      </c>
    </row>
    <row r="447" spans="1:24">
      <c r="A447" s="2" t="s">
        <v>56</v>
      </c>
      <c r="B447" s="4">
        <v>350</v>
      </c>
      <c r="C447" s="4">
        <v>1200</v>
      </c>
      <c r="D447" s="4">
        <v>11.34</v>
      </c>
      <c r="E447" s="4">
        <v>4.7699999999999996</v>
      </c>
      <c r="F447" s="4">
        <v>179.5</v>
      </c>
      <c r="G447" s="16" t="s">
        <v>98</v>
      </c>
      <c r="H447" s="4">
        <v>0.129</v>
      </c>
      <c r="I447" s="4">
        <v>35.299999999999997</v>
      </c>
      <c r="J447" s="4">
        <v>327</v>
      </c>
      <c r="K447" s="4">
        <v>1749</v>
      </c>
      <c r="L447" s="4">
        <v>0.7</v>
      </c>
      <c r="M447" s="4">
        <v>539</v>
      </c>
      <c r="N447" s="5">
        <v>644</v>
      </c>
      <c r="Q447" s="1">
        <f t="shared" si="19"/>
        <v>74.786324786324784</v>
      </c>
      <c r="R447" t="str" cm="1">
        <f t="array" ref="R447">_xlfn.IFS(Q447&lt;42.7, "low",
Q447&lt;85.4,"medium low",
Q447&lt;128,"medium high",
Q447&gt;=128,"high"
)</f>
        <v>medium low</v>
      </c>
      <c r="S447" t="str" cm="1">
        <f t="array" ref="S447">_xlfn.IFS(J447&lt;700,"low",J447&lt;1600,"medium low",J447&lt;2200,"medium high",J447&gt;=2200,"high")</f>
        <v>low</v>
      </c>
      <c r="T447" t="str" cm="1">
        <f t="array" ref="T447">_xlfn.IFS(
J447&lt;630,"Low",
J447&lt;1287,"Medium",
J447&lt;1495,"Intermediate",
J447&lt;1668,"Moderately",
J447&lt;1843,"Transition",
J447&lt;2477,"High",
J447&lt;2996,"Refractory I",
TRUE,"Refractory II"
)</f>
        <v>Low</v>
      </c>
      <c r="U447">
        <f t="shared" si="20"/>
        <v>1.1948051948051948</v>
      </c>
      <c r="V447" t="str" cm="1">
        <f t="array" ref="V447">_xlfn.IFS(U447&lt;0.25,"shallow condution",
U447&lt;0.5,"transition",
U447&lt;1,"conduction",
U447&lt;1.5,"transition",U447&lt;3,"keyholeⅠ",3&lt;=U447,"keyhole Ⅱ"
)</f>
        <v>transition</v>
      </c>
      <c r="X447">
        <f t="shared" si="21"/>
        <v>0.83695652173913049</v>
      </c>
    </row>
    <row r="448" spans="1:24">
      <c r="A448" s="2" t="s">
        <v>56</v>
      </c>
      <c r="B448" s="4">
        <v>350</v>
      </c>
      <c r="C448" s="4">
        <v>1600</v>
      </c>
      <c r="D448" s="4">
        <v>11.34</v>
      </c>
      <c r="E448" s="4">
        <v>4.7699999999999996</v>
      </c>
      <c r="F448" s="4">
        <v>179.5</v>
      </c>
      <c r="G448" s="16" t="s">
        <v>98</v>
      </c>
      <c r="H448" s="4">
        <v>0.129</v>
      </c>
      <c r="I448" s="4">
        <v>35.299999999999997</v>
      </c>
      <c r="J448" s="4">
        <v>327</v>
      </c>
      <c r="K448" s="4">
        <v>1749</v>
      </c>
      <c r="L448" s="4">
        <v>0.7</v>
      </c>
      <c r="M448" s="4">
        <v>347</v>
      </c>
      <c r="N448" s="5">
        <v>498</v>
      </c>
      <c r="Q448" s="1">
        <f t="shared" si="19"/>
        <v>56.089743589743591</v>
      </c>
      <c r="R448" t="str" cm="1">
        <f t="array" ref="R448">_xlfn.IFS(Q448&lt;42.7, "low",
Q448&lt;85.4,"medium low",
Q448&lt;128,"medium high",
Q448&gt;=128,"high"
)</f>
        <v>medium low</v>
      </c>
      <c r="S448" t="str" cm="1">
        <f t="array" ref="S448">_xlfn.IFS(J448&lt;700,"low",J448&lt;1600,"medium low",J448&lt;2200,"medium high",J448&gt;=2200,"high")</f>
        <v>low</v>
      </c>
      <c r="T448" t="str" cm="1">
        <f t="array" ref="T448">_xlfn.IFS(
J448&lt;630,"Low",
J448&lt;1287,"Medium",
J448&lt;1495,"Intermediate",
J448&lt;1668,"Moderately",
J448&lt;1843,"Transition",
J448&lt;2477,"High",
J448&lt;2996,"Refractory I",
TRUE,"Refractory II"
)</f>
        <v>Low</v>
      </c>
      <c r="U448">
        <f t="shared" si="20"/>
        <v>1.4351585014409223</v>
      </c>
      <c r="V448" t="str" cm="1">
        <f t="array" ref="V448">_xlfn.IFS(U448&lt;0.25,"shallow condution",
U448&lt;0.5,"transition",
U448&lt;1,"conduction",
U448&lt;1.5,"transition",U448&lt;3,"keyholeⅠ",3&lt;=U448,"keyhole Ⅱ"
)</f>
        <v>transition</v>
      </c>
      <c r="X448">
        <f t="shared" si="21"/>
        <v>0.69678714859437751</v>
      </c>
    </row>
    <row r="449" spans="1:24">
      <c r="A449" s="2" t="s">
        <v>56</v>
      </c>
      <c r="B449" s="4">
        <v>350</v>
      </c>
      <c r="C449" s="4">
        <v>2000</v>
      </c>
      <c r="D449" s="4">
        <v>11.34</v>
      </c>
      <c r="E449" s="4">
        <v>4.7699999999999996</v>
      </c>
      <c r="F449" s="4">
        <v>179.5</v>
      </c>
      <c r="G449" s="16" t="s">
        <v>98</v>
      </c>
      <c r="H449" s="4">
        <v>0.129</v>
      </c>
      <c r="I449" s="4">
        <v>35.299999999999997</v>
      </c>
      <c r="J449" s="4">
        <v>327</v>
      </c>
      <c r="K449" s="4">
        <v>1749</v>
      </c>
      <c r="L449" s="4">
        <v>0.7</v>
      </c>
      <c r="M449" s="4">
        <v>331</v>
      </c>
      <c r="N449" s="5">
        <v>415</v>
      </c>
      <c r="Q449" s="1">
        <f t="shared" si="19"/>
        <v>44.871794871794869</v>
      </c>
      <c r="R449" t="str" cm="1">
        <f t="array" ref="R449">_xlfn.IFS(Q449&lt;42.7, "low",
Q449&lt;85.4,"medium low",
Q449&lt;128,"medium high",
Q449&gt;=128,"high"
)</f>
        <v>medium low</v>
      </c>
      <c r="S449" t="str" cm="1">
        <f t="array" ref="S449">_xlfn.IFS(J449&lt;700,"low",J449&lt;1600,"medium low",J449&lt;2200,"medium high",J449&gt;=2200,"high")</f>
        <v>low</v>
      </c>
      <c r="T449" t="str" cm="1">
        <f t="array" ref="T449">_xlfn.IFS(
J449&lt;630,"Low",
J449&lt;1287,"Medium",
J449&lt;1495,"Intermediate",
J449&lt;1668,"Moderately",
J449&lt;1843,"Transition",
J449&lt;2477,"High",
J449&lt;2996,"Refractory I",
TRUE,"Refractory II"
)</f>
        <v>Low</v>
      </c>
      <c r="U449">
        <f t="shared" si="20"/>
        <v>1.2537764350453173</v>
      </c>
      <c r="V449" t="str" cm="1">
        <f t="array" ref="V449">_xlfn.IFS(U449&lt;0.25,"shallow condution",
U449&lt;0.5,"transition",
U449&lt;1,"conduction",
U449&lt;1.5,"transition",U449&lt;3,"keyholeⅠ",3&lt;=U449,"keyhole Ⅱ"
)</f>
        <v>transition</v>
      </c>
      <c r="X449">
        <f t="shared" si="21"/>
        <v>0.7975903614457831</v>
      </c>
    </row>
    <row r="450" spans="1:24">
      <c r="A450" s="2" t="s">
        <v>56</v>
      </c>
      <c r="B450" s="4">
        <v>350</v>
      </c>
      <c r="C450" s="4">
        <v>2400</v>
      </c>
      <c r="D450" s="4">
        <v>11.34</v>
      </c>
      <c r="E450" s="4">
        <v>4.7699999999999996</v>
      </c>
      <c r="F450" s="4">
        <v>179.5</v>
      </c>
      <c r="G450" s="16" t="s">
        <v>98</v>
      </c>
      <c r="H450" s="4">
        <v>0.129</v>
      </c>
      <c r="I450" s="4">
        <v>35.299999999999997</v>
      </c>
      <c r="J450" s="4">
        <v>327</v>
      </c>
      <c r="K450" s="4">
        <v>1749</v>
      </c>
      <c r="L450" s="4">
        <v>0.7</v>
      </c>
      <c r="M450" s="4">
        <v>254</v>
      </c>
      <c r="N450" s="5">
        <v>287</v>
      </c>
      <c r="Q450" s="1">
        <f t="shared" ref="Q450:Q509" si="22">B450*10^6/(C450*130*30)</f>
        <v>37.393162393162392</v>
      </c>
      <c r="R450" t="str" cm="1">
        <f t="array" ref="R450">_xlfn.IFS(Q450&lt;42.7, "low",
Q450&lt;85.4,"medium low",
Q450&lt;128,"medium high",
Q450&gt;=128,"high"
)</f>
        <v>low</v>
      </c>
      <c r="S450" t="str" cm="1">
        <f t="array" ref="S450">_xlfn.IFS(J450&lt;700,"low",J450&lt;1600,"medium low",J450&lt;2200,"medium high",J450&gt;=2200,"high")</f>
        <v>low</v>
      </c>
      <c r="T450" t="str" cm="1">
        <f t="array" ref="T450">_xlfn.IFS(
J450&lt;630,"Low",
J450&lt;1287,"Medium",
J450&lt;1495,"Intermediate",
J450&lt;1668,"Moderately",
J450&lt;1843,"Transition",
J450&lt;2477,"High",
J450&lt;2996,"Refractory I",
TRUE,"Refractory II"
)</f>
        <v>Low</v>
      </c>
      <c r="U450">
        <f t="shared" ref="U450:U509" si="23">N450/M450</f>
        <v>1.1299212598425197</v>
      </c>
      <c r="V450" t="str" cm="1">
        <f t="array" ref="V450">_xlfn.IFS(U450&lt;0.25,"shallow condution",
U450&lt;0.5,"transition",
U450&lt;1,"conduction",
U450&lt;1.5,"transition",U450&lt;3,"keyholeⅠ",3&lt;=U450,"keyhole Ⅱ"
)</f>
        <v>transition</v>
      </c>
      <c r="X450">
        <f t="shared" ref="X450:X481" si="24">M450/N450</f>
        <v>0.8850174216027874</v>
      </c>
    </row>
    <row r="451" spans="1:24">
      <c r="A451" s="2" t="s">
        <v>56</v>
      </c>
      <c r="B451" s="4">
        <v>100</v>
      </c>
      <c r="C451" s="4">
        <v>300</v>
      </c>
      <c r="D451" s="4">
        <v>11.34</v>
      </c>
      <c r="E451" s="4">
        <v>4.7699999999999996</v>
      </c>
      <c r="F451" s="4">
        <v>179.5</v>
      </c>
      <c r="G451" s="16" t="s">
        <v>98</v>
      </c>
      <c r="H451" s="4">
        <v>0.129</v>
      </c>
      <c r="I451" s="4">
        <v>35.299999999999997</v>
      </c>
      <c r="J451" s="4">
        <v>327</v>
      </c>
      <c r="K451" s="4">
        <v>1749</v>
      </c>
      <c r="L451" s="4">
        <v>0.7</v>
      </c>
      <c r="M451" s="4">
        <v>447</v>
      </c>
      <c r="N451" s="5">
        <v>274</v>
      </c>
      <c r="Q451" s="1">
        <f t="shared" si="22"/>
        <v>85.470085470085465</v>
      </c>
      <c r="R451" t="str" cm="1">
        <f t="array" ref="R451">_xlfn.IFS(Q451&lt;42.7, "low",
Q451&lt;85.4,"medium low",
Q451&lt;128,"medium high",
Q451&gt;=128,"high"
)</f>
        <v>medium high</v>
      </c>
      <c r="S451" t="str" cm="1">
        <f t="array" ref="S451">_xlfn.IFS(J451&lt;700,"low",J451&lt;1600,"medium low",J451&lt;2200,"medium high",J451&gt;=2200,"high")</f>
        <v>low</v>
      </c>
      <c r="T451" t="str" cm="1">
        <f t="array" ref="T451">_xlfn.IFS(
J451&lt;630,"Low",
J451&lt;1287,"Medium",
J451&lt;1495,"Intermediate",
J451&lt;1668,"Moderately",
J451&lt;1843,"Transition",
J451&lt;2477,"High",
J451&lt;2996,"Refractory I",
TRUE,"Refractory II"
)</f>
        <v>Low</v>
      </c>
      <c r="U451">
        <f t="shared" si="23"/>
        <v>0.61297539149888147</v>
      </c>
      <c r="V451" t="str" cm="1">
        <f t="array" ref="V451">_xlfn.IFS(U451&lt;0.25,"shallow condution",
U451&lt;0.5,"transition",
U451&lt;1,"conduction",
U451&lt;1.5,"transition",U451&lt;3,"keyholeⅠ",3&lt;=U451,"keyhole Ⅱ"
)</f>
        <v>conduction</v>
      </c>
      <c r="X451">
        <f t="shared" si="24"/>
        <v>1.6313868613138687</v>
      </c>
    </row>
    <row r="452" spans="1:24">
      <c r="A452" s="2" t="s">
        <v>56</v>
      </c>
      <c r="B452" s="4">
        <v>150</v>
      </c>
      <c r="C452" s="4">
        <v>300</v>
      </c>
      <c r="D452" s="4">
        <v>11.34</v>
      </c>
      <c r="E452" s="4">
        <v>4.7699999999999996</v>
      </c>
      <c r="F452" s="4">
        <v>179.5</v>
      </c>
      <c r="G452" s="16" t="s">
        <v>98</v>
      </c>
      <c r="H452" s="4">
        <v>0.129</v>
      </c>
      <c r="I452" s="4">
        <v>35.299999999999997</v>
      </c>
      <c r="J452" s="4">
        <v>327</v>
      </c>
      <c r="K452" s="4">
        <v>1749</v>
      </c>
      <c r="L452" s="4">
        <v>0.7</v>
      </c>
      <c r="M452" s="4">
        <v>476</v>
      </c>
      <c r="N452" s="5">
        <v>359</v>
      </c>
      <c r="Q452" s="1">
        <f t="shared" si="22"/>
        <v>128.2051282051282</v>
      </c>
      <c r="R452" t="str" cm="1">
        <f t="array" ref="R452">_xlfn.IFS(Q452&lt;42.7, "low",
Q452&lt;85.4,"medium low",
Q452&lt;128,"medium high",
Q452&gt;=128,"high"
)</f>
        <v>high</v>
      </c>
      <c r="S452" t="str" cm="1">
        <f t="array" ref="S452">_xlfn.IFS(J452&lt;700,"low",J452&lt;1600,"medium low",J452&lt;2200,"medium high",J452&gt;=2200,"high")</f>
        <v>low</v>
      </c>
      <c r="T452" t="str" cm="1">
        <f t="array" ref="T452">_xlfn.IFS(
J452&lt;630,"Low",
J452&lt;1287,"Medium",
J452&lt;1495,"Intermediate",
J452&lt;1668,"Moderately",
J452&lt;1843,"Transition",
J452&lt;2477,"High",
J452&lt;2996,"Refractory I",
TRUE,"Refractory II"
)</f>
        <v>Low</v>
      </c>
      <c r="U452">
        <f t="shared" si="23"/>
        <v>0.75420168067226889</v>
      </c>
      <c r="V452" t="str" cm="1">
        <f t="array" ref="V452">_xlfn.IFS(U452&lt;0.25,"shallow condution",
U452&lt;0.5,"transition",
U452&lt;1,"conduction",
U452&lt;1.5,"transition",U452&lt;3,"keyholeⅠ",3&lt;=U452,"keyhole Ⅱ"
)</f>
        <v>conduction</v>
      </c>
      <c r="X452">
        <f t="shared" si="24"/>
        <v>1.3259052924791086</v>
      </c>
    </row>
    <row r="453" spans="1:24">
      <c r="A453" s="2" t="s">
        <v>56</v>
      </c>
      <c r="B453" s="4">
        <v>200</v>
      </c>
      <c r="C453" s="4">
        <v>300</v>
      </c>
      <c r="D453" s="4">
        <v>11.34</v>
      </c>
      <c r="E453" s="4">
        <v>4.7699999999999996</v>
      </c>
      <c r="F453" s="4">
        <v>179.5</v>
      </c>
      <c r="G453" s="16" t="s">
        <v>98</v>
      </c>
      <c r="H453" s="4">
        <v>0.129</v>
      </c>
      <c r="I453" s="4">
        <v>35.299999999999997</v>
      </c>
      <c r="J453" s="4">
        <v>327</v>
      </c>
      <c r="K453" s="4">
        <v>1749</v>
      </c>
      <c r="L453" s="4">
        <v>0.7</v>
      </c>
      <c r="M453" s="4">
        <v>523.70000000000005</v>
      </c>
      <c r="N453" s="5">
        <v>400.2</v>
      </c>
      <c r="Q453" s="1">
        <f t="shared" si="22"/>
        <v>170.94017094017093</v>
      </c>
      <c r="R453" t="str" cm="1">
        <f t="array" ref="R453">_xlfn.IFS(Q453&lt;42.7, "low",
Q453&lt;85.4,"medium low",
Q453&lt;128,"medium high",
Q453&gt;=128,"high"
)</f>
        <v>high</v>
      </c>
      <c r="S453" t="str" cm="1">
        <f t="array" ref="S453">_xlfn.IFS(J453&lt;700,"low",J453&lt;1600,"medium low",J453&lt;2200,"medium high",J453&gt;=2200,"high")</f>
        <v>low</v>
      </c>
      <c r="T453" t="str" cm="1">
        <f t="array" ref="T453">_xlfn.IFS(
J453&lt;630,"Low",
J453&lt;1287,"Medium",
J453&lt;1495,"Intermediate",
J453&lt;1668,"Moderately",
J453&lt;1843,"Transition",
J453&lt;2477,"High",
J453&lt;2996,"Refractory I",
TRUE,"Refractory II"
)</f>
        <v>Low</v>
      </c>
      <c r="U453">
        <f t="shared" si="23"/>
        <v>0.76417796448348285</v>
      </c>
      <c r="V453" t="str" cm="1">
        <f t="array" ref="V453">_xlfn.IFS(U453&lt;0.25,"shallow condution",
U453&lt;0.5,"transition",
U453&lt;1,"conduction",
U453&lt;1.5,"transition",U453&lt;3,"keyholeⅠ",3&lt;=U453,"keyhole Ⅱ"
)</f>
        <v>conduction</v>
      </c>
      <c r="X453">
        <f t="shared" si="24"/>
        <v>1.3085957021489256</v>
      </c>
    </row>
    <row r="454" spans="1:24">
      <c r="A454" s="2" t="s">
        <v>56</v>
      </c>
      <c r="B454" s="4">
        <v>250</v>
      </c>
      <c r="C454" s="4">
        <v>300</v>
      </c>
      <c r="D454" s="4">
        <v>11.34</v>
      </c>
      <c r="E454" s="4">
        <v>4.7699999999999996</v>
      </c>
      <c r="F454" s="4">
        <v>179.5</v>
      </c>
      <c r="G454" s="16" t="s">
        <v>98</v>
      </c>
      <c r="H454" s="4">
        <v>0.129</v>
      </c>
      <c r="I454" s="4">
        <v>35.299999999999997</v>
      </c>
      <c r="J454" s="4">
        <v>327</v>
      </c>
      <c r="K454" s="4">
        <v>1749</v>
      </c>
      <c r="L454" s="4">
        <v>0.7</v>
      </c>
      <c r="M454" s="4">
        <v>556</v>
      </c>
      <c r="N454" s="5">
        <v>802</v>
      </c>
      <c r="Q454" s="1">
        <f t="shared" si="22"/>
        <v>213.67521367521368</v>
      </c>
      <c r="R454" t="str" cm="1">
        <f t="array" ref="R454">_xlfn.IFS(Q454&lt;42.7, "low",
Q454&lt;85.4,"medium low",
Q454&lt;128,"medium high",
Q454&gt;=128,"high"
)</f>
        <v>high</v>
      </c>
      <c r="S454" t="str" cm="1">
        <f t="array" ref="S454">_xlfn.IFS(J454&lt;700,"low",J454&lt;1600,"medium low",J454&lt;2200,"medium high",J454&gt;=2200,"high")</f>
        <v>low</v>
      </c>
      <c r="T454" t="str" cm="1">
        <f t="array" ref="T454">_xlfn.IFS(
J454&lt;630,"Low",
J454&lt;1287,"Medium",
J454&lt;1495,"Intermediate",
J454&lt;1668,"Moderately",
J454&lt;1843,"Transition",
J454&lt;2477,"High",
J454&lt;2996,"Refractory I",
TRUE,"Refractory II"
)</f>
        <v>Low</v>
      </c>
      <c r="U454">
        <f t="shared" si="23"/>
        <v>1.4424460431654675</v>
      </c>
      <c r="V454" t="str" cm="1">
        <f t="array" ref="V454">_xlfn.IFS(U454&lt;0.25,"shallow condution",
U454&lt;0.5,"transition",
U454&lt;1,"conduction",
U454&lt;1.5,"transition",U454&lt;3,"keyholeⅠ",3&lt;=U454,"keyhole Ⅱ"
)</f>
        <v>transition</v>
      </c>
      <c r="X454">
        <f t="shared" si="24"/>
        <v>0.69326683291770574</v>
      </c>
    </row>
    <row r="455" spans="1:24">
      <c r="A455" s="2" t="s">
        <v>56</v>
      </c>
      <c r="B455" s="4">
        <v>300</v>
      </c>
      <c r="C455" s="4">
        <v>300</v>
      </c>
      <c r="D455" s="4">
        <v>11.34</v>
      </c>
      <c r="E455" s="4">
        <v>4.7699999999999996</v>
      </c>
      <c r="F455" s="4">
        <v>179.5</v>
      </c>
      <c r="G455" s="16" t="s">
        <v>98</v>
      </c>
      <c r="H455" s="4">
        <v>0.129</v>
      </c>
      <c r="I455" s="4">
        <v>35.299999999999997</v>
      </c>
      <c r="J455" s="4">
        <v>327</v>
      </c>
      <c r="K455" s="4">
        <v>1749</v>
      </c>
      <c r="L455" s="4">
        <v>0.7</v>
      </c>
      <c r="M455" s="4">
        <v>581.46</v>
      </c>
      <c r="N455" s="5">
        <v>1519.24</v>
      </c>
      <c r="Q455" s="1">
        <f t="shared" si="22"/>
        <v>256.41025641025641</v>
      </c>
      <c r="R455" t="str" cm="1">
        <f t="array" ref="R455">_xlfn.IFS(Q455&lt;42.7, "low",
Q455&lt;85.4,"medium low",
Q455&lt;128,"medium high",
Q455&gt;=128,"high"
)</f>
        <v>high</v>
      </c>
      <c r="S455" t="str" cm="1">
        <f t="array" ref="S455">_xlfn.IFS(J455&lt;700,"low",J455&lt;1600,"medium low",J455&lt;2200,"medium high",J455&gt;=2200,"high")</f>
        <v>low</v>
      </c>
      <c r="T455" t="str" cm="1">
        <f t="array" ref="T455">_xlfn.IFS(
J455&lt;630,"Low",
J455&lt;1287,"Medium",
J455&lt;1495,"Intermediate",
J455&lt;1668,"Moderately",
J455&lt;1843,"Transition",
J455&lt;2477,"High",
J455&lt;2996,"Refractory I",
TRUE,"Refractory II"
)</f>
        <v>Low</v>
      </c>
      <c r="U455">
        <f t="shared" si="23"/>
        <v>2.6128022563890894</v>
      </c>
      <c r="V455" t="str" cm="1">
        <f t="array" ref="V455">_xlfn.IFS(U455&lt;0.25,"shallow condution",
U455&lt;0.5,"transition",
U455&lt;1,"conduction",
U455&lt;1.5,"transition",U455&lt;3,"keyholeⅠ",3&lt;=U455,"keyhole Ⅱ"
)</f>
        <v>keyholeⅠ</v>
      </c>
      <c r="X455">
        <f t="shared" si="24"/>
        <v>0.38273083910376243</v>
      </c>
    </row>
    <row r="456" spans="1:24">
      <c r="A456" s="2" t="s">
        <v>56</v>
      </c>
      <c r="B456" s="4">
        <v>100</v>
      </c>
      <c r="C456" s="4">
        <v>600</v>
      </c>
      <c r="D456" s="4">
        <v>11.34</v>
      </c>
      <c r="E456" s="4">
        <v>4.7699999999999996</v>
      </c>
      <c r="F456" s="4">
        <v>179.5</v>
      </c>
      <c r="G456" s="16" t="s">
        <v>98</v>
      </c>
      <c r="H456" s="4">
        <v>0.129</v>
      </c>
      <c r="I456" s="4">
        <v>35.299999999999997</v>
      </c>
      <c r="J456" s="4">
        <v>327</v>
      </c>
      <c r="K456" s="4">
        <v>1749</v>
      </c>
      <c r="L456" s="4">
        <v>0.7</v>
      </c>
      <c r="M456" s="4">
        <v>274</v>
      </c>
      <c r="N456" s="5">
        <v>328.4</v>
      </c>
      <c r="Q456" s="1">
        <f t="shared" si="22"/>
        <v>42.735042735042732</v>
      </c>
      <c r="R456" t="str" cm="1">
        <f t="array" ref="R456">_xlfn.IFS(Q456&lt;42.7, "low",
Q456&lt;85.4,"medium low",
Q456&lt;128,"medium high",
Q456&gt;=128,"high"
)</f>
        <v>medium low</v>
      </c>
      <c r="S456" t="str" cm="1">
        <f t="array" ref="S456">_xlfn.IFS(J456&lt;700,"low",J456&lt;1600,"medium low",J456&lt;2200,"medium high",J456&gt;=2200,"high")</f>
        <v>low</v>
      </c>
      <c r="T456" t="str" cm="1">
        <f t="array" ref="T456">_xlfn.IFS(
J456&lt;630,"Low",
J456&lt;1287,"Medium",
J456&lt;1495,"Intermediate",
J456&lt;1668,"Moderately",
J456&lt;1843,"Transition",
J456&lt;2477,"High",
J456&lt;2996,"Refractory I",
TRUE,"Refractory II"
)</f>
        <v>Low</v>
      </c>
      <c r="U456">
        <f t="shared" si="23"/>
        <v>1.1985401459854015</v>
      </c>
      <c r="V456" t="str" cm="1">
        <f t="array" ref="V456">_xlfn.IFS(U456&lt;0.25,"shallow condution",
U456&lt;0.5,"transition",
U456&lt;1,"conduction",
U456&lt;1.5,"transition",U456&lt;3,"keyholeⅠ",3&lt;=U456,"keyhole Ⅱ"
)</f>
        <v>transition</v>
      </c>
      <c r="X456">
        <f t="shared" si="24"/>
        <v>0.8343483556638247</v>
      </c>
    </row>
    <row r="457" spans="1:24">
      <c r="A457" s="2" t="s">
        <v>56</v>
      </c>
      <c r="B457" s="4">
        <v>150</v>
      </c>
      <c r="C457" s="4">
        <v>600</v>
      </c>
      <c r="D457" s="4">
        <v>11.34</v>
      </c>
      <c r="E457" s="4">
        <v>4.7699999999999996</v>
      </c>
      <c r="F457" s="4">
        <v>179.5</v>
      </c>
      <c r="G457" s="16" t="s">
        <v>98</v>
      </c>
      <c r="H457" s="4">
        <v>0.129</v>
      </c>
      <c r="I457" s="4">
        <v>35.299999999999997</v>
      </c>
      <c r="J457" s="4">
        <v>327</v>
      </c>
      <c r="K457" s="4">
        <v>1749</v>
      </c>
      <c r="L457" s="4">
        <v>0.7</v>
      </c>
      <c r="M457" s="4">
        <v>282.94</v>
      </c>
      <c r="N457" s="5">
        <v>677.11</v>
      </c>
      <c r="Q457" s="1">
        <f t="shared" si="22"/>
        <v>64.102564102564102</v>
      </c>
      <c r="R457" t="str" cm="1">
        <f t="array" ref="R457">_xlfn.IFS(Q457&lt;42.7, "low",
Q457&lt;85.4,"medium low",
Q457&lt;128,"medium high",
Q457&gt;=128,"high"
)</f>
        <v>medium low</v>
      </c>
      <c r="S457" t="str" cm="1">
        <f t="array" ref="S457">_xlfn.IFS(J457&lt;700,"low",J457&lt;1600,"medium low",J457&lt;2200,"medium high",J457&gt;=2200,"high")</f>
        <v>low</v>
      </c>
      <c r="T457" t="str" cm="1">
        <f t="array" ref="T457">_xlfn.IFS(
J457&lt;630,"Low",
J457&lt;1287,"Medium",
J457&lt;1495,"Intermediate",
J457&lt;1668,"Moderately",
J457&lt;1843,"Transition",
J457&lt;2477,"High",
J457&lt;2996,"Refractory I",
TRUE,"Refractory II"
)</f>
        <v>Low</v>
      </c>
      <c r="U457">
        <f t="shared" si="23"/>
        <v>2.393122216724394</v>
      </c>
      <c r="V457" t="str" cm="1">
        <f t="array" ref="V457">_xlfn.IFS(U457&lt;0.25,"shallow condution",
U457&lt;0.5,"transition",
U457&lt;1,"conduction",
U457&lt;1.5,"transition",U457&lt;3,"keyholeⅠ",3&lt;=U457,"keyhole Ⅱ"
)</f>
        <v>keyholeⅠ</v>
      </c>
      <c r="X457">
        <f t="shared" si="24"/>
        <v>0.41786415796547088</v>
      </c>
    </row>
    <row r="458" spans="1:24">
      <c r="A458" s="2" t="s">
        <v>56</v>
      </c>
      <c r="B458" s="4">
        <v>200</v>
      </c>
      <c r="C458" s="4">
        <v>600</v>
      </c>
      <c r="D458" s="4">
        <v>11.34</v>
      </c>
      <c r="E458" s="4">
        <v>4.7699999999999996</v>
      </c>
      <c r="F458" s="4">
        <v>179.5</v>
      </c>
      <c r="G458" s="16" t="s">
        <v>98</v>
      </c>
      <c r="H458" s="4">
        <v>0.129</v>
      </c>
      <c r="I458" s="4">
        <v>35.299999999999997</v>
      </c>
      <c r="J458" s="4">
        <v>327</v>
      </c>
      <c r="K458" s="4">
        <v>1749</v>
      </c>
      <c r="L458" s="4">
        <v>0.7</v>
      </c>
      <c r="M458" s="4">
        <v>293.2</v>
      </c>
      <c r="N458" s="5">
        <v>942.48</v>
      </c>
      <c r="Q458" s="1">
        <f t="shared" si="22"/>
        <v>85.470085470085465</v>
      </c>
      <c r="R458" t="str" cm="1">
        <f t="array" ref="R458">_xlfn.IFS(Q458&lt;42.7, "low",
Q458&lt;85.4,"medium low",
Q458&lt;128,"medium high",
Q458&gt;=128,"high"
)</f>
        <v>medium high</v>
      </c>
      <c r="S458" t="str" cm="1">
        <f t="array" ref="S458">_xlfn.IFS(J458&lt;700,"low",J458&lt;1600,"medium low",J458&lt;2200,"medium high",J458&gt;=2200,"high")</f>
        <v>low</v>
      </c>
      <c r="T458" t="str" cm="1">
        <f t="array" ref="T458">_xlfn.IFS(
J458&lt;630,"Low",
J458&lt;1287,"Medium",
J458&lt;1495,"Intermediate",
J458&lt;1668,"Moderately",
J458&lt;1843,"Transition",
J458&lt;2477,"High",
J458&lt;2996,"Refractory I",
TRUE,"Refractory II"
)</f>
        <v>Low</v>
      </c>
      <c r="U458">
        <f t="shared" si="23"/>
        <v>3.214461118690314</v>
      </c>
      <c r="V458" t="str" cm="1">
        <f t="array" ref="V458">_xlfn.IFS(U458&lt;0.25,"shallow condution",
U458&lt;0.5,"transition",
U458&lt;1,"conduction",
U458&lt;1.5,"transition",U458&lt;3,"keyholeⅠ",3&lt;=U458,"keyhole Ⅱ"
)</f>
        <v>keyhole Ⅱ</v>
      </c>
      <c r="X458">
        <f t="shared" si="24"/>
        <v>0.31109413462354635</v>
      </c>
    </row>
    <row r="459" spans="1:24">
      <c r="A459" s="2" t="s">
        <v>56</v>
      </c>
      <c r="B459" s="4">
        <v>250</v>
      </c>
      <c r="C459" s="4">
        <v>600</v>
      </c>
      <c r="D459" s="4">
        <v>11.34</v>
      </c>
      <c r="E459" s="4">
        <v>4.7699999999999996</v>
      </c>
      <c r="F459" s="4">
        <v>179.5</v>
      </c>
      <c r="G459" s="16" t="s">
        <v>98</v>
      </c>
      <c r="H459" s="4">
        <v>0.129</v>
      </c>
      <c r="I459" s="4">
        <v>35.299999999999997</v>
      </c>
      <c r="J459" s="4">
        <v>327</v>
      </c>
      <c r="K459" s="4">
        <v>1749</v>
      </c>
      <c r="L459" s="4">
        <v>0.7</v>
      </c>
      <c r="M459" s="4">
        <v>532.99</v>
      </c>
      <c r="N459" s="5">
        <v>982.62</v>
      </c>
      <c r="Q459" s="1">
        <f t="shared" si="22"/>
        <v>106.83760683760684</v>
      </c>
      <c r="R459" t="str" cm="1">
        <f t="array" ref="R459">_xlfn.IFS(Q459&lt;42.7, "low",
Q459&lt;85.4,"medium low",
Q459&lt;128,"medium high",
Q459&gt;=128,"high"
)</f>
        <v>medium high</v>
      </c>
      <c r="S459" t="str" cm="1">
        <f t="array" ref="S459">_xlfn.IFS(J459&lt;700,"low",J459&lt;1600,"medium low",J459&lt;2200,"medium high",J459&gt;=2200,"high")</f>
        <v>low</v>
      </c>
      <c r="T459" t="str" cm="1">
        <f t="array" ref="T459">_xlfn.IFS(
J459&lt;630,"Low",
J459&lt;1287,"Medium",
J459&lt;1495,"Intermediate",
J459&lt;1668,"Moderately",
J459&lt;1843,"Transition",
J459&lt;2477,"High",
J459&lt;2996,"Refractory I",
TRUE,"Refractory II"
)</f>
        <v>Low</v>
      </c>
      <c r="U459">
        <f t="shared" si="23"/>
        <v>1.8435993170603575</v>
      </c>
      <c r="V459" t="str" cm="1">
        <f t="array" ref="V459">_xlfn.IFS(U459&lt;0.25,"shallow condution",
U459&lt;0.5,"transition",
U459&lt;1,"conduction",
U459&lt;1.5,"transition",U459&lt;3,"keyholeⅠ",3&lt;=U459,"keyhole Ⅱ"
)</f>
        <v>keyholeⅠ</v>
      </c>
      <c r="X459">
        <f t="shared" si="24"/>
        <v>0.54241721112942953</v>
      </c>
    </row>
    <row r="460" spans="1:24">
      <c r="A460" s="2" t="s">
        <v>56</v>
      </c>
      <c r="B460" s="4">
        <v>300</v>
      </c>
      <c r="C460" s="4">
        <v>600</v>
      </c>
      <c r="D460" s="4">
        <v>11.34</v>
      </c>
      <c r="E460" s="4">
        <v>4.7699999999999996</v>
      </c>
      <c r="F460" s="4">
        <v>179.5</v>
      </c>
      <c r="G460" s="16" t="s">
        <v>98</v>
      </c>
      <c r="H460" s="4">
        <v>0.129</v>
      </c>
      <c r="I460" s="4">
        <v>35.299999999999997</v>
      </c>
      <c r="J460" s="4">
        <v>327</v>
      </c>
      <c r="K460" s="4">
        <v>1749</v>
      </c>
      <c r="L460" s="4">
        <v>0.7</v>
      </c>
      <c r="M460" s="4">
        <v>543</v>
      </c>
      <c r="N460" s="5">
        <v>1181.3800000000001</v>
      </c>
      <c r="Q460" s="1">
        <f t="shared" si="22"/>
        <v>128.2051282051282</v>
      </c>
      <c r="R460" t="str" cm="1">
        <f t="array" ref="R460">_xlfn.IFS(Q460&lt;42.7, "low",
Q460&lt;85.4,"medium low",
Q460&lt;128,"medium high",
Q460&gt;=128,"high"
)</f>
        <v>high</v>
      </c>
      <c r="S460" t="str" cm="1">
        <f t="array" ref="S460">_xlfn.IFS(J460&lt;700,"low",J460&lt;1600,"medium low",J460&lt;2200,"medium high",J460&gt;=2200,"high")</f>
        <v>low</v>
      </c>
      <c r="T460" t="str" cm="1">
        <f t="array" ref="T460">_xlfn.IFS(
J460&lt;630,"Low",
J460&lt;1287,"Medium",
J460&lt;1495,"Intermediate",
J460&lt;1668,"Moderately",
J460&lt;1843,"Transition",
J460&lt;2477,"High",
J460&lt;2996,"Refractory I",
TRUE,"Refractory II"
)</f>
        <v>Low</v>
      </c>
      <c r="U460">
        <f t="shared" si="23"/>
        <v>2.1756537753222838</v>
      </c>
      <c r="V460" t="str" cm="1">
        <f t="array" ref="V460">_xlfn.IFS(U460&lt;0.25,"shallow condution",
U460&lt;0.5,"transition",
U460&lt;1,"conduction",
U460&lt;1.5,"transition",U460&lt;3,"keyholeⅠ",3&lt;=U460,"keyhole Ⅱ"
)</f>
        <v>keyholeⅠ</v>
      </c>
      <c r="X460">
        <f t="shared" si="24"/>
        <v>0.45963195584824523</v>
      </c>
    </row>
    <row r="461" spans="1:24">
      <c r="A461" s="2" t="s">
        <v>56</v>
      </c>
      <c r="B461" s="4">
        <v>100</v>
      </c>
      <c r="C461" s="4">
        <v>900</v>
      </c>
      <c r="D461" s="4">
        <v>11.34</v>
      </c>
      <c r="E461" s="4">
        <v>4.7699999999999996</v>
      </c>
      <c r="F461" s="4">
        <v>179.5</v>
      </c>
      <c r="G461" s="16" t="s">
        <v>98</v>
      </c>
      <c r="H461" s="4">
        <v>0.129</v>
      </c>
      <c r="I461" s="4">
        <v>35.299999999999997</v>
      </c>
      <c r="J461" s="4">
        <v>327</v>
      </c>
      <c r="K461" s="4">
        <v>1749</v>
      </c>
      <c r="L461" s="4">
        <v>0.7</v>
      </c>
      <c r="M461" s="4">
        <v>216</v>
      </c>
      <c r="N461" s="5">
        <v>146</v>
      </c>
      <c r="Q461" s="1">
        <f t="shared" si="22"/>
        <v>28.490028490028489</v>
      </c>
      <c r="R461" t="str" cm="1">
        <f t="array" ref="R461">_xlfn.IFS(Q461&lt;42.7, "low",
Q461&lt;85.4,"medium low",
Q461&lt;128,"medium high",
Q461&gt;=128,"high"
)</f>
        <v>low</v>
      </c>
      <c r="S461" t="str" cm="1">
        <f t="array" ref="S461">_xlfn.IFS(J461&lt;700,"low",J461&lt;1600,"medium low",J461&lt;2200,"medium high",J461&gt;=2200,"high")</f>
        <v>low</v>
      </c>
      <c r="T461" t="str" cm="1">
        <f t="array" ref="T461">_xlfn.IFS(
J461&lt;630,"Low",
J461&lt;1287,"Medium",
J461&lt;1495,"Intermediate",
J461&lt;1668,"Moderately",
J461&lt;1843,"Transition",
J461&lt;2477,"High",
J461&lt;2996,"Refractory I",
TRUE,"Refractory II"
)</f>
        <v>Low</v>
      </c>
      <c r="U461">
        <f t="shared" si="23"/>
        <v>0.67592592592592593</v>
      </c>
      <c r="V461" t="str" cm="1">
        <f t="array" ref="V461">_xlfn.IFS(U461&lt;0.25,"shallow condution",
U461&lt;0.5,"transition",
U461&lt;1,"conduction",
U461&lt;1.5,"transition",U461&lt;3,"keyholeⅠ",3&lt;=U461,"keyhole Ⅱ"
)</f>
        <v>conduction</v>
      </c>
      <c r="X461">
        <f t="shared" si="24"/>
        <v>1.4794520547945205</v>
      </c>
    </row>
    <row r="462" spans="1:24">
      <c r="A462" s="2" t="s">
        <v>56</v>
      </c>
      <c r="B462" s="4">
        <v>150</v>
      </c>
      <c r="C462" s="4">
        <v>900</v>
      </c>
      <c r="D462" s="4">
        <v>11.34</v>
      </c>
      <c r="E462" s="4">
        <v>4.7699999999999996</v>
      </c>
      <c r="F462" s="4">
        <v>179.5</v>
      </c>
      <c r="G462" s="16" t="s">
        <v>98</v>
      </c>
      <c r="H462" s="4">
        <v>0.129</v>
      </c>
      <c r="I462" s="4">
        <v>35.299999999999997</v>
      </c>
      <c r="J462" s="4">
        <v>327</v>
      </c>
      <c r="K462" s="4">
        <v>1749</v>
      </c>
      <c r="L462" s="4">
        <v>0.7</v>
      </c>
      <c r="M462" s="4">
        <v>294</v>
      </c>
      <c r="N462" s="5">
        <v>258.22000000000003</v>
      </c>
      <c r="Q462" s="1">
        <f t="shared" si="22"/>
        <v>42.735042735042732</v>
      </c>
      <c r="R462" t="str" cm="1">
        <f t="array" ref="R462">_xlfn.IFS(Q462&lt;42.7, "low",
Q462&lt;85.4,"medium low",
Q462&lt;128,"medium high",
Q462&gt;=128,"high"
)</f>
        <v>medium low</v>
      </c>
      <c r="S462" t="str" cm="1">
        <f t="array" ref="S462">_xlfn.IFS(J462&lt;700,"low",J462&lt;1600,"medium low",J462&lt;2200,"medium high",J462&gt;=2200,"high")</f>
        <v>low</v>
      </c>
      <c r="T462" t="str" cm="1">
        <f t="array" ref="T462">_xlfn.IFS(
J462&lt;630,"Low",
J462&lt;1287,"Medium",
J462&lt;1495,"Intermediate",
J462&lt;1668,"Moderately",
J462&lt;1843,"Transition",
J462&lt;2477,"High",
J462&lt;2996,"Refractory I",
TRUE,"Refractory II"
)</f>
        <v>Low</v>
      </c>
      <c r="U462">
        <f t="shared" si="23"/>
        <v>0.87829931972789121</v>
      </c>
      <c r="V462" t="str" cm="1">
        <f t="array" ref="V462">_xlfn.IFS(U462&lt;0.25,"shallow condution",
U462&lt;0.5,"transition",
U462&lt;1,"conduction",
U462&lt;1.5,"transition",U462&lt;3,"keyholeⅠ",3&lt;=U462,"keyhole Ⅱ"
)</f>
        <v>conduction</v>
      </c>
      <c r="X462">
        <f t="shared" si="24"/>
        <v>1.1385640151808534</v>
      </c>
    </row>
    <row r="463" spans="1:24">
      <c r="A463" s="2" t="s">
        <v>56</v>
      </c>
      <c r="B463" s="4">
        <v>200</v>
      </c>
      <c r="C463" s="4">
        <v>900</v>
      </c>
      <c r="D463" s="4">
        <v>11.34</v>
      </c>
      <c r="E463" s="4">
        <v>4.7699999999999996</v>
      </c>
      <c r="F463" s="4">
        <v>179.5</v>
      </c>
      <c r="G463" s="16" t="s">
        <v>98</v>
      </c>
      <c r="H463" s="4">
        <v>0.129</v>
      </c>
      <c r="I463" s="4">
        <v>35.299999999999997</v>
      </c>
      <c r="J463" s="4">
        <v>327</v>
      </c>
      <c r="K463" s="4">
        <v>1749</v>
      </c>
      <c r="L463" s="4">
        <v>0.7</v>
      </c>
      <c r="M463" s="4">
        <v>356</v>
      </c>
      <c r="N463" s="5">
        <v>285</v>
      </c>
      <c r="Q463" s="1">
        <f t="shared" si="22"/>
        <v>56.980056980056979</v>
      </c>
      <c r="R463" t="str" cm="1">
        <f t="array" ref="R463">_xlfn.IFS(Q463&lt;42.7, "low",
Q463&lt;85.4,"medium low",
Q463&lt;128,"medium high",
Q463&gt;=128,"high"
)</f>
        <v>medium low</v>
      </c>
      <c r="S463" t="str" cm="1">
        <f t="array" ref="S463">_xlfn.IFS(J463&lt;700,"low",J463&lt;1600,"medium low",J463&lt;2200,"medium high",J463&gt;=2200,"high")</f>
        <v>low</v>
      </c>
      <c r="T463" t="str" cm="1">
        <f t="array" ref="T463">_xlfn.IFS(
J463&lt;630,"Low",
J463&lt;1287,"Medium",
J463&lt;1495,"Intermediate",
J463&lt;1668,"Moderately",
J463&lt;1843,"Transition",
J463&lt;2477,"High",
J463&lt;2996,"Refractory I",
TRUE,"Refractory II"
)</f>
        <v>Low</v>
      </c>
      <c r="U463">
        <f t="shared" si="23"/>
        <v>0.800561797752809</v>
      </c>
      <c r="V463" t="str" cm="1">
        <f t="array" ref="V463">_xlfn.IFS(U463&lt;0.25,"shallow condution",
U463&lt;0.5,"transition",
U463&lt;1,"conduction",
U463&lt;1.5,"transition",U463&lt;3,"keyholeⅠ",3&lt;=U463,"keyhole Ⅱ"
)</f>
        <v>conduction</v>
      </c>
      <c r="X463">
        <f t="shared" si="24"/>
        <v>1.249122807017544</v>
      </c>
    </row>
    <row r="464" spans="1:24">
      <c r="A464" s="2" t="s">
        <v>56</v>
      </c>
      <c r="B464" s="4">
        <v>250</v>
      </c>
      <c r="C464" s="4">
        <v>900</v>
      </c>
      <c r="D464" s="4">
        <v>11.34</v>
      </c>
      <c r="E464" s="4">
        <v>4.7699999999999996</v>
      </c>
      <c r="F464" s="4">
        <v>179.5</v>
      </c>
      <c r="G464" s="16" t="s">
        <v>98</v>
      </c>
      <c r="H464" s="4">
        <v>0.129</v>
      </c>
      <c r="I464" s="4">
        <v>35.299999999999997</v>
      </c>
      <c r="J464" s="4">
        <v>327</v>
      </c>
      <c r="K464" s="4">
        <v>1749</v>
      </c>
      <c r="L464" s="4">
        <v>0.7</v>
      </c>
      <c r="M464" s="4">
        <v>393.12</v>
      </c>
      <c r="N464" s="5">
        <v>333.35</v>
      </c>
      <c r="Q464" s="1">
        <f t="shared" si="22"/>
        <v>71.225071225071218</v>
      </c>
      <c r="R464" t="str" cm="1">
        <f t="array" ref="R464">_xlfn.IFS(Q464&lt;42.7, "low",
Q464&lt;85.4,"medium low",
Q464&lt;128,"medium high",
Q464&gt;=128,"high"
)</f>
        <v>medium low</v>
      </c>
      <c r="S464" t="str" cm="1">
        <f t="array" ref="S464">_xlfn.IFS(J464&lt;700,"low",J464&lt;1600,"medium low",J464&lt;2200,"medium high",J464&gt;=2200,"high")</f>
        <v>low</v>
      </c>
      <c r="T464" t="str" cm="1">
        <f t="array" ref="T464">_xlfn.IFS(
J464&lt;630,"Low",
J464&lt;1287,"Medium",
J464&lt;1495,"Intermediate",
J464&lt;1668,"Moderately",
J464&lt;1843,"Transition",
J464&lt;2477,"High",
J464&lt;2996,"Refractory I",
TRUE,"Refractory II"
)</f>
        <v>Low</v>
      </c>
      <c r="U464">
        <f t="shared" si="23"/>
        <v>0.84795991045991048</v>
      </c>
      <c r="V464" t="str" cm="1">
        <f t="array" ref="V464">_xlfn.IFS(U464&lt;0.25,"shallow condution",
U464&lt;0.5,"transition",
U464&lt;1,"conduction",
U464&lt;1.5,"transition",U464&lt;3,"keyholeⅠ",3&lt;=U464,"keyhole Ⅱ"
)</f>
        <v>conduction</v>
      </c>
      <c r="X464">
        <f t="shared" si="24"/>
        <v>1.1793010349482524</v>
      </c>
    </row>
    <row r="465" spans="1:24" ht="14.45" thickBot="1">
      <c r="A465" s="3" t="s">
        <v>56</v>
      </c>
      <c r="B465" s="7">
        <v>300</v>
      </c>
      <c r="C465" s="7">
        <v>900</v>
      </c>
      <c r="D465" s="7">
        <v>11.34</v>
      </c>
      <c r="E465" s="7">
        <v>4.7699999999999996</v>
      </c>
      <c r="F465" s="7">
        <v>179.5</v>
      </c>
      <c r="G465" s="16" t="s">
        <v>98</v>
      </c>
      <c r="H465" s="7">
        <v>0.129</v>
      </c>
      <c r="I465" s="7">
        <v>35.299999999999997</v>
      </c>
      <c r="J465" s="7">
        <v>327</v>
      </c>
      <c r="K465" s="7">
        <v>1749</v>
      </c>
      <c r="L465" s="7">
        <v>0.7</v>
      </c>
      <c r="M465" s="7">
        <v>563.38</v>
      </c>
      <c r="N465" s="15">
        <v>350.3</v>
      </c>
      <c r="Q465" s="1">
        <f t="shared" si="22"/>
        <v>85.470085470085465</v>
      </c>
      <c r="R465" t="str" cm="1">
        <f t="array" ref="R465">_xlfn.IFS(Q465&lt;42.7, "low",
Q465&lt;85.4,"medium low",
Q465&lt;128,"medium high",
Q465&gt;=128,"high"
)</f>
        <v>medium high</v>
      </c>
      <c r="S465" t="str" cm="1">
        <f t="array" ref="S465">_xlfn.IFS(J465&lt;700,"low",J465&lt;1600,"medium low",J465&lt;2200,"medium high",J465&gt;=2200,"high")</f>
        <v>low</v>
      </c>
      <c r="T465" t="str" cm="1">
        <f t="array" ref="T465">_xlfn.IFS(
J465&lt;630,"Low",
J465&lt;1287,"Medium",
J465&lt;1495,"Intermediate",
J465&lt;1668,"Moderately",
J465&lt;1843,"Transition",
J465&lt;2477,"High",
J465&lt;2996,"Refractory I",
TRUE,"Refractory II"
)</f>
        <v>Low</v>
      </c>
      <c r="U465">
        <f t="shared" si="23"/>
        <v>0.62178281089140552</v>
      </c>
      <c r="V465" t="str" cm="1">
        <f t="array" ref="V465">_xlfn.IFS(U465&lt;0.25,"shallow condution",
U465&lt;0.5,"transition",
U465&lt;1,"conduction",
U465&lt;1.5,"transition",U465&lt;3,"keyholeⅠ",3&lt;=U465,"keyhole Ⅱ"
)</f>
        <v>conduction</v>
      </c>
      <c r="X465">
        <f t="shared" si="24"/>
        <v>1.608278618327148</v>
      </c>
    </row>
    <row r="466" spans="1:24">
      <c r="A466" s="19" t="s">
        <v>57</v>
      </c>
      <c r="B466" s="16">
        <v>200</v>
      </c>
      <c r="C466" s="16">
        <v>200</v>
      </c>
      <c r="D466" s="16">
        <v>9.7799999999999994</v>
      </c>
      <c r="E466" s="16">
        <v>10.9</v>
      </c>
      <c r="F466" s="16">
        <v>151</v>
      </c>
      <c r="G466" s="16" t="s">
        <v>92</v>
      </c>
      <c r="H466" s="16">
        <v>0.122</v>
      </c>
      <c r="I466" s="16">
        <v>7.97</v>
      </c>
      <c r="J466" s="16">
        <v>271</v>
      </c>
      <c r="K466" s="16">
        <v>1564</v>
      </c>
      <c r="L466" s="16">
        <v>0.7</v>
      </c>
      <c r="M466" s="16">
        <v>246.84</v>
      </c>
      <c r="N466" s="17">
        <v>363.83</v>
      </c>
      <c r="Q466" s="1">
        <f t="shared" si="22"/>
        <v>256.41025641025641</v>
      </c>
      <c r="R466" t="str" cm="1">
        <f t="array" ref="R466">_xlfn.IFS(Q466&lt;42.7, "low",
Q466&lt;85.4,"medium low",
Q466&lt;128,"medium high",
Q466&gt;=128,"high"
)</f>
        <v>high</v>
      </c>
      <c r="S466" t="str" cm="1">
        <f t="array" ref="S466">_xlfn.IFS(J466&lt;700,"low",J466&lt;1600,"medium low",J466&lt;2200,"medium high",J466&gt;=2200,"high")</f>
        <v>low</v>
      </c>
      <c r="T466" t="str" cm="1">
        <f t="array" ref="T466">_xlfn.IFS(
J466&lt;630,"Low",
J466&lt;1287,"Medium",
J466&lt;1495,"Intermediate",
J466&lt;1668,"Moderately",
J466&lt;1843,"Transition",
J466&lt;2477,"High",
J466&lt;2996,"Refractory I",
TRUE,"Refractory II"
)</f>
        <v>Low</v>
      </c>
      <c r="U466">
        <f t="shared" si="23"/>
        <v>1.4739507373197211</v>
      </c>
      <c r="V466" t="str" cm="1">
        <f t="array" ref="V466">_xlfn.IFS(U466&lt;0.25,"shallow condution",
U466&lt;0.5,"transition",
U466&lt;1,"conduction",
U466&lt;1.5,"transition",U466&lt;3,"keyholeⅠ",3&lt;=U466,"keyhole Ⅱ"
)</f>
        <v>transition</v>
      </c>
      <c r="X466">
        <f t="shared" si="24"/>
        <v>0.67844872605337658</v>
      </c>
    </row>
    <row r="467" spans="1:24">
      <c r="A467" s="2" t="s">
        <v>57</v>
      </c>
      <c r="B467" s="4">
        <v>200</v>
      </c>
      <c r="C467" s="4">
        <v>400</v>
      </c>
      <c r="D467" s="4">
        <v>9.7799999999999994</v>
      </c>
      <c r="E467" s="4">
        <v>10.9</v>
      </c>
      <c r="F467" s="4">
        <v>151</v>
      </c>
      <c r="G467" s="16" t="s">
        <v>92</v>
      </c>
      <c r="H467" s="4">
        <v>0.122</v>
      </c>
      <c r="I467" s="4">
        <v>7.97</v>
      </c>
      <c r="J467" s="4">
        <v>271</v>
      </c>
      <c r="K467" s="4">
        <v>1564</v>
      </c>
      <c r="L467" s="4">
        <v>0.7</v>
      </c>
      <c r="M467" s="4">
        <v>287.63</v>
      </c>
      <c r="N467" s="5">
        <v>412.89</v>
      </c>
      <c r="Q467" s="1">
        <f t="shared" si="22"/>
        <v>128.2051282051282</v>
      </c>
      <c r="R467" t="str" cm="1">
        <f t="array" ref="R467">_xlfn.IFS(Q467&lt;42.7, "low",
Q467&lt;85.4,"medium low",
Q467&lt;128,"medium high",
Q467&gt;=128,"high"
)</f>
        <v>high</v>
      </c>
      <c r="S467" t="str" cm="1">
        <f t="array" ref="S467">_xlfn.IFS(J467&lt;700,"low",J467&lt;1600,"medium low",J467&lt;2200,"medium high",J467&gt;=2200,"high")</f>
        <v>low</v>
      </c>
      <c r="T467" t="str" cm="1">
        <f t="array" ref="T467">_xlfn.IFS(
J467&lt;630,"Low",
J467&lt;1287,"Medium",
J467&lt;1495,"Intermediate",
J467&lt;1668,"Moderately",
J467&lt;1843,"Transition",
J467&lt;2477,"High",
J467&lt;2996,"Refractory I",
TRUE,"Refractory II"
)</f>
        <v>Low</v>
      </c>
      <c r="U467">
        <f t="shared" si="23"/>
        <v>1.4354900392865835</v>
      </c>
      <c r="V467" t="str" cm="1">
        <f t="array" ref="V467">_xlfn.IFS(U467&lt;0.25,"shallow condution",
U467&lt;0.5,"transition",
U467&lt;1,"conduction",
U467&lt;1.5,"transition",U467&lt;3,"keyholeⅠ",3&lt;=U467,"keyhole Ⅱ"
)</f>
        <v>transition</v>
      </c>
      <c r="X467">
        <f t="shared" si="24"/>
        <v>0.6966262200586113</v>
      </c>
    </row>
    <row r="468" spans="1:24">
      <c r="A468" s="2" t="s">
        <v>57</v>
      </c>
      <c r="B468" s="4">
        <v>200</v>
      </c>
      <c r="C468" s="4">
        <v>600</v>
      </c>
      <c r="D468" s="4">
        <v>9.7799999999999994</v>
      </c>
      <c r="E468" s="4">
        <v>10.9</v>
      </c>
      <c r="F468" s="4">
        <v>151</v>
      </c>
      <c r="G468" s="16" t="s">
        <v>92</v>
      </c>
      <c r="H468" s="4">
        <v>0.122</v>
      </c>
      <c r="I468" s="4">
        <v>7.97</v>
      </c>
      <c r="J468" s="4">
        <v>271</v>
      </c>
      <c r="K468" s="4">
        <v>1564</v>
      </c>
      <c r="L468" s="4">
        <v>0.7</v>
      </c>
      <c r="M468" s="4">
        <v>299.76</v>
      </c>
      <c r="N468" s="5">
        <v>526.28</v>
      </c>
      <c r="Q468" s="1">
        <f t="shared" si="22"/>
        <v>85.470085470085465</v>
      </c>
      <c r="R468" t="str" cm="1">
        <f t="array" ref="R468">_xlfn.IFS(Q468&lt;42.7, "low",
Q468&lt;85.4,"medium low",
Q468&lt;128,"medium high",
Q468&gt;=128,"high"
)</f>
        <v>medium high</v>
      </c>
      <c r="S468" t="str" cm="1">
        <f t="array" ref="S468">_xlfn.IFS(J468&lt;700,"low",J468&lt;1600,"medium low",J468&lt;2200,"medium high",J468&gt;=2200,"high")</f>
        <v>low</v>
      </c>
      <c r="T468" t="str" cm="1">
        <f t="array" ref="T468">_xlfn.IFS(
J468&lt;630,"Low",
J468&lt;1287,"Medium",
J468&lt;1495,"Intermediate",
J468&lt;1668,"Moderately",
J468&lt;1843,"Transition",
J468&lt;2477,"High",
J468&lt;2996,"Refractory I",
TRUE,"Refractory II"
)</f>
        <v>Low</v>
      </c>
      <c r="U468">
        <f t="shared" si="23"/>
        <v>1.7556712036295703</v>
      </c>
      <c r="V468" t="str" cm="1">
        <f t="array" ref="V468">_xlfn.IFS(U468&lt;0.25,"shallow condution",
U468&lt;0.5,"transition",
U468&lt;1,"conduction",
U468&lt;1.5,"transition",U468&lt;3,"keyholeⅠ",3&lt;=U468,"keyhole Ⅱ"
)</f>
        <v>keyholeⅠ</v>
      </c>
      <c r="X468">
        <f t="shared" si="24"/>
        <v>0.56958273162575057</v>
      </c>
    </row>
    <row r="469" spans="1:24">
      <c r="A469" s="2" t="s">
        <v>57</v>
      </c>
      <c r="B469" s="4">
        <v>200</v>
      </c>
      <c r="C469" s="4">
        <v>800</v>
      </c>
      <c r="D469" s="4">
        <v>9.7799999999999994</v>
      </c>
      <c r="E469" s="4">
        <v>10.9</v>
      </c>
      <c r="F469" s="4">
        <v>151</v>
      </c>
      <c r="G469" s="16" t="s">
        <v>92</v>
      </c>
      <c r="H469" s="4">
        <v>0.122</v>
      </c>
      <c r="I469" s="4">
        <v>7.97</v>
      </c>
      <c r="J469" s="4">
        <v>271</v>
      </c>
      <c r="K469" s="4">
        <v>1564</v>
      </c>
      <c r="L469" s="4">
        <v>0.7</v>
      </c>
      <c r="M469" s="4">
        <v>384.13</v>
      </c>
      <c r="N469" s="5">
        <v>570.44000000000005</v>
      </c>
      <c r="Q469" s="1">
        <f t="shared" si="22"/>
        <v>64.102564102564102</v>
      </c>
      <c r="R469" t="str" cm="1">
        <f t="array" ref="R469">_xlfn.IFS(Q469&lt;42.7, "low",
Q469&lt;85.4,"medium low",
Q469&lt;128,"medium high",
Q469&gt;=128,"high"
)</f>
        <v>medium low</v>
      </c>
      <c r="S469" t="str" cm="1">
        <f t="array" ref="S469">_xlfn.IFS(J469&lt;700,"low",J469&lt;1600,"medium low",J469&lt;2200,"medium high",J469&gt;=2200,"high")</f>
        <v>low</v>
      </c>
      <c r="T469" t="str" cm="1">
        <f t="array" ref="T469">_xlfn.IFS(
J469&lt;630,"Low",
J469&lt;1287,"Medium",
J469&lt;1495,"Intermediate",
J469&lt;1668,"Moderately",
J469&lt;1843,"Transition",
J469&lt;2477,"High",
J469&lt;2996,"Refractory I",
TRUE,"Refractory II"
)</f>
        <v>Low</v>
      </c>
      <c r="U469">
        <f t="shared" si="23"/>
        <v>1.4850180928331556</v>
      </c>
      <c r="V469" t="str" cm="1">
        <f t="array" ref="V469">_xlfn.IFS(U469&lt;0.25,"shallow condution",
U469&lt;0.5,"transition",
U469&lt;1,"conduction",
U469&lt;1.5,"transition",U469&lt;3,"keyholeⅠ",3&lt;=U469,"keyhole Ⅱ"
)</f>
        <v>transition</v>
      </c>
      <c r="X469">
        <f t="shared" si="24"/>
        <v>0.67339246897132032</v>
      </c>
    </row>
    <row r="470" spans="1:24">
      <c r="A470" s="2" t="s">
        <v>57</v>
      </c>
      <c r="B470" s="4">
        <v>200</v>
      </c>
      <c r="C470" s="4">
        <v>1200</v>
      </c>
      <c r="D470" s="4">
        <v>9.7799999999999994</v>
      </c>
      <c r="E470" s="4">
        <v>10.9</v>
      </c>
      <c r="F470" s="4">
        <v>151</v>
      </c>
      <c r="G470" s="16" t="s">
        <v>92</v>
      </c>
      <c r="H470" s="4">
        <v>0.122</v>
      </c>
      <c r="I470" s="4">
        <v>7.97</v>
      </c>
      <c r="J470" s="4">
        <v>271</v>
      </c>
      <c r="K470" s="4">
        <v>1564</v>
      </c>
      <c r="L470" s="4">
        <v>0.7</v>
      </c>
      <c r="M470" s="4">
        <v>410.67</v>
      </c>
      <c r="N470" s="5">
        <v>752.65</v>
      </c>
      <c r="Q470" s="1">
        <f t="shared" si="22"/>
        <v>42.735042735042732</v>
      </c>
      <c r="R470" t="str" cm="1">
        <f t="array" ref="R470">_xlfn.IFS(Q470&lt;42.7, "low",
Q470&lt;85.4,"medium low",
Q470&lt;128,"medium high",
Q470&gt;=128,"high"
)</f>
        <v>medium low</v>
      </c>
      <c r="S470" t="str" cm="1">
        <f t="array" ref="S470">_xlfn.IFS(J470&lt;700,"low",J470&lt;1600,"medium low",J470&lt;2200,"medium high",J470&gt;=2200,"high")</f>
        <v>low</v>
      </c>
      <c r="T470" t="str" cm="1">
        <f t="array" ref="T470">_xlfn.IFS(
J470&lt;630,"Low",
J470&lt;1287,"Medium",
J470&lt;1495,"Intermediate",
J470&lt;1668,"Moderately",
J470&lt;1843,"Transition",
J470&lt;2477,"High",
J470&lt;2996,"Refractory I",
TRUE,"Refractory II"
)</f>
        <v>Low</v>
      </c>
      <c r="U470">
        <f t="shared" si="23"/>
        <v>1.8327367472666616</v>
      </c>
      <c r="V470" t="str" cm="1">
        <f t="array" ref="V470">_xlfn.IFS(U470&lt;0.25,"shallow condution",
U470&lt;0.5,"transition",
U470&lt;1,"conduction",
U470&lt;1.5,"transition",U470&lt;3,"keyholeⅠ",3&lt;=U470,"keyhole Ⅱ"
)</f>
        <v>keyholeⅠ</v>
      </c>
      <c r="X470">
        <f t="shared" si="24"/>
        <v>0.54563209991363848</v>
      </c>
    </row>
    <row r="471" spans="1:24">
      <c r="A471" s="2" t="s">
        <v>57</v>
      </c>
      <c r="B471" s="4">
        <v>200</v>
      </c>
      <c r="C471" s="4">
        <v>1600</v>
      </c>
      <c r="D471" s="4">
        <v>9.7799999999999994</v>
      </c>
      <c r="E471" s="4">
        <v>10.9</v>
      </c>
      <c r="F471" s="4">
        <v>151</v>
      </c>
      <c r="G471" s="16" t="s">
        <v>92</v>
      </c>
      <c r="H471" s="4">
        <v>0.122</v>
      </c>
      <c r="I471" s="4">
        <v>7.97</v>
      </c>
      <c r="J471" s="4">
        <v>271</v>
      </c>
      <c r="K471" s="4">
        <v>1564</v>
      </c>
      <c r="L471" s="4">
        <v>0.7</v>
      </c>
      <c r="M471" s="4">
        <v>364.68</v>
      </c>
      <c r="N471" s="5">
        <v>1099.56</v>
      </c>
      <c r="Q471" s="1">
        <f t="shared" si="22"/>
        <v>32.051282051282051</v>
      </c>
      <c r="R471" t="str" cm="1">
        <f t="array" ref="R471">_xlfn.IFS(Q471&lt;42.7, "low",
Q471&lt;85.4,"medium low",
Q471&lt;128,"medium high",
Q471&gt;=128,"high"
)</f>
        <v>low</v>
      </c>
      <c r="S471" t="str" cm="1">
        <f t="array" ref="S471">_xlfn.IFS(J471&lt;700,"low",J471&lt;1600,"medium low",J471&lt;2200,"medium high",J471&gt;=2200,"high")</f>
        <v>low</v>
      </c>
      <c r="T471" t="str" cm="1">
        <f t="array" ref="T471">_xlfn.IFS(
J471&lt;630,"Low",
J471&lt;1287,"Medium",
J471&lt;1495,"Intermediate",
J471&lt;1668,"Moderately",
J471&lt;1843,"Transition",
J471&lt;2477,"High",
J471&lt;2996,"Refractory I",
TRUE,"Refractory II"
)</f>
        <v>Low</v>
      </c>
      <c r="U471">
        <f t="shared" si="23"/>
        <v>3.0151365580783152</v>
      </c>
      <c r="V471" t="str" cm="1">
        <f t="array" ref="V471">_xlfn.IFS(U471&lt;0.25,"shallow condution",
U471&lt;0.5,"transition",
U471&lt;1,"conduction",
U471&lt;1.5,"transition",U471&lt;3,"keyholeⅠ",3&lt;=U471,"keyhole Ⅱ"
)</f>
        <v>keyhole Ⅱ</v>
      </c>
      <c r="X471">
        <f t="shared" si="24"/>
        <v>0.33165993670195354</v>
      </c>
    </row>
    <row r="472" spans="1:24">
      <c r="A472" s="2" t="s">
        <v>57</v>
      </c>
      <c r="B472" s="4">
        <v>350</v>
      </c>
      <c r="C472" s="4">
        <v>400</v>
      </c>
      <c r="D472" s="4">
        <v>9.7799999999999994</v>
      </c>
      <c r="E472" s="4">
        <v>10.9</v>
      </c>
      <c r="F472" s="4">
        <v>151</v>
      </c>
      <c r="G472" s="16" t="s">
        <v>92</v>
      </c>
      <c r="H472" s="4">
        <v>0.122</v>
      </c>
      <c r="I472" s="4">
        <v>7.97</v>
      </c>
      <c r="J472" s="4">
        <v>271</v>
      </c>
      <c r="K472" s="4">
        <v>1564</v>
      </c>
      <c r="L472" s="4">
        <v>0.7</v>
      </c>
      <c r="M472" s="4">
        <v>379.27</v>
      </c>
      <c r="N472" s="5">
        <v>437.33</v>
      </c>
      <c r="Q472" s="1">
        <f t="shared" si="22"/>
        <v>224.35897435897436</v>
      </c>
      <c r="R472" t="str" cm="1">
        <f t="array" ref="R472">_xlfn.IFS(Q472&lt;42.7, "low",
Q472&lt;85.4,"medium low",
Q472&lt;128,"medium high",
Q472&gt;=128,"high"
)</f>
        <v>high</v>
      </c>
      <c r="S472" t="str" cm="1">
        <f t="array" ref="S472">_xlfn.IFS(J472&lt;700,"low",J472&lt;1600,"medium low",J472&lt;2200,"medium high",J472&gt;=2200,"high")</f>
        <v>low</v>
      </c>
      <c r="T472" t="str" cm="1">
        <f t="array" ref="T472">_xlfn.IFS(
J472&lt;630,"Low",
J472&lt;1287,"Medium",
J472&lt;1495,"Intermediate",
J472&lt;1668,"Moderately",
J472&lt;1843,"Transition",
J472&lt;2477,"High",
J472&lt;2996,"Refractory I",
TRUE,"Refractory II"
)</f>
        <v>Low</v>
      </c>
      <c r="U472">
        <f t="shared" si="23"/>
        <v>1.1530835552508767</v>
      </c>
      <c r="V472" t="str" cm="1">
        <f t="array" ref="V472">_xlfn.IFS(U472&lt;0.25,"shallow condution",
U472&lt;0.5,"transition",
U472&lt;1,"conduction",
U472&lt;1.5,"transition",U472&lt;3,"keyholeⅠ",3&lt;=U472,"keyhole Ⅱ"
)</f>
        <v>transition</v>
      </c>
      <c r="X472">
        <f t="shared" si="24"/>
        <v>0.86723984176708668</v>
      </c>
    </row>
    <row r="473" spans="1:24">
      <c r="A473" s="2" t="s">
        <v>57</v>
      </c>
      <c r="B473" s="4">
        <v>350</v>
      </c>
      <c r="C473" s="4">
        <v>600</v>
      </c>
      <c r="D473" s="4">
        <v>9.7799999999999994</v>
      </c>
      <c r="E473" s="4">
        <v>10.9</v>
      </c>
      <c r="F473" s="4">
        <v>151</v>
      </c>
      <c r="G473" s="16" t="s">
        <v>92</v>
      </c>
      <c r="H473" s="4">
        <v>0.122</v>
      </c>
      <c r="I473" s="4">
        <v>7.97</v>
      </c>
      <c r="J473" s="4">
        <v>271</v>
      </c>
      <c r="K473" s="4">
        <v>1564</v>
      </c>
      <c r="L473" s="4">
        <v>0.7</v>
      </c>
      <c r="M473" s="4">
        <v>336</v>
      </c>
      <c r="N473" s="5">
        <v>611.22</v>
      </c>
      <c r="Q473" s="1">
        <f t="shared" si="22"/>
        <v>149.57264957264957</v>
      </c>
      <c r="R473" t="str" cm="1">
        <f t="array" ref="R473">_xlfn.IFS(Q473&lt;42.7, "low",
Q473&lt;85.4,"medium low",
Q473&lt;128,"medium high",
Q473&gt;=128,"high"
)</f>
        <v>high</v>
      </c>
      <c r="S473" t="str" cm="1">
        <f t="array" ref="S473">_xlfn.IFS(J473&lt;700,"low",J473&lt;1600,"medium low",J473&lt;2200,"medium high",J473&gt;=2200,"high")</f>
        <v>low</v>
      </c>
      <c r="T473" t="str" cm="1">
        <f t="array" ref="T473">_xlfn.IFS(
J473&lt;630,"Low",
J473&lt;1287,"Medium",
J473&lt;1495,"Intermediate",
J473&lt;1668,"Moderately",
J473&lt;1843,"Transition",
J473&lt;2477,"High",
J473&lt;2996,"Refractory I",
TRUE,"Refractory II"
)</f>
        <v>Low</v>
      </c>
      <c r="U473">
        <f t="shared" si="23"/>
        <v>1.819107142857143</v>
      </c>
      <c r="V473" t="str" cm="1">
        <f t="array" ref="V473">_xlfn.IFS(U473&lt;0.25,"shallow condution",
U473&lt;0.5,"transition",
U473&lt;1,"conduction",
U473&lt;1.5,"transition",U473&lt;3,"keyholeⅠ",3&lt;=U473,"keyhole Ⅱ"
)</f>
        <v>keyholeⅠ</v>
      </c>
      <c r="X473">
        <f t="shared" si="24"/>
        <v>0.54972023166781192</v>
      </c>
    </row>
    <row r="474" spans="1:24">
      <c r="A474" s="2" t="s">
        <v>57</v>
      </c>
      <c r="B474" s="4">
        <v>350</v>
      </c>
      <c r="C474" s="4">
        <v>800</v>
      </c>
      <c r="D474" s="4">
        <v>9.7799999999999994</v>
      </c>
      <c r="E474" s="4">
        <v>10.9</v>
      </c>
      <c r="F474" s="4">
        <v>151</v>
      </c>
      <c r="G474" s="16" t="s">
        <v>92</v>
      </c>
      <c r="H474" s="4">
        <v>0.122</v>
      </c>
      <c r="I474" s="4">
        <v>7.97</v>
      </c>
      <c r="J474" s="4">
        <v>271</v>
      </c>
      <c r="K474" s="4">
        <v>1564</v>
      </c>
      <c r="L474" s="4">
        <v>0.7</v>
      </c>
      <c r="M474" s="4">
        <v>355.5</v>
      </c>
      <c r="N474" s="5">
        <v>733.58</v>
      </c>
      <c r="Q474" s="1">
        <f t="shared" si="22"/>
        <v>112.17948717948718</v>
      </c>
      <c r="R474" t="str" cm="1">
        <f t="array" ref="R474">_xlfn.IFS(Q474&lt;42.7, "low",
Q474&lt;85.4,"medium low",
Q474&lt;128,"medium high",
Q474&gt;=128,"high"
)</f>
        <v>medium high</v>
      </c>
      <c r="S474" t="str" cm="1">
        <f t="array" ref="S474">_xlfn.IFS(J474&lt;700,"low",J474&lt;1600,"medium low",J474&lt;2200,"medium high",J474&gt;=2200,"high")</f>
        <v>low</v>
      </c>
      <c r="T474" t="str" cm="1">
        <f t="array" ref="T474">_xlfn.IFS(
J474&lt;630,"Low",
J474&lt;1287,"Medium",
J474&lt;1495,"Intermediate",
J474&lt;1668,"Moderately",
J474&lt;1843,"Transition",
J474&lt;2477,"High",
J474&lt;2996,"Refractory I",
TRUE,"Refractory II"
)</f>
        <v>Low</v>
      </c>
      <c r="U474">
        <f t="shared" si="23"/>
        <v>2.0635161744022503</v>
      </c>
      <c r="V474" t="str" cm="1">
        <f t="array" ref="V474">_xlfn.IFS(U474&lt;0.25,"shallow condution",
U474&lt;0.5,"transition",
U474&lt;1,"conduction",
U474&lt;1.5,"transition",U474&lt;3,"keyholeⅠ",3&lt;=U474,"keyhole Ⅱ"
)</f>
        <v>keyholeⅠ</v>
      </c>
      <c r="X474">
        <f t="shared" si="24"/>
        <v>0.48460972218435616</v>
      </c>
    </row>
    <row r="475" spans="1:24">
      <c r="A475" s="2" t="s">
        <v>57</v>
      </c>
      <c r="B475" s="4">
        <v>350</v>
      </c>
      <c r="C475" s="4">
        <v>1000</v>
      </c>
      <c r="D475" s="4">
        <v>9.7799999999999994</v>
      </c>
      <c r="E475" s="4">
        <v>10.9</v>
      </c>
      <c r="F475" s="4">
        <v>151</v>
      </c>
      <c r="G475" s="16" t="s">
        <v>92</v>
      </c>
      <c r="H475" s="4">
        <v>0.122</v>
      </c>
      <c r="I475" s="4">
        <v>7.97</v>
      </c>
      <c r="J475" s="4">
        <v>271</v>
      </c>
      <c r="K475" s="4">
        <v>1564</v>
      </c>
      <c r="L475" s="4">
        <v>0.7</v>
      </c>
      <c r="M475" s="4">
        <v>512.89</v>
      </c>
      <c r="N475" s="5">
        <v>665.75</v>
      </c>
      <c r="Q475" s="1">
        <f t="shared" si="22"/>
        <v>89.743589743589737</v>
      </c>
      <c r="R475" t="str" cm="1">
        <f t="array" ref="R475">_xlfn.IFS(Q475&lt;42.7, "low",
Q475&lt;85.4,"medium low",
Q475&lt;128,"medium high",
Q475&gt;=128,"high"
)</f>
        <v>medium high</v>
      </c>
      <c r="S475" t="str" cm="1">
        <f t="array" ref="S475">_xlfn.IFS(J475&lt;700,"low",J475&lt;1600,"medium low",J475&lt;2200,"medium high",J475&gt;=2200,"high")</f>
        <v>low</v>
      </c>
      <c r="T475" t="str" cm="1">
        <f t="array" ref="T475">_xlfn.IFS(
J475&lt;630,"Low",
J475&lt;1287,"Medium",
J475&lt;1495,"Intermediate",
J475&lt;1668,"Moderately",
J475&lt;1843,"Transition",
J475&lt;2477,"High",
J475&lt;2996,"Refractory I",
TRUE,"Refractory II"
)</f>
        <v>Low</v>
      </c>
      <c r="U475">
        <f t="shared" si="23"/>
        <v>1.2980366160385268</v>
      </c>
      <c r="V475" t="str" cm="1">
        <f t="array" ref="V475">_xlfn.IFS(U475&lt;0.25,"shallow condution",
U475&lt;0.5,"transition",
U475&lt;1,"conduction",
U475&lt;1.5,"transition",U475&lt;3,"keyholeⅠ",3&lt;=U475,"keyhole Ⅱ"
)</f>
        <v>transition</v>
      </c>
      <c r="X475">
        <f t="shared" si="24"/>
        <v>0.77039429215170863</v>
      </c>
    </row>
    <row r="476" spans="1:24">
      <c r="A476" s="2" t="s">
        <v>57</v>
      </c>
      <c r="B476" s="4">
        <v>350</v>
      </c>
      <c r="C476" s="4">
        <v>1200</v>
      </c>
      <c r="D476" s="4">
        <v>9.7799999999999994</v>
      </c>
      <c r="E476" s="4">
        <v>10.9</v>
      </c>
      <c r="F476" s="4">
        <v>151</v>
      </c>
      <c r="G476" s="16" t="s">
        <v>92</v>
      </c>
      <c r="H476" s="4">
        <v>0.122</v>
      </c>
      <c r="I476" s="4">
        <v>7.97</v>
      </c>
      <c r="J476" s="4">
        <v>271</v>
      </c>
      <c r="K476" s="4">
        <v>1564</v>
      </c>
      <c r="L476" s="4">
        <v>0.7</v>
      </c>
      <c r="M476" s="4">
        <v>514.42999999999995</v>
      </c>
      <c r="N476" s="5">
        <v>1012.21</v>
      </c>
      <c r="Q476" s="1">
        <f t="shared" si="22"/>
        <v>74.786324786324784</v>
      </c>
      <c r="R476" t="str" cm="1">
        <f t="array" ref="R476">_xlfn.IFS(Q476&lt;42.7, "low",
Q476&lt;85.4,"medium low",
Q476&lt;128,"medium high",
Q476&gt;=128,"high"
)</f>
        <v>medium low</v>
      </c>
      <c r="S476" t="str" cm="1">
        <f t="array" ref="S476">_xlfn.IFS(J476&lt;700,"low",J476&lt;1600,"medium low",J476&lt;2200,"medium high",J476&gt;=2200,"high")</f>
        <v>low</v>
      </c>
      <c r="T476" t="str" cm="1">
        <f t="array" ref="T476">_xlfn.IFS(
J476&lt;630,"Low",
J476&lt;1287,"Medium",
J476&lt;1495,"Intermediate",
J476&lt;1668,"Moderately",
J476&lt;1843,"Transition",
J476&lt;2477,"High",
J476&lt;2996,"Refractory I",
TRUE,"Refractory II"
)</f>
        <v>Low</v>
      </c>
      <c r="U476">
        <f t="shared" si="23"/>
        <v>1.9676340804385439</v>
      </c>
      <c r="V476" t="str" cm="1">
        <f t="array" ref="V476">_xlfn.IFS(U476&lt;0.25,"shallow condution",
U476&lt;0.5,"transition",
U476&lt;1,"conduction",
U476&lt;1.5,"transition",U476&lt;3,"keyholeⅠ",3&lt;=U476,"keyhole Ⅱ"
)</f>
        <v>keyholeⅠ</v>
      </c>
      <c r="X476">
        <f t="shared" si="24"/>
        <v>0.50822457790379461</v>
      </c>
    </row>
    <row r="477" spans="1:24">
      <c r="A477" s="2" t="s">
        <v>57</v>
      </c>
      <c r="B477" s="4">
        <v>350</v>
      </c>
      <c r="C477" s="4">
        <v>1600</v>
      </c>
      <c r="D477" s="4">
        <v>9.7799999999999994</v>
      </c>
      <c r="E477" s="4">
        <v>10.9</v>
      </c>
      <c r="F477" s="4">
        <v>151</v>
      </c>
      <c r="G477" s="16" t="s">
        <v>92</v>
      </c>
      <c r="H477" s="4">
        <v>0.122</v>
      </c>
      <c r="I477" s="4">
        <v>7.97</v>
      </c>
      <c r="J477" s="4">
        <v>271</v>
      </c>
      <c r="K477" s="4">
        <v>1564</v>
      </c>
      <c r="L477" s="4">
        <v>0.7</v>
      </c>
      <c r="M477" s="4">
        <v>541.1</v>
      </c>
      <c r="N477" s="5">
        <v>1062.9100000000001</v>
      </c>
      <c r="Q477" s="1">
        <f t="shared" si="22"/>
        <v>56.089743589743591</v>
      </c>
      <c r="R477" t="str" cm="1">
        <f t="array" ref="R477">_xlfn.IFS(Q477&lt;42.7, "low",
Q477&lt;85.4,"medium low",
Q477&lt;128,"medium high",
Q477&gt;=128,"high"
)</f>
        <v>medium low</v>
      </c>
      <c r="S477" t="str" cm="1">
        <f t="array" ref="S477">_xlfn.IFS(J477&lt;700,"low",J477&lt;1600,"medium low",J477&lt;2200,"medium high",J477&gt;=2200,"high")</f>
        <v>low</v>
      </c>
      <c r="T477" t="str" cm="1">
        <f t="array" ref="T477">_xlfn.IFS(
J477&lt;630,"Low",
J477&lt;1287,"Medium",
J477&lt;1495,"Intermediate",
J477&lt;1668,"Moderately",
J477&lt;1843,"Transition",
J477&lt;2477,"High",
J477&lt;2996,"Refractory I",
TRUE,"Refractory II"
)</f>
        <v>Low</v>
      </c>
      <c r="U477">
        <f t="shared" si="23"/>
        <v>1.9643503973387544</v>
      </c>
      <c r="V477" t="str" cm="1">
        <f t="array" ref="V477">_xlfn.IFS(U477&lt;0.25,"shallow condution",
U477&lt;0.5,"transition",
U477&lt;1,"conduction",
U477&lt;1.5,"transition",U477&lt;3,"keyholeⅠ",3&lt;=U477,"keyhole Ⅱ"
)</f>
        <v>keyholeⅠ</v>
      </c>
      <c r="X477">
        <f t="shared" si="24"/>
        <v>0.50907414550620467</v>
      </c>
    </row>
    <row r="478" spans="1:24">
      <c r="A478" s="2" t="s">
        <v>57</v>
      </c>
      <c r="B478" s="4">
        <v>350</v>
      </c>
      <c r="C478" s="4">
        <v>2000</v>
      </c>
      <c r="D478" s="4">
        <v>9.7799999999999994</v>
      </c>
      <c r="E478" s="4">
        <v>10.9</v>
      </c>
      <c r="F478" s="4">
        <v>151</v>
      </c>
      <c r="G478" s="16" t="s">
        <v>92</v>
      </c>
      <c r="H478" s="4">
        <v>0.122</v>
      </c>
      <c r="I478" s="4">
        <v>7.97</v>
      </c>
      <c r="J478" s="4">
        <v>271</v>
      </c>
      <c r="K478" s="4">
        <v>1564</v>
      </c>
      <c r="L478" s="4">
        <v>0.7</v>
      </c>
      <c r="M478" s="4">
        <v>545</v>
      </c>
      <c r="N478" s="5">
        <v>1467.26</v>
      </c>
      <c r="Q478" s="1">
        <f t="shared" si="22"/>
        <v>44.871794871794869</v>
      </c>
      <c r="R478" t="str" cm="1">
        <f t="array" ref="R478">_xlfn.IFS(Q478&lt;42.7, "low",
Q478&lt;85.4,"medium low",
Q478&lt;128,"medium high",
Q478&gt;=128,"high"
)</f>
        <v>medium low</v>
      </c>
      <c r="S478" t="str" cm="1">
        <f t="array" ref="S478">_xlfn.IFS(J478&lt;700,"low",J478&lt;1600,"medium low",J478&lt;2200,"medium high",J478&gt;=2200,"high")</f>
        <v>low</v>
      </c>
      <c r="T478" t="str" cm="1">
        <f t="array" ref="T478">_xlfn.IFS(
J478&lt;630,"Low",
J478&lt;1287,"Medium",
J478&lt;1495,"Intermediate",
J478&lt;1668,"Moderately",
J478&lt;1843,"Transition",
J478&lt;2477,"High",
J478&lt;2996,"Refractory I",
TRUE,"Refractory II"
)</f>
        <v>Low</v>
      </c>
      <c r="U478">
        <f t="shared" si="23"/>
        <v>2.6922201834862385</v>
      </c>
      <c r="V478" t="str" cm="1">
        <f t="array" ref="V478">_xlfn.IFS(U478&lt;0.25,"shallow condution",
U478&lt;0.5,"transition",
U478&lt;1,"conduction",
U478&lt;1.5,"transition",U478&lt;3,"keyholeⅠ",3&lt;=U478,"keyhole Ⅱ"
)</f>
        <v>keyholeⅠ</v>
      </c>
      <c r="X478">
        <f t="shared" si="24"/>
        <v>0.37144064446655672</v>
      </c>
    </row>
    <row r="479" spans="1:24">
      <c r="A479" s="2" t="s">
        <v>57</v>
      </c>
      <c r="B479" s="4">
        <v>350</v>
      </c>
      <c r="C479" s="4">
        <v>2400</v>
      </c>
      <c r="D479" s="4">
        <v>9.7799999999999994</v>
      </c>
      <c r="E479" s="4">
        <v>10.9</v>
      </c>
      <c r="F479" s="4">
        <v>151</v>
      </c>
      <c r="G479" s="16" t="s">
        <v>92</v>
      </c>
      <c r="H479" s="4">
        <v>0.122</v>
      </c>
      <c r="I479" s="4">
        <v>7.97</v>
      </c>
      <c r="J479" s="4">
        <v>271</v>
      </c>
      <c r="K479" s="4">
        <v>1564</v>
      </c>
      <c r="L479" s="4">
        <v>0.7</v>
      </c>
      <c r="M479" s="4">
        <v>501.22</v>
      </c>
      <c r="N479" s="5">
        <v>1927</v>
      </c>
      <c r="Q479" s="1">
        <f t="shared" si="22"/>
        <v>37.393162393162392</v>
      </c>
      <c r="R479" t="str" cm="1">
        <f t="array" ref="R479">_xlfn.IFS(Q479&lt;42.7, "low",
Q479&lt;85.4,"medium low",
Q479&lt;128,"medium high",
Q479&gt;=128,"high"
)</f>
        <v>low</v>
      </c>
      <c r="S479" t="str" cm="1">
        <f t="array" ref="S479">_xlfn.IFS(J479&lt;700,"low",J479&lt;1600,"medium low",J479&lt;2200,"medium high",J479&gt;=2200,"high")</f>
        <v>low</v>
      </c>
      <c r="T479" t="str" cm="1">
        <f t="array" ref="T479">_xlfn.IFS(
J479&lt;630,"Low",
J479&lt;1287,"Medium",
J479&lt;1495,"Intermediate",
J479&lt;1668,"Moderately",
J479&lt;1843,"Transition",
J479&lt;2477,"High",
J479&lt;2996,"Refractory I",
TRUE,"Refractory II"
)</f>
        <v>Low</v>
      </c>
      <c r="U479">
        <f t="shared" si="23"/>
        <v>3.8446191293244483</v>
      </c>
      <c r="V479" t="str" cm="1">
        <f t="array" ref="V479">_xlfn.IFS(U479&lt;0.25,"shallow condution",
U479&lt;0.5,"transition",
U479&lt;1,"conduction",
U479&lt;1.5,"transition",U479&lt;3,"keyholeⅠ",3&lt;=U479,"keyhole Ⅱ"
)</f>
        <v>keyhole Ⅱ</v>
      </c>
      <c r="X479">
        <f t="shared" si="24"/>
        <v>0.26010378827192526</v>
      </c>
    </row>
    <row r="480" spans="1:24">
      <c r="A480" s="2" t="s">
        <v>57</v>
      </c>
      <c r="B480" s="4">
        <v>100</v>
      </c>
      <c r="C480" s="4">
        <v>300</v>
      </c>
      <c r="D480" s="4">
        <v>9.7799999999999994</v>
      </c>
      <c r="E480" s="4">
        <v>10.9</v>
      </c>
      <c r="F480" s="4">
        <v>151</v>
      </c>
      <c r="G480" s="16" t="s">
        <v>92</v>
      </c>
      <c r="H480" s="4">
        <v>0.122</v>
      </c>
      <c r="I480" s="4">
        <v>7.97</v>
      </c>
      <c r="J480" s="4">
        <v>271</v>
      </c>
      <c r="K480" s="4">
        <v>1564</v>
      </c>
      <c r="L480" s="4">
        <v>0.7</v>
      </c>
      <c r="M480" s="4">
        <v>469.67</v>
      </c>
      <c r="N480" s="5">
        <v>363.24</v>
      </c>
      <c r="Q480" s="1">
        <f t="shared" si="22"/>
        <v>85.470085470085465</v>
      </c>
      <c r="R480" t="str" cm="1">
        <f t="array" ref="R480">_xlfn.IFS(Q480&lt;42.7, "low",
Q480&lt;85.4,"medium low",
Q480&lt;128,"medium high",
Q480&gt;=128,"high"
)</f>
        <v>medium high</v>
      </c>
      <c r="S480" t="str" cm="1">
        <f t="array" ref="S480">_xlfn.IFS(J480&lt;700,"low",J480&lt;1600,"medium low",J480&lt;2200,"medium high",J480&gt;=2200,"high")</f>
        <v>low</v>
      </c>
      <c r="T480" t="str" cm="1">
        <f t="array" ref="T480">_xlfn.IFS(
J480&lt;630,"Low",
J480&lt;1287,"Medium",
J480&lt;1495,"Intermediate",
J480&lt;1668,"Moderately",
J480&lt;1843,"Transition",
J480&lt;2477,"High",
J480&lt;2996,"Refractory I",
TRUE,"Refractory II"
)</f>
        <v>Low</v>
      </c>
      <c r="U480">
        <f t="shared" si="23"/>
        <v>0.77339408520876363</v>
      </c>
      <c r="V480" t="str" cm="1">
        <f t="array" ref="V480">_xlfn.IFS(U480&lt;0.25,"shallow condution",
U480&lt;0.5,"transition",
U480&lt;1,"conduction",
U480&lt;1.5,"transition",U480&lt;3,"keyholeⅠ",3&lt;=U480,"keyhole Ⅱ"
)</f>
        <v>conduction</v>
      </c>
      <c r="X480">
        <f t="shared" si="24"/>
        <v>1.2930018720405241</v>
      </c>
    </row>
    <row r="481" spans="1:24">
      <c r="A481" s="2" t="s">
        <v>57</v>
      </c>
      <c r="B481" s="4">
        <v>150</v>
      </c>
      <c r="C481" s="4">
        <v>300</v>
      </c>
      <c r="D481" s="4">
        <v>9.7799999999999994</v>
      </c>
      <c r="E481" s="4">
        <v>10.9</v>
      </c>
      <c r="F481" s="4">
        <v>151</v>
      </c>
      <c r="G481" s="16" t="s">
        <v>92</v>
      </c>
      <c r="H481" s="4">
        <v>0.122</v>
      </c>
      <c r="I481" s="4">
        <v>7.97</v>
      </c>
      <c r="J481" s="4">
        <v>271</v>
      </c>
      <c r="K481" s="4">
        <v>1564</v>
      </c>
      <c r="L481" s="4">
        <v>0.7</v>
      </c>
      <c r="M481" s="4">
        <v>476</v>
      </c>
      <c r="N481" s="5">
        <v>1075.19</v>
      </c>
      <c r="Q481" s="1">
        <f t="shared" si="22"/>
        <v>128.2051282051282</v>
      </c>
      <c r="R481" t="str" cm="1">
        <f t="array" ref="R481">_xlfn.IFS(Q481&lt;42.7, "low",
Q481&lt;85.4,"medium low",
Q481&lt;128,"medium high",
Q481&gt;=128,"high"
)</f>
        <v>high</v>
      </c>
      <c r="S481" t="str" cm="1">
        <f t="array" ref="S481">_xlfn.IFS(J481&lt;700,"low",J481&lt;1600,"medium low",J481&lt;2200,"medium high",J481&gt;=2200,"high")</f>
        <v>low</v>
      </c>
      <c r="T481" t="str" cm="1">
        <f t="array" ref="T481">_xlfn.IFS(
J481&lt;630,"Low",
J481&lt;1287,"Medium",
J481&lt;1495,"Intermediate",
J481&lt;1668,"Moderately",
J481&lt;1843,"Transition",
J481&lt;2477,"High",
J481&lt;2996,"Refractory I",
TRUE,"Refractory II"
)</f>
        <v>Low</v>
      </c>
      <c r="U481">
        <f t="shared" si="23"/>
        <v>2.2588025210084033</v>
      </c>
      <c r="V481" t="str" cm="1">
        <f t="array" ref="V481">_xlfn.IFS(U481&lt;0.25,"shallow condution",
U481&lt;0.5,"transition",
U481&lt;1,"conduction",
U481&lt;1.5,"transition",U481&lt;3,"keyholeⅠ",3&lt;=U481,"keyhole Ⅱ"
)</f>
        <v>keyholeⅠ</v>
      </c>
      <c r="X481">
        <f t="shared" si="24"/>
        <v>0.44271245082264526</v>
      </c>
    </row>
    <row r="482" spans="1:24">
      <c r="A482" s="2" t="s">
        <v>57</v>
      </c>
      <c r="B482" s="4">
        <v>200</v>
      </c>
      <c r="C482" s="4">
        <v>300</v>
      </c>
      <c r="D482" s="4">
        <v>9.7799999999999994</v>
      </c>
      <c r="E482" s="4">
        <v>10.9</v>
      </c>
      <c r="F482" s="4">
        <v>151</v>
      </c>
      <c r="G482" s="16" t="s">
        <v>92</v>
      </c>
      <c r="H482" s="4">
        <v>0.122</v>
      </c>
      <c r="I482" s="4">
        <v>7.97</v>
      </c>
      <c r="J482" s="4">
        <v>271</v>
      </c>
      <c r="K482" s="4">
        <v>1564</v>
      </c>
      <c r="L482" s="4">
        <v>0.7</v>
      </c>
      <c r="M482" s="4">
        <v>374.79</v>
      </c>
      <c r="N482" s="5">
        <v>1318.93</v>
      </c>
      <c r="Q482" s="1">
        <f t="shared" si="22"/>
        <v>170.94017094017093</v>
      </c>
      <c r="R482" t="str" cm="1">
        <f t="array" ref="R482">_xlfn.IFS(Q482&lt;42.7, "low",
Q482&lt;85.4,"medium low",
Q482&lt;128,"medium high",
Q482&gt;=128,"high"
)</f>
        <v>high</v>
      </c>
      <c r="S482" t="str" cm="1">
        <f t="array" ref="S482">_xlfn.IFS(J482&lt;700,"low",J482&lt;1600,"medium low",J482&lt;2200,"medium high",J482&gt;=2200,"high")</f>
        <v>low</v>
      </c>
      <c r="T482" t="str" cm="1">
        <f t="array" ref="T482">_xlfn.IFS(
J482&lt;630,"Low",
J482&lt;1287,"Medium",
J482&lt;1495,"Intermediate",
J482&lt;1668,"Moderately",
J482&lt;1843,"Transition",
J482&lt;2477,"High",
J482&lt;2996,"Refractory I",
TRUE,"Refractory II"
)</f>
        <v>Low</v>
      </c>
      <c r="U482">
        <f t="shared" si="23"/>
        <v>3.5191173723952081</v>
      </c>
      <c r="V482" t="str" cm="1">
        <f t="array" ref="V482">_xlfn.IFS(U482&lt;0.25,"shallow condution",
U482&lt;0.5,"transition",
U482&lt;1,"conduction",
U482&lt;1.5,"transition",U482&lt;3,"keyholeⅠ",3&lt;=U482,"keyhole Ⅱ"
)</f>
        <v>keyhole Ⅱ</v>
      </c>
      <c r="X482">
        <f t="shared" ref="X482:X509" si="25">M482/N482</f>
        <v>0.28416216175232956</v>
      </c>
    </row>
    <row r="483" spans="1:24">
      <c r="A483" s="2" t="s">
        <v>57</v>
      </c>
      <c r="B483" s="4">
        <v>100</v>
      </c>
      <c r="C483" s="4">
        <v>600</v>
      </c>
      <c r="D483" s="4">
        <v>9.7799999999999994</v>
      </c>
      <c r="E483" s="4">
        <v>10.9</v>
      </c>
      <c r="F483" s="4">
        <v>151</v>
      </c>
      <c r="G483" s="16" t="s">
        <v>92</v>
      </c>
      <c r="H483" s="4">
        <v>0.122</v>
      </c>
      <c r="I483" s="4">
        <v>7.97</v>
      </c>
      <c r="J483" s="4">
        <v>271</v>
      </c>
      <c r="K483" s="4">
        <v>1564</v>
      </c>
      <c r="L483" s="4">
        <v>0.7</v>
      </c>
      <c r="M483" s="4">
        <v>304.54000000000002</v>
      </c>
      <c r="N483" s="5">
        <v>185.2</v>
      </c>
      <c r="Q483" s="1">
        <f t="shared" si="22"/>
        <v>42.735042735042732</v>
      </c>
      <c r="R483" t="str" cm="1">
        <f t="array" ref="R483">_xlfn.IFS(Q483&lt;42.7, "low",
Q483&lt;85.4,"medium low",
Q483&lt;128,"medium high",
Q483&gt;=128,"high"
)</f>
        <v>medium low</v>
      </c>
      <c r="S483" t="str" cm="1">
        <f t="array" ref="S483">_xlfn.IFS(J483&lt;700,"low",J483&lt;1600,"medium low",J483&lt;2200,"medium high",J483&gt;=2200,"high")</f>
        <v>low</v>
      </c>
      <c r="T483" t="str" cm="1">
        <f t="array" ref="T483">_xlfn.IFS(
J483&lt;630,"Low",
J483&lt;1287,"Medium",
J483&lt;1495,"Intermediate",
J483&lt;1668,"Moderately",
J483&lt;1843,"Transition",
J483&lt;2477,"High",
J483&lt;2996,"Refractory I",
TRUE,"Refractory II"
)</f>
        <v>Low</v>
      </c>
      <c r="U483">
        <f t="shared" si="23"/>
        <v>0.60813029487095283</v>
      </c>
      <c r="V483" t="str" cm="1">
        <f t="array" ref="V483">_xlfn.IFS(U483&lt;0.25,"shallow condution",
U483&lt;0.5,"transition",
U483&lt;1,"conduction",
U483&lt;1.5,"transition",U483&lt;3,"keyholeⅠ",3&lt;=U483,"keyhole Ⅱ"
)</f>
        <v>conduction</v>
      </c>
      <c r="X483">
        <f t="shared" si="25"/>
        <v>1.6443844492440607</v>
      </c>
    </row>
    <row r="484" spans="1:24">
      <c r="A484" s="2" t="s">
        <v>57</v>
      </c>
      <c r="B484" s="4">
        <v>150</v>
      </c>
      <c r="C484" s="4">
        <v>600</v>
      </c>
      <c r="D484" s="4">
        <v>9.7799999999999994</v>
      </c>
      <c r="E484" s="4">
        <v>10.9</v>
      </c>
      <c r="F484" s="4">
        <v>151</v>
      </c>
      <c r="G484" s="16" t="s">
        <v>92</v>
      </c>
      <c r="H484" s="4">
        <v>0.122</v>
      </c>
      <c r="I484" s="4">
        <v>7.97</v>
      </c>
      <c r="J484" s="4">
        <v>271</v>
      </c>
      <c r="K484" s="4">
        <v>1564</v>
      </c>
      <c r="L484" s="4">
        <v>0.7</v>
      </c>
      <c r="M484" s="4">
        <v>286.98</v>
      </c>
      <c r="N484" s="5">
        <v>1081.5899999999999</v>
      </c>
      <c r="Q484" s="1">
        <f t="shared" si="22"/>
        <v>64.102564102564102</v>
      </c>
      <c r="R484" t="str" cm="1">
        <f t="array" ref="R484">_xlfn.IFS(Q484&lt;42.7, "low",
Q484&lt;85.4,"medium low",
Q484&lt;128,"medium high",
Q484&gt;=128,"high"
)</f>
        <v>medium low</v>
      </c>
      <c r="S484" t="str" cm="1">
        <f t="array" ref="S484">_xlfn.IFS(J484&lt;700,"low",J484&lt;1600,"medium low",J484&lt;2200,"medium high",J484&gt;=2200,"high")</f>
        <v>low</v>
      </c>
      <c r="T484" t="str" cm="1">
        <f t="array" ref="T484">_xlfn.IFS(
J484&lt;630,"Low",
J484&lt;1287,"Medium",
J484&lt;1495,"Intermediate",
J484&lt;1668,"Moderately",
J484&lt;1843,"Transition",
J484&lt;2477,"High",
J484&lt;2996,"Refractory I",
TRUE,"Refractory II"
)</f>
        <v>Low</v>
      </c>
      <c r="U484">
        <f t="shared" si="23"/>
        <v>3.7688689107254856</v>
      </c>
      <c r="V484" t="str" cm="1">
        <f t="array" ref="V484">_xlfn.IFS(U484&lt;0.25,"shallow condution",
U484&lt;0.5,"transition",
U484&lt;1,"conduction",
U484&lt;1.5,"transition",U484&lt;3,"keyholeⅠ",3&lt;=U484,"keyhole Ⅱ"
)</f>
        <v>keyhole Ⅱ</v>
      </c>
      <c r="X484">
        <f t="shared" si="25"/>
        <v>0.26533159515158244</v>
      </c>
    </row>
    <row r="485" spans="1:24">
      <c r="A485" s="2" t="s">
        <v>57</v>
      </c>
      <c r="B485" s="4">
        <v>200</v>
      </c>
      <c r="C485" s="4">
        <v>600</v>
      </c>
      <c r="D485" s="4">
        <v>9.7799999999999994</v>
      </c>
      <c r="E485" s="4">
        <v>10.9</v>
      </c>
      <c r="F485" s="4">
        <v>151</v>
      </c>
      <c r="G485" s="16" t="s">
        <v>92</v>
      </c>
      <c r="H485" s="4">
        <v>0.122</v>
      </c>
      <c r="I485" s="4">
        <v>7.97</v>
      </c>
      <c r="J485" s="4">
        <v>271</v>
      </c>
      <c r="K485" s="4">
        <v>1564</v>
      </c>
      <c r="L485" s="4">
        <v>0.7</v>
      </c>
      <c r="M485" s="4">
        <v>396.37</v>
      </c>
      <c r="N485" s="5">
        <v>1222.94</v>
      </c>
      <c r="Q485" s="1">
        <f t="shared" si="22"/>
        <v>85.470085470085465</v>
      </c>
      <c r="R485" t="str" cm="1">
        <f t="array" ref="R485">_xlfn.IFS(Q485&lt;42.7, "low",
Q485&lt;85.4,"medium low",
Q485&lt;128,"medium high",
Q485&gt;=128,"high"
)</f>
        <v>medium high</v>
      </c>
      <c r="S485" t="str" cm="1">
        <f t="array" ref="S485">_xlfn.IFS(J485&lt;700,"low",J485&lt;1600,"medium low",J485&lt;2200,"medium high",J485&gt;=2200,"high")</f>
        <v>low</v>
      </c>
      <c r="T485" t="str" cm="1">
        <f t="array" ref="T485">_xlfn.IFS(
J485&lt;630,"Low",
J485&lt;1287,"Medium",
J485&lt;1495,"Intermediate",
J485&lt;1668,"Moderately",
J485&lt;1843,"Transition",
J485&lt;2477,"High",
J485&lt;2996,"Refractory I",
TRUE,"Refractory II"
)</f>
        <v>Low</v>
      </c>
      <c r="U485">
        <f t="shared" si="23"/>
        <v>3.0853495471402983</v>
      </c>
      <c r="V485" t="str" cm="1">
        <f t="array" ref="V485">_xlfn.IFS(U485&lt;0.25,"shallow condution",
U485&lt;0.5,"transition",
U485&lt;1,"conduction",
U485&lt;1.5,"transition",U485&lt;3,"keyholeⅠ",3&lt;=U485,"keyhole Ⅱ"
)</f>
        <v>keyhole Ⅱ</v>
      </c>
      <c r="X485">
        <f t="shared" si="25"/>
        <v>0.3241123849084992</v>
      </c>
    </row>
    <row r="486" spans="1:24">
      <c r="A486" s="2" t="s">
        <v>57</v>
      </c>
      <c r="B486" s="4">
        <v>250</v>
      </c>
      <c r="C486" s="4">
        <v>600</v>
      </c>
      <c r="D486" s="4">
        <v>9.7799999999999994</v>
      </c>
      <c r="E486" s="4">
        <v>10.9</v>
      </c>
      <c r="F486" s="4">
        <v>151</v>
      </c>
      <c r="G486" s="16" t="s">
        <v>92</v>
      </c>
      <c r="H486" s="4">
        <v>0.122</v>
      </c>
      <c r="I486" s="4">
        <v>7.97</v>
      </c>
      <c r="J486" s="4">
        <v>271</v>
      </c>
      <c r="K486" s="4">
        <v>1564</v>
      </c>
      <c r="L486" s="4">
        <v>0.7</v>
      </c>
      <c r="M486" s="4">
        <v>338.51</v>
      </c>
      <c r="N486" s="5">
        <v>1645.22</v>
      </c>
      <c r="Q486" s="1">
        <f t="shared" si="22"/>
        <v>106.83760683760684</v>
      </c>
      <c r="R486" t="str" cm="1">
        <f t="array" ref="R486">_xlfn.IFS(Q486&lt;42.7, "low",
Q486&lt;85.4,"medium low",
Q486&lt;128,"medium high",
Q486&gt;=128,"high"
)</f>
        <v>medium high</v>
      </c>
      <c r="S486" t="str" cm="1">
        <f t="array" ref="S486">_xlfn.IFS(J486&lt;700,"low",J486&lt;1600,"medium low",J486&lt;2200,"medium high",J486&gt;=2200,"high")</f>
        <v>low</v>
      </c>
      <c r="T486" t="str" cm="1">
        <f t="array" ref="T486">_xlfn.IFS(
J486&lt;630,"Low",
J486&lt;1287,"Medium",
J486&lt;1495,"Intermediate",
J486&lt;1668,"Moderately",
J486&lt;1843,"Transition",
J486&lt;2477,"High",
J486&lt;2996,"Refractory I",
TRUE,"Refractory II"
)</f>
        <v>Low</v>
      </c>
      <c r="U486">
        <f t="shared" si="23"/>
        <v>4.8601813831201444</v>
      </c>
      <c r="V486" t="str" cm="1">
        <f t="array" ref="V486">_xlfn.IFS(U486&lt;0.25,"shallow condution",
U486&lt;0.5,"transition",
U486&lt;1,"conduction",
U486&lt;1.5,"transition",U486&lt;3,"keyholeⅠ",3&lt;=U486,"keyhole Ⅱ"
)</f>
        <v>keyhole Ⅱ</v>
      </c>
      <c r="X486">
        <f t="shared" si="25"/>
        <v>0.20575363781135653</v>
      </c>
    </row>
    <row r="487" spans="1:24">
      <c r="A487" s="2" t="s">
        <v>57</v>
      </c>
      <c r="B487" s="4">
        <v>300</v>
      </c>
      <c r="C487" s="4">
        <v>600</v>
      </c>
      <c r="D487" s="4">
        <v>9.7799999999999994</v>
      </c>
      <c r="E487" s="4">
        <v>10.9</v>
      </c>
      <c r="F487" s="4">
        <v>151</v>
      </c>
      <c r="G487" s="16" t="s">
        <v>92</v>
      </c>
      <c r="H487" s="4">
        <v>0.122</v>
      </c>
      <c r="I487" s="4">
        <v>7.97</v>
      </c>
      <c r="J487" s="4">
        <v>271</v>
      </c>
      <c r="K487" s="4">
        <v>1564</v>
      </c>
      <c r="L487" s="4">
        <v>0.7</v>
      </c>
      <c r="M487" s="4">
        <v>518.55999999999995</v>
      </c>
      <c r="N487" s="5">
        <v>1692.52</v>
      </c>
      <c r="Q487" s="1">
        <f t="shared" si="22"/>
        <v>128.2051282051282</v>
      </c>
      <c r="R487" t="str" cm="1">
        <f t="array" ref="R487">_xlfn.IFS(Q487&lt;42.7, "low",
Q487&lt;85.4,"medium low",
Q487&lt;128,"medium high",
Q487&gt;=128,"high"
)</f>
        <v>high</v>
      </c>
      <c r="S487" t="str" cm="1">
        <f t="array" ref="S487">_xlfn.IFS(J487&lt;700,"low",J487&lt;1600,"medium low",J487&lt;2200,"medium high",J487&gt;=2200,"high")</f>
        <v>low</v>
      </c>
      <c r="T487" t="str" cm="1">
        <f t="array" ref="T487">_xlfn.IFS(
J487&lt;630,"Low",
J487&lt;1287,"Medium",
J487&lt;1495,"Intermediate",
J487&lt;1668,"Moderately",
J487&lt;1843,"Transition",
J487&lt;2477,"High",
J487&lt;2996,"Refractory I",
TRUE,"Refractory II"
)</f>
        <v>Low</v>
      </c>
      <c r="U487">
        <f t="shared" si="23"/>
        <v>3.2638846035174334</v>
      </c>
      <c r="V487" t="str" cm="1">
        <f t="array" ref="V487">_xlfn.IFS(U487&lt;0.25,"shallow condution",
U487&lt;0.5,"transition",
U487&lt;1,"conduction",
U487&lt;1.5,"transition",U487&lt;3,"keyholeⅠ",3&lt;=U487,"keyhole Ⅱ"
)</f>
        <v>keyhole Ⅱ</v>
      </c>
      <c r="X487">
        <f t="shared" si="25"/>
        <v>0.30638338099402074</v>
      </c>
    </row>
    <row r="488" spans="1:24">
      <c r="A488" s="2" t="s">
        <v>57</v>
      </c>
      <c r="B488" s="4">
        <v>100</v>
      </c>
      <c r="C488" s="4">
        <v>900</v>
      </c>
      <c r="D488" s="4">
        <v>9.7799999999999994</v>
      </c>
      <c r="E488" s="4">
        <v>10.9</v>
      </c>
      <c r="F488" s="4">
        <v>151</v>
      </c>
      <c r="G488" s="16" t="s">
        <v>92</v>
      </c>
      <c r="H488" s="4">
        <v>0.122</v>
      </c>
      <c r="I488" s="4">
        <v>7.97</v>
      </c>
      <c r="J488" s="4">
        <v>271</v>
      </c>
      <c r="K488" s="4">
        <v>1564</v>
      </c>
      <c r="L488" s="4">
        <v>0.7</v>
      </c>
      <c r="M488" s="4">
        <v>264</v>
      </c>
      <c r="N488" s="5">
        <v>507</v>
      </c>
      <c r="Q488" s="1">
        <f t="shared" si="22"/>
        <v>28.490028490028489</v>
      </c>
      <c r="R488" t="str" cm="1">
        <f t="array" ref="R488">_xlfn.IFS(Q488&lt;42.7, "low",
Q488&lt;85.4,"medium low",
Q488&lt;128,"medium high",
Q488&gt;=128,"high"
)</f>
        <v>low</v>
      </c>
      <c r="S488" t="str" cm="1">
        <f t="array" ref="S488">_xlfn.IFS(J488&lt;700,"low",J488&lt;1600,"medium low",J488&lt;2200,"medium high",J488&gt;=2200,"high")</f>
        <v>low</v>
      </c>
      <c r="T488" t="str" cm="1">
        <f t="array" ref="T488">_xlfn.IFS(
J488&lt;630,"Low",
J488&lt;1287,"Medium",
J488&lt;1495,"Intermediate",
J488&lt;1668,"Moderately",
J488&lt;1843,"Transition",
J488&lt;2477,"High",
J488&lt;2996,"Refractory I",
TRUE,"Refractory II"
)</f>
        <v>Low</v>
      </c>
      <c r="U488">
        <f t="shared" si="23"/>
        <v>1.9204545454545454</v>
      </c>
      <c r="V488" t="str" cm="1">
        <f t="array" ref="V488">_xlfn.IFS(U488&lt;0.25,"shallow condution",
U488&lt;0.5,"transition",
U488&lt;1,"conduction",
U488&lt;1.5,"transition",U488&lt;3,"keyholeⅠ",3&lt;=U488,"keyhole Ⅱ"
)</f>
        <v>keyholeⅠ</v>
      </c>
      <c r="X488">
        <f t="shared" si="25"/>
        <v>0.52071005917159763</v>
      </c>
    </row>
    <row r="489" spans="1:24">
      <c r="A489" s="2" t="s">
        <v>57</v>
      </c>
      <c r="B489" s="4">
        <v>150</v>
      </c>
      <c r="C489" s="4">
        <v>900</v>
      </c>
      <c r="D489" s="4">
        <v>9.7799999999999994</v>
      </c>
      <c r="E489" s="4">
        <v>10.9</v>
      </c>
      <c r="F489" s="4">
        <v>151</v>
      </c>
      <c r="G489" s="16" t="s">
        <v>92</v>
      </c>
      <c r="H489" s="4">
        <v>0.122</v>
      </c>
      <c r="I489" s="4">
        <v>7.97</v>
      </c>
      <c r="J489" s="4">
        <v>271</v>
      </c>
      <c r="K489" s="4">
        <v>1564</v>
      </c>
      <c r="L489" s="4">
        <v>0.7</v>
      </c>
      <c r="M489" s="4">
        <v>322.93</v>
      </c>
      <c r="N489" s="5">
        <v>838</v>
      </c>
      <c r="Q489" s="1">
        <f t="shared" si="22"/>
        <v>42.735042735042732</v>
      </c>
      <c r="R489" t="str" cm="1">
        <f t="array" ref="R489">_xlfn.IFS(Q489&lt;42.7, "low",
Q489&lt;85.4,"medium low",
Q489&lt;128,"medium high",
Q489&gt;=128,"high"
)</f>
        <v>medium low</v>
      </c>
      <c r="S489" t="str" cm="1">
        <f t="array" ref="S489">_xlfn.IFS(J489&lt;700,"low",J489&lt;1600,"medium low",J489&lt;2200,"medium high",J489&gt;=2200,"high")</f>
        <v>low</v>
      </c>
      <c r="T489" t="str" cm="1">
        <f t="array" ref="T489">_xlfn.IFS(
J489&lt;630,"Low",
J489&lt;1287,"Medium",
J489&lt;1495,"Intermediate",
J489&lt;1668,"Moderately",
J489&lt;1843,"Transition",
J489&lt;2477,"High",
J489&lt;2996,"Refractory I",
TRUE,"Refractory II"
)</f>
        <v>Low</v>
      </c>
      <c r="U489">
        <f t="shared" si="23"/>
        <v>2.5949896262347876</v>
      </c>
      <c r="V489" t="str" cm="1">
        <f t="array" ref="V489">_xlfn.IFS(U489&lt;0.25,"shallow condution",
U489&lt;0.5,"transition",
U489&lt;1,"conduction",
U489&lt;1.5,"transition",U489&lt;3,"keyholeⅠ",3&lt;=U489,"keyhole Ⅱ"
)</f>
        <v>keyholeⅠ</v>
      </c>
      <c r="X489">
        <f t="shared" si="25"/>
        <v>0.38535799522673031</v>
      </c>
    </row>
    <row r="490" spans="1:24">
      <c r="A490" s="2" t="s">
        <v>57</v>
      </c>
      <c r="B490" s="4">
        <v>200</v>
      </c>
      <c r="C490" s="4">
        <v>900</v>
      </c>
      <c r="D490" s="4">
        <v>9.7799999999999994</v>
      </c>
      <c r="E490" s="4">
        <v>10.9</v>
      </c>
      <c r="F490" s="4">
        <v>151</v>
      </c>
      <c r="G490" s="16" t="s">
        <v>92</v>
      </c>
      <c r="H490" s="4">
        <v>0.122</v>
      </c>
      <c r="I490" s="4">
        <v>7.97</v>
      </c>
      <c r="J490" s="4">
        <v>271</v>
      </c>
      <c r="K490" s="4">
        <v>1564</v>
      </c>
      <c r="L490" s="4">
        <v>0.7</v>
      </c>
      <c r="M490" s="4">
        <v>359.6</v>
      </c>
      <c r="N490" s="5">
        <v>722</v>
      </c>
      <c r="Q490" s="1">
        <f t="shared" si="22"/>
        <v>56.980056980056979</v>
      </c>
      <c r="R490" t="str" cm="1">
        <f t="array" ref="R490">_xlfn.IFS(Q490&lt;42.7, "low",
Q490&lt;85.4,"medium low",
Q490&lt;128,"medium high",
Q490&gt;=128,"high"
)</f>
        <v>medium low</v>
      </c>
      <c r="S490" t="str" cm="1">
        <f t="array" ref="S490">_xlfn.IFS(J490&lt;700,"low",J490&lt;1600,"medium low",J490&lt;2200,"medium high",J490&gt;=2200,"high")</f>
        <v>low</v>
      </c>
      <c r="T490" t="str" cm="1">
        <f t="array" ref="T490">_xlfn.IFS(
J490&lt;630,"Low",
J490&lt;1287,"Medium",
J490&lt;1495,"Intermediate",
J490&lt;1668,"Moderately",
J490&lt;1843,"Transition",
J490&lt;2477,"High",
J490&lt;2996,"Refractory I",
TRUE,"Refractory II"
)</f>
        <v>Low</v>
      </c>
      <c r="U490">
        <f t="shared" si="23"/>
        <v>2.0077864293659622</v>
      </c>
      <c r="V490" t="str" cm="1">
        <f t="array" ref="V490">_xlfn.IFS(U490&lt;0.25,"shallow condution",
U490&lt;0.5,"transition",
U490&lt;1,"conduction",
U490&lt;1.5,"transition",U490&lt;3,"keyholeⅠ",3&lt;=U490,"keyhole Ⅱ"
)</f>
        <v>keyholeⅠ</v>
      </c>
      <c r="X490">
        <f t="shared" si="25"/>
        <v>0.49806094182825489</v>
      </c>
    </row>
    <row r="491" spans="1:24">
      <c r="A491" s="2" t="s">
        <v>57</v>
      </c>
      <c r="B491" s="4">
        <v>250</v>
      </c>
      <c r="C491" s="4">
        <v>900</v>
      </c>
      <c r="D491" s="4">
        <v>9.7799999999999994</v>
      </c>
      <c r="E491" s="4">
        <v>10.9</v>
      </c>
      <c r="F491" s="4">
        <v>151</v>
      </c>
      <c r="G491" s="16" t="s">
        <v>92</v>
      </c>
      <c r="H491" s="4">
        <v>0.122</v>
      </c>
      <c r="I491" s="4">
        <v>7.97</v>
      </c>
      <c r="J491" s="4">
        <v>271</v>
      </c>
      <c r="K491" s="4">
        <v>1564</v>
      </c>
      <c r="L491" s="4">
        <v>0.7</v>
      </c>
      <c r="M491" s="4">
        <v>360.38</v>
      </c>
      <c r="N491" s="5">
        <v>1193</v>
      </c>
      <c r="Q491" s="1">
        <f t="shared" si="22"/>
        <v>71.225071225071218</v>
      </c>
      <c r="R491" t="str" cm="1">
        <f t="array" ref="R491">_xlfn.IFS(Q491&lt;42.7, "low",
Q491&lt;85.4,"medium low",
Q491&lt;128,"medium high",
Q491&gt;=128,"high"
)</f>
        <v>medium low</v>
      </c>
      <c r="S491" t="str" cm="1">
        <f t="array" ref="S491">_xlfn.IFS(J491&lt;700,"low",J491&lt;1600,"medium low",J491&lt;2200,"medium high",J491&gt;=2200,"high")</f>
        <v>low</v>
      </c>
      <c r="T491" t="str" cm="1">
        <f t="array" ref="T491">_xlfn.IFS(
J491&lt;630,"Low",
J491&lt;1287,"Medium",
J491&lt;1495,"Intermediate",
J491&lt;1668,"Moderately",
J491&lt;1843,"Transition",
J491&lt;2477,"High",
J491&lt;2996,"Refractory I",
TRUE,"Refractory II"
)</f>
        <v>Low</v>
      </c>
      <c r="U491">
        <f t="shared" si="23"/>
        <v>3.3103945834951998</v>
      </c>
      <c r="V491" t="str" cm="1">
        <f t="array" ref="V491">_xlfn.IFS(U491&lt;0.25,"shallow condution",
U491&lt;0.5,"transition",
U491&lt;1,"conduction",
U491&lt;1.5,"transition",U491&lt;3,"keyholeⅠ",3&lt;=U491,"keyhole Ⅱ"
)</f>
        <v>keyhole Ⅱ</v>
      </c>
      <c r="X491">
        <f t="shared" si="25"/>
        <v>0.30207879295892709</v>
      </c>
    </row>
    <row r="492" spans="1:24" ht="14.45" thickBot="1">
      <c r="A492" s="3" t="s">
        <v>57</v>
      </c>
      <c r="B492" s="7">
        <v>300</v>
      </c>
      <c r="C492" s="7">
        <v>900</v>
      </c>
      <c r="D492" s="7">
        <v>9.7799999999999994</v>
      </c>
      <c r="E492" s="7">
        <v>10.9</v>
      </c>
      <c r="F492" s="7">
        <v>151</v>
      </c>
      <c r="G492" s="16" t="s">
        <v>92</v>
      </c>
      <c r="H492" s="7">
        <v>0.122</v>
      </c>
      <c r="I492" s="7">
        <v>7.97</v>
      </c>
      <c r="J492" s="7">
        <v>271</v>
      </c>
      <c r="K492" s="7">
        <v>1564</v>
      </c>
      <c r="L492" s="7">
        <v>0.7</v>
      </c>
      <c r="M492" s="7">
        <v>364.45</v>
      </c>
      <c r="N492" s="15">
        <v>1233</v>
      </c>
      <c r="Q492" s="1">
        <f t="shared" si="22"/>
        <v>85.470085470085465</v>
      </c>
      <c r="R492" t="str" cm="1">
        <f t="array" ref="R492">_xlfn.IFS(Q492&lt;42.7, "low",
Q492&lt;85.4,"medium low",
Q492&lt;128,"medium high",
Q492&gt;=128,"high"
)</f>
        <v>medium high</v>
      </c>
      <c r="S492" t="str" cm="1">
        <f t="array" ref="S492">_xlfn.IFS(J492&lt;700,"low",J492&lt;1600,"medium low",J492&lt;2200,"medium high",J492&gt;=2200,"high")</f>
        <v>low</v>
      </c>
      <c r="T492" t="str" cm="1">
        <f t="array" ref="T492">_xlfn.IFS(
J492&lt;630,"Low",
J492&lt;1287,"Medium",
J492&lt;1495,"Intermediate",
J492&lt;1668,"Moderately",
J492&lt;1843,"Transition",
J492&lt;2477,"High",
J492&lt;2996,"Refractory I",
TRUE,"Refractory II"
)</f>
        <v>Low</v>
      </c>
      <c r="U492">
        <f t="shared" si="23"/>
        <v>3.3831801344491699</v>
      </c>
      <c r="V492" t="str" cm="1">
        <f t="array" ref="V492">_xlfn.IFS(U492&lt;0.25,"shallow condution",
U492&lt;0.5,"transition",
U492&lt;1,"conduction",
U492&lt;1.5,"transition",U492&lt;3,"keyholeⅠ",3&lt;=U492,"keyhole Ⅱ"
)</f>
        <v>keyhole Ⅱ</v>
      </c>
      <c r="X492">
        <f t="shared" si="25"/>
        <v>0.29557988645579886</v>
      </c>
    </row>
    <row r="493" spans="1:24">
      <c r="A493" s="19" t="s">
        <v>58</v>
      </c>
      <c r="B493" s="16">
        <v>200</v>
      </c>
      <c r="C493" s="16">
        <v>200</v>
      </c>
      <c r="D493" s="16">
        <v>8.57</v>
      </c>
      <c r="E493" s="16">
        <v>30</v>
      </c>
      <c r="F493" s="16">
        <v>680</v>
      </c>
      <c r="G493" s="16" t="s">
        <v>99</v>
      </c>
      <c r="H493" s="16">
        <v>0.26500000000000001</v>
      </c>
      <c r="I493" s="16">
        <v>53.7</v>
      </c>
      <c r="J493" s="16">
        <v>2477</v>
      </c>
      <c r="K493" s="16">
        <v>4744</v>
      </c>
      <c r="L493" s="16">
        <v>0.65</v>
      </c>
      <c r="M493" s="16">
        <v>245.22</v>
      </c>
      <c r="N493" s="17">
        <v>178.43</v>
      </c>
      <c r="Q493" s="1">
        <f t="shared" si="22"/>
        <v>256.41025641025641</v>
      </c>
      <c r="R493" t="str" cm="1">
        <f t="array" ref="R493">_xlfn.IFS(Q493&lt;42.7, "low",
Q493&lt;85.4,"medium low",
Q493&lt;128,"medium high",
Q493&gt;=128,"high"
)</f>
        <v>high</v>
      </c>
      <c r="S493" t="str" cm="1">
        <f t="array" ref="S493">_xlfn.IFS(J493&lt;700,"low",J493&lt;1600,"medium low",J493&lt;2200,"medium high",J493&gt;=2200,"high")</f>
        <v>high</v>
      </c>
      <c r="T493" t="str" cm="1">
        <f t="array" ref="T493">_xlfn.IFS(
J493&lt;630,"Low",
J493&lt;1287,"Medium",
J493&lt;1495,"Intermediate",
J493&lt;1668,"Moderately",
J493&lt;1843,"Transition",
J493&lt;2477,"High",
J493&lt;2996,"Refractory I",
TRUE,"Refractory II"
)</f>
        <v>Refractory I</v>
      </c>
      <c r="U493">
        <f t="shared" si="23"/>
        <v>0.72763233015251616</v>
      </c>
      <c r="V493" t="str" cm="1">
        <f t="array" ref="V493">_xlfn.IFS(U493&lt;0.25,"shallow condution",
U493&lt;0.5,"transition",
U493&lt;1,"conduction",
U493&lt;1.5,"transition",U493&lt;3,"keyholeⅠ",3&lt;=U493,"keyhole Ⅱ"
)</f>
        <v>conduction</v>
      </c>
      <c r="X493">
        <f t="shared" si="25"/>
        <v>1.3743204618057501</v>
      </c>
    </row>
    <row r="494" spans="1:24">
      <c r="A494" s="2" t="s">
        <v>58</v>
      </c>
      <c r="B494" s="4">
        <v>200</v>
      </c>
      <c r="C494" s="4">
        <v>400</v>
      </c>
      <c r="D494" s="4">
        <v>8.57</v>
      </c>
      <c r="E494" s="4">
        <v>30</v>
      </c>
      <c r="F494" s="4">
        <v>680</v>
      </c>
      <c r="G494" s="16" t="s">
        <v>99</v>
      </c>
      <c r="H494" s="4">
        <v>0.26500000000000001</v>
      </c>
      <c r="I494" s="4">
        <v>53.7</v>
      </c>
      <c r="J494" s="4">
        <v>2477</v>
      </c>
      <c r="K494" s="4">
        <v>4744</v>
      </c>
      <c r="L494" s="4">
        <v>0.65</v>
      </c>
      <c r="M494" s="4">
        <v>210.52</v>
      </c>
      <c r="N494" s="5">
        <v>113.7</v>
      </c>
      <c r="Q494" s="1">
        <f t="shared" si="22"/>
        <v>128.2051282051282</v>
      </c>
      <c r="R494" t="str" cm="1">
        <f t="array" ref="R494">_xlfn.IFS(Q494&lt;42.7, "low",
Q494&lt;85.4,"medium low",
Q494&lt;128,"medium high",
Q494&gt;=128,"high"
)</f>
        <v>high</v>
      </c>
      <c r="S494" t="str" cm="1">
        <f t="array" ref="S494">_xlfn.IFS(J494&lt;700,"low",J494&lt;1600,"medium low",J494&lt;2200,"medium high",J494&gt;=2200,"high")</f>
        <v>high</v>
      </c>
      <c r="T494" t="str" cm="1">
        <f t="array" ref="T494">_xlfn.IFS(
J494&lt;630,"Low",
J494&lt;1287,"Medium",
J494&lt;1495,"Intermediate",
J494&lt;1668,"Moderately",
J494&lt;1843,"Transition",
J494&lt;2477,"High",
J494&lt;2996,"Refractory I",
TRUE,"Refractory II"
)</f>
        <v>Refractory I</v>
      </c>
      <c r="U494">
        <f t="shared" si="23"/>
        <v>0.54009120273608202</v>
      </c>
      <c r="V494" t="str" cm="1">
        <f t="array" ref="V494">_xlfn.IFS(U494&lt;0.25,"shallow condution",
U494&lt;0.5,"transition",
U494&lt;1,"conduction",
U494&lt;1.5,"transition",U494&lt;3,"keyholeⅠ",3&lt;=U494,"keyhole Ⅱ"
)</f>
        <v>conduction</v>
      </c>
      <c r="X494">
        <f t="shared" si="25"/>
        <v>1.8515391380826738</v>
      </c>
    </row>
    <row r="495" spans="1:24">
      <c r="A495" s="2" t="s">
        <v>58</v>
      </c>
      <c r="B495" s="4">
        <v>200</v>
      </c>
      <c r="C495" s="4">
        <v>600</v>
      </c>
      <c r="D495" s="4">
        <v>8.57</v>
      </c>
      <c r="E495" s="4">
        <v>30</v>
      </c>
      <c r="F495" s="4">
        <v>680</v>
      </c>
      <c r="G495" s="16" t="s">
        <v>99</v>
      </c>
      <c r="H495" s="4">
        <v>0.26500000000000001</v>
      </c>
      <c r="I495" s="4">
        <v>53.7</v>
      </c>
      <c r="J495" s="4">
        <v>2477</v>
      </c>
      <c r="K495" s="4">
        <v>4744</v>
      </c>
      <c r="L495" s="4">
        <v>0.65</v>
      </c>
      <c r="M495" s="4">
        <v>111.79</v>
      </c>
      <c r="N495" s="5">
        <v>32.67</v>
      </c>
      <c r="Q495" s="1">
        <f t="shared" si="22"/>
        <v>85.470085470085465</v>
      </c>
      <c r="R495" t="str" cm="1">
        <f t="array" ref="R495">_xlfn.IFS(Q495&lt;42.7, "low",
Q495&lt;85.4,"medium low",
Q495&lt;128,"medium high",
Q495&gt;=128,"high"
)</f>
        <v>medium high</v>
      </c>
      <c r="S495" t="str" cm="1">
        <f t="array" ref="S495">_xlfn.IFS(J495&lt;700,"low",J495&lt;1600,"medium low",J495&lt;2200,"medium high",J495&gt;=2200,"high")</f>
        <v>high</v>
      </c>
      <c r="T495" t="str" cm="1">
        <f t="array" ref="T495">_xlfn.IFS(
J495&lt;630,"Low",
J495&lt;1287,"Medium",
J495&lt;1495,"Intermediate",
J495&lt;1668,"Moderately",
J495&lt;1843,"Transition",
J495&lt;2477,"High",
J495&lt;2996,"Refractory I",
TRUE,"Refractory II"
)</f>
        <v>Refractory I</v>
      </c>
      <c r="U495">
        <f t="shared" si="23"/>
        <v>0.29224438679667231</v>
      </c>
      <c r="V495" t="str" cm="1">
        <f t="array" ref="V495">_xlfn.IFS(U495&lt;0.25,"shallow condution",
U495&lt;0.5,"transition",
U495&lt;1,"conduction",
U495&lt;1.5,"transition",U495&lt;3,"keyholeⅠ",3&lt;=U495,"keyhole Ⅱ"
)</f>
        <v>transition</v>
      </c>
      <c r="X495">
        <f t="shared" si="25"/>
        <v>3.421793694520967</v>
      </c>
    </row>
    <row r="496" spans="1:24">
      <c r="A496" s="2" t="s">
        <v>58</v>
      </c>
      <c r="B496" s="4">
        <v>200</v>
      </c>
      <c r="C496" s="4">
        <v>800</v>
      </c>
      <c r="D496" s="4">
        <v>8.57</v>
      </c>
      <c r="E496" s="4">
        <v>30</v>
      </c>
      <c r="F496" s="4">
        <v>680</v>
      </c>
      <c r="G496" s="16" t="s">
        <v>99</v>
      </c>
      <c r="H496" s="4">
        <v>0.26500000000000001</v>
      </c>
      <c r="I496" s="4">
        <v>53.7</v>
      </c>
      <c r="J496" s="4">
        <v>2477</v>
      </c>
      <c r="K496" s="4">
        <v>4744</v>
      </c>
      <c r="L496" s="4">
        <v>0.65</v>
      </c>
      <c r="M496" s="4">
        <v>111.55</v>
      </c>
      <c r="N496" s="5">
        <v>28.2</v>
      </c>
      <c r="Q496" s="1">
        <f t="shared" si="22"/>
        <v>64.102564102564102</v>
      </c>
      <c r="R496" t="str" cm="1">
        <f t="array" ref="R496">_xlfn.IFS(Q496&lt;42.7, "low",
Q496&lt;85.4,"medium low",
Q496&lt;128,"medium high",
Q496&gt;=128,"high"
)</f>
        <v>medium low</v>
      </c>
      <c r="S496" t="str" cm="1">
        <f t="array" ref="S496">_xlfn.IFS(J496&lt;700,"low",J496&lt;1600,"medium low",J496&lt;2200,"medium high",J496&gt;=2200,"high")</f>
        <v>high</v>
      </c>
      <c r="T496" t="str" cm="1">
        <f t="array" ref="T496">_xlfn.IFS(
J496&lt;630,"Low",
J496&lt;1287,"Medium",
J496&lt;1495,"Intermediate",
J496&lt;1668,"Moderately",
J496&lt;1843,"Transition",
J496&lt;2477,"High",
J496&lt;2996,"Refractory I",
TRUE,"Refractory II"
)</f>
        <v>Refractory I</v>
      </c>
      <c r="U496">
        <f t="shared" si="23"/>
        <v>0.25280143433437918</v>
      </c>
      <c r="V496" t="str" cm="1">
        <f t="array" ref="V496">_xlfn.IFS(U496&lt;0.25,"shallow condution",
U496&lt;0.5,"transition",
U496&lt;1,"conduction",
U496&lt;1.5,"transition",U496&lt;3,"keyholeⅠ",3&lt;=U496,"keyhole Ⅱ"
)</f>
        <v>transition</v>
      </c>
      <c r="X496">
        <f t="shared" si="25"/>
        <v>3.9556737588652484</v>
      </c>
    </row>
    <row r="497" spans="1:24">
      <c r="A497" s="2" t="s">
        <v>58</v>
      </c>
      <c r="B497" s="4">
        <v>200</v>
      </c>
      <c r="C497" s="4">
        <v>1200</v>
      </c>
      <c r="D497" s="4">
        <v>8.57</v>
      </c>
      <c r="E497" s="4">
        <v>30</v>
      </c>
      <c r="F497" s="4">
        <v>680</v>
      </c>
      <c r="G497" s="16" t="s">
        <v>99</v>
      </c>
      <c r="H497" s="4">
        <v>0.26500000000000001</v>
      </c>
      <c r="I497" s="4">
        <v>53.7</v>
      </c>
      <c r="J497" s="4">
        <v>2477</v>
      </c>
      <c r="K497" s="4">
        <v>4744</v>
      </c>
      <c r="L497" s="4">
        <v>0.65</v>
      </c>
      <c r="M497" s="4">
        <v>73.680000000000007</v>
      </c>
      <c r="N497" s="5">
        <v>17.91</v>
      </c>
      <c r="Q497" s="1">
        <f t="shared" si="22"/>
        <v>42.735042735042732</v>
      </c>
      <c r="R497" t="str" cm="1">
        <f t="array" ref="R497">_xlfn.IFS(Q497&lt;42.7, "low",
Q497&lt;85.4,"medium low",
Q497&lt;128,"medium high",
Q497&gt;=128,"high"
)</f>
        <v>medium low</v>
      </c>
      <c r="S497" t="str" cm="1">
        <f t="array" ref="S497">_xlfn.IFS(J497&lt;700,"low",J497&lt;1600,"medium low",J497&lt;2200,"medium high",J497&gt;=2200,"high")</f>
        <v>high</v>
      </c>
      <c r="T497" t="str" cm="1">
        <f t="array" ref="T497">_xlfn.IFS(
J497&lt;630,"Low",
J497&lt;1287,"Medium",
J497&lt;1495,"Intermediate",
J497&lt;1668,"Moderately",
J497&lt;1843,"Transition",
J497&lt;2477,"High",
J497&lt;2996,"Refractory I",
TRUE,"Refractory II"
)</f>
        <v>Refractory I</v>
      </c>
      <c r="U497">
        <f t="shared" si="23"/>
        <v>0.24307817589576544</v>
      </c>
      <c r="V497" t="str" cm="1">
        <f t="array" ref="V497">_xlfn.IFS(U497&lt;0.25,"shallow condution",
U497&lt;0.5,"transition",
U497&lt;1,"conduction",
U497&lt;1.5,"transition",U497&lt;3,"keyholeⅠ",3&lt;=U497,"keyhole Ⅱ"
)</f>
        <v>shallow condution</v>
      </c>
      <c r="X497">
        <f t="shared" si="25"/>
        <v>4.1139028475711896</v>
      </c>
    </row>
    <row r="498" spans="1:24">
      <c r="A498" s="2" t="s">
        <v>58</v>
      </c>
      <c r="B498" s="4">
        <v>200</v>
      </c>
      <c r="C498" s="4">
        <v>1600</v>
      </c>
      <c r="D498" s="4">
        <v>8.57</v>
      </c>
      <c r="E498" s="4">
        <v>30</v>
      </c>
      <c r="F498" s="4">
        <v>680</v>
      </c>
      <c r="G498" s="16" t="s">
        <v>99</v>
      </c>
      <c r="H498" s="4">
        <v>0.26500000000000001</v>
      </c>
      <c r="I498" s="4">
        <v>53.7</v>
      </c>
      <c r="J498" s="4">
        <v>2477</v>
      </c>
      <c r="K498" s="4">
        <v>4744</v>
      </c>
      <c r="L498" s="4">
        <v>0.65</v>
      </c>
      <c r="M498" s="4">
        <v>75.05</v>
      </c>
      <c r="N498" s="5">
        <v>16.66</v>
      </c>
      <c r="Q498" s="1">
        <f t="shared" si="22"/>
        <v>32.051282051282051</v>
      </c>
      <c r="R498" t="str" cm="1">
        <f t="array" ref="R498">_xlfn.IFS(Q498&lt;42.7, "low",
Q498&lt;85.4,"medium low",
Q498&lt;128,"medium high",
Q498&gt;=128,"high"
)</f>
        <v>low</v>
      </c>
      <c r="S498" t="str" cm="1">
        <f t="array" ref="S498">_xlfn.IFS(J498&lt;700,"low",J498&lt;1600,"medium low",J498&lt;2200,"medium high",J498&gt;=2200,"high")</f>
        <v>high</v>
      </c>
      <c r="T498" t="str" cm="1">
        <f t="array" ref="T498">_xlfn.IFS(
J498&lt;630,"Low",
J498&lt;1287,"Medium",
J498&lt;1495,"Intermediate",
J498&lt;1668,"Moderately",
J498&lt;1843,"Transition",
J498&lt;2477,"High",
J498&lt;2996,"Refractory I",
TRUE,"Refractory II"
)</f>
        <v>Refractory I</v>
      </c>
      <c r="U498">
        <f t="shared" si="23"/>
        <v>0.22198534310459694</v>
      </c>
      <c r="V498" t="str" cm="1">
        <f t="array" ref="V498">_xlfn.IFS(U498&lt;0.25,"shallow condution",
U498&lt;0.5,"transition",
U498&lt;1,"conduction",
U498&lt;1.5,"transition",U498&lt;3,"keyholeⅠ",3&lt;=U498,"keyhole Ⅱ"
)</f>
        <v>shallow condution</v>
      </c>
      <c r="X498">
        <f t="shared" si="25"/>
        <v>4.5048019207683074</v>
      </c>
    </row>
    <row r="499" spans="1:24">
      <c r="A499" s="2" t="s">
        <v>58</v>
      </c>
      <c r="B499" s="4">
        <v>200</v>
      </c>
      <c r="C499" s="4">
        <v>2000</v>
      </c>
      <c r="D499" s="4">
        <v>8.57</v>
      </c>
      <c r="E499" s="4">
        <v>30</v>
      </c>
      <c r="F499" s="4">
        <v>680</v>
      </c>
      <c r="G499" s="16" t="s">
        <v>99</v>
      </c>
      <c r="H499" s="4">
        <v>0.26500000000000001</v>
      </c>
      <c r="I499" s="4">
        <v>53.7</v>
      </c>
      <c r="J499" s="4">
        <v>2477</v>
      </c>
      <c r="K499" s="4">
        <v>4744</v>
      </c>
      <c r="L499" s="4">
        <v>0.65</v>
      </c>
      <c r="M499" s="4">
        <v>55.43</v>
      </c>
      <c r="N499" s="5">
        <v>10.199999999999999</v>
      </c>
      <c r="Q499" s="1">
        <f t="shared" si="22"/>
        <v>25.641025641025642</v>
      </c>
      <c r="R499" t="str" cm="1">
        <f t="array" ref="R499">_xlfn.IFS(Q499&lt;42.7, "low",
Q499&lt;85.4,"medium low",
Q499&lt;128,"medium high",
Q499&gt;=128,"high"
)</f>
        <v>low</v>
      </c>
      <c r="S499" t="str" cm="1">
        <f t="array" ref="S499">_xlfn.IFS(J499&lt;700,"low",J499&lt;1600,"medium low",J499&lt;2200,"medium high",J499&gt;=2200,"high")</f>
        <v>high</v>
      </c>
      <c r="T499" t="str" cm="1">
        <f t="array" ref="T499">_xlfn.IFS(
J499&lt;630,"Low",
J499&lt;1287,"Medium",
J499&lt;1495,"Intermediate",
J499&lt;1668,"Moderately",
J499&lt;1843,"Transition",
J499&lt;2477,"High",
J499&lt;2996,"Refractory I",
TRUE,"Refractory II"
)</f>
        <v>Refractory I</v>
      </c>
      <c r="U499">
        <f t="shared" si="23"/>
        <v>0.18401587587948762</v>
      </c>
      <c r="V499" t="str" cm="1">
        <f t="array" ref="V499">_xlfn.IFS(U499&lt;0.25,"shallow condution",
U499&lt;0.5,"transition",
U499&lt;1,"conduction",
U499&lt;1.5,"transition",U499&lt;3,"keyholeⅠ",3&lt;=U499,"keyhole Ⅱ"
)</f>
        <v>shallow condution</v>
      </c>
      <c r="X499">
        <f t="shared" si="25"/>
        <v>5.4343137254901963</v>
      </c>
    </row>
    <row r="500" spans="1:24">
      <c r="A500" s="2" t="s">
        <v>58</v>
      </c>
      <c r="B500" s="4">
        <v>200</v>
      </c>
      <c r="C500" s="4">
        <v>2400</v>
      </c>
      <c r="D500" s="4">
        <v>8.57</v>
      </c>
      <c r="E500" s="4">
        <v>30</v>
      </c>
      <c r="F500" s="4">
        <v>680</v>
      </c>
      <c r="G500" s="16" t="s">
        <v>99</v>
      </c>
      <c r="H500" s="4">
        <v>0.26500000000000001</v>
      </c>
      <c r="I500" s="4">
        <v>53.7</v>
      </c>
      <c r="J500" s="4">
        <v>2477</v>
      </c>
      <c r="K500" s="4">
        <v>4744</v>
      </c>
      <c r="L500" s="4">
        <v>0.65</v>
      </c>
      <c r="M500" s="4">
        <v>41.5</v>
      </c>
      <c r="N500" s="5">
        <v>7.12</v>
      </c>
      <c r="Q500" s="1">
        <f t="shared" si="22"/>
        <v>21.367521367521366</v>
      </c>
      <c r="R500" t="str" cm="1">
        <f t="array" ref="R500">_xlfn.IFS(Q500&lt;42.7, "low",
Q500&lt;85.4,"medium low",
Q500&lt;128,"medium high",
Q500&gt;=128,"high"
)</f>
        <v>low</v>
      </c>
      <c r="S500" t="str" cm="1">
        <f t="array" ref="S500">_xlfn.IFS(J500&lt;700,"low",J500&lt;1600,"medium low",J500&lt;2200,"medium high",J500&gt;=2200,"high")</f>
        <v>high</v>
      </c>
      <c r="T500" t="str" cm="1">
        <f t="array" ref="T500">_xlfn.IFS(
J500&lt;630,"Low",
J500&lt;1287,"Medium",
J500&lt;1495,"Intermediate",
J500&lt;1668,"Moderately",
J500&lt;1843,"Transition",
J500&lt;2477,"High",
J500&lt;2996,"Refractory I",
TRUE,"Refractory II"
)</f>
        <v>Refractory I</v>
      </c>
      <c r="U500">
        <f t="shared" si="23"/>
        <v>0.17156626506024097</v>
      </c>
      <c r="V500" t="str" cm="1">
        <f t="array" ref="V500">_xlfn.IFS(U500&lt;0.25,"shallow condution",
U500&lt;0.5,"transition",
U500&lt;1,"conduction",
U500&lt;1.5,"transition",U500&lt;3,"keyholeⅠ",3&lt;=U500,"keyhole Ⅱ"
)</f>
        <v>shallow condution</v>
      </c>
      <c r="X500">
        <f t="shared" si="25"/>
        <v>5.8286516853932584</v>
      </c>
    </row>
    <row r="501" spans="1:24">
      <c r="A501" s="2" t="s">
        <v>58</v>
      </c>
      <c r="B501" s="4">
        <v>350</v>
      </c>
      <c r="C501" s="4">
        <v>400</v>
      </c>
      <c r="D501" s="4">
        <v>8.57</v>
      </c>
      <c r="E501" s="4">
        <v>30</v>
      </c>
      <c r="F501" s="4">
        <v>680</v>
      </c>
      <c r="G501" s="16" t="s">
        <v>99</v>
      </c>
      <c r="H501" s="4">
        <v>0.26500000000000001</v>
      </c>
      <c r="I501" s="4">
        <v>53.7</v>
      </c>
      <c r="J501" s="4">
        <v>2477</v>
      </c>
      <c r="K501" s="4">
        <v>4744</v>
      </c>
      <c r="L501" s="4">
        <v>0.65</v>
      </c>
      <c r="M501" s="4">
        <v>293.56</v>
      </c>
      <c r="N501" s="5">
        <v>178.25</v>
      </c>
      <c r="Q501" s="1">
        <f t="shared" si="22"/>
        <v>224.35897435897436</v>
      </c>
      <c r="R501" t="str" cm="1">
        <f t="array" ref="R501">_xlfn.IFS(Q501&lt;42.7, "low",
Q501&lt;85.4,"medium low",
Q501&lt;128,"medium high",
Q501&gt;=128,"high"
)</f>
        <v>high</v>
      </c>
      <c r="S501" t="str" cm="1">
        <f t="array" ref="S501">_xlfn.IFS(J501&lt;700,"low",J501&lt;1600,"medium low",J501&lt;2200,"medium high",J501&gt;=2200,"high")</f>
        <v>high</v>
      </c>
      <c r="T501" t="str" cm="1">
        <f t="array" ref="T501">_xlfn.IFS(
J501&lt;630,"Low",
J501&lt;1287,"Medium",
J501&lt;1495,"Intermediate",
J501&lt;1668,"Moderately",
J501&lt;1843,"Transition",
J501&lt;2477,"High",
J501&lt;2996,"Refractory I",
TRUE,"Refractory II"
)</f>
        <v>Refractory I</v>
      </c>
      <c r="U501">
        <f t="shared" si="23"/>
        <v>0.60720125357678156</v>
      </c>
      <c r="V501" t="str" cm="1">
        <f t="array" ref="V501">_xlfn.IFS(U501&lt;0.25,"shallow condution",
U501&lt;0.5,"transition",
U501&lt;1,"conduction",
U501&lt;1.5,"transition",U501&lt;3,"keyholeⅠ",3&lt;=U501,"keyhole Ⅱ"
)</f>
        <v>conduction</v>
      </c>
      <c r="X501">
        <f t="shared" si="25"/>
        <v>1.6469004207573632</v>
      </c>
    </row>
    <row r="502" spans="1:24">
      <c r="A502" s="2" t="s">
        <v>58</v>
      </c>
      <c r="B502" s="4">
        <v>350</v>
      </c>
      <c r="C502" s="4">
        <v>600</v>
      </c>
      <c r="D502" s="4">
        <v>8.57</v>
      </c>
      <c r="E502" s="4">
        <v>30</v>
      </c>
      <c r="F502" s="4">
        <v>680</v>
      </c>
      <c r="G502" s="16" t="s">
        <v>99</v>
      </c>
      <c r="H502" s="4">
        <v>0.26500000000000001</v>
      </c>
      <c r="I502" s="4">
        <v>53.7</v>
      </c>
      <c r="J502" s="4">
        <v>2477</v>
      </c>
      <c r="K502" s="4">
        <v>4744</v>
      </c>
      <c r="L502" s="4">
        <v>0.65</v>
      </c>
      <c r="M502" s="4">
        <v>211.12</v>
      </c>
      <c r="N502" s="5">
        <v>103.84</v>
      </c>
      <c r="Q502" s="1">
        <f t="shared" si="22"/>
        <v>149.57264957264957</v>
      </c>
      <c r="R502" t="str" cm="1">
        <f t="array" ref="R502">_xlfn.IFS(Q502&lt;42.7, "low",
Q502&lt;85.4,"medium low",
Q502&lt;128,"medium high",
Q502&gt;=128,"high"
)</f>
        <v>high</v>
      </c>
      <c r="S502" t="str" cm="1">
        <f t="array" ref="S502">_xlfn.IFS(J502&lt;700,"low",J502&lt;1600,"medium low",J502&lt;2200,"medium high",J502&gt;=2200,"high")</f>
        <v>high</v>
      </c>
      <c r="T502" t="str" cm="1">
        <f t="array" ref="T502">_xlfn.IFS(
J502&lt;630,"Low",
J502&lt;1287,"Medium",
J502&lt;1495,"Intermediate",
J502&lt;1668,"Moderately",
J502&lt;1843,"Transition",
J502&lt;2477,"High",
J502&lt;2996,"Refractory I",
TRUE,"Refractory II"
)</f>
        <v>Refractory I</v>
      </c>
      <c r="U502">
        <f t="shared" si="23"/>
        <v>0.49185297461159533</v>
      </c>
      <c r="V502" t="str" cm="1">
        <f t="array" ref="V502">_xlfn.IFS(U502&lt;0.25,"shallow condution",
U502&lt;0.5,"transition",
U502&lt;1,"conduction",
U502&lt;1.5,"transition",U502&lt;3,"keyholeⅠ",3&lt;=U502,"keyhole Ⅱ"
)</f>
        <v>transition</v>
      </c>
      <c r="X502">
        <f t="shared" si="25"/>
        <v>2.0331278890600926</v>
      </c>
    </row>
    <row r="503" spans="1:24">
      <c r="A503" s="2" t="s">
        <v>58</v>
      </c>
      <c r="B503" s="4">
        <v>350</v>
      </c>
      <c r="C503" s="4">
        <v>800</v>
      </c>
      <c r="D503" s="4">
        <v>8.57</v>
      </c>
      <c r="E503" s="4">
        <v>30</v>
      </c>
      <c r="F503" s="4">
        <v>680</v>
      </c>
      <c r="G503" s="16" t="s">
        <v>99</v>
      </c>
      <c r="H503" s="4">
        <v>0.26500000000000001</v>
      </c>
      <c r="I503" s="4">
        <v>53.7</v>
      </c>
      <c r="J503" s="4">
        <v>2477</v>
      </c>
      <c r="K503" s="4">
        <v>4744</v>
      </c>
      <c r="L503" s="4">
        <v>0.65</v>
      </c>
      <c r="M503" s="4">
        <v>150.31</v>
      </c>
      <c r="N503" s="5">
        <v>71.41</v>
      </c>
      <c r="Q503" s="1">
        <f t="shared" si="22"/>
        <v>112.17948717948718</v>
      </c>
      <c r="R503" t="str" cm="1">
        <f t="array" ref="R503">_xlfn.IFS(Q503&lt;42.7, "low",
Q503&lt;85.4,"medium low",
Q503&lt;128,"medium high",
Q503&gt;=128,"high"
)</f>
        <v>medium high</v>
      </c>
      <c r="S503" t="str" cm="1">
        <f t="array" ref="S503">_xlfn.IFS(J503&lt;700,"low",J503&lt;1600,"medium low",J503&lt;2200,"medium high",J503&gt;=2200,"high")</f>
        <v>high</v>
      </c>
      <c r="T503" t="str" cm="1">
        <f t="array" ref="T503">_xlfn.IFS(
J503&lt;630,"Low",
J503&lt;1287,"Medium",
J503&lt;1495,"Intermediate",
J503&lt;1668,"Moderately",
J503&lt;1843,"Transition",
J503&lt;2477,"High",
J503&lt;2996,"Refractory I",
TRUE,"Refractory II"
)</f>
        <v>Refractory I</v>
      </c>
      <c r="U503">
        <f t="shared" si="23"/>
        <v>0.47508482469562902</v>
      </c>
      <c r="V503" t="str" cm="1">
        <f t="array" ref="V503">_xlfn.IFS(U503&lt;0.25,"shallow condution",
U503&lt;0.5,"transition",
U503&lt;1,"conduction",
U503&lt;1.5,"transition",U503&lt;3,"keyholeⅠ",3&lt;=U503,"keyhole Ⅱ"
)</f>
        <v>transition</v>
      </c>
      <c r="X503">
        <f t="shared" si="25"/>
        <v>2.1048872706903796</v>
      </c>
    </row>
    <row r="504" spans="1:24">
      <c r="A504" s="2" t="s">
        <v>58</v>
      </c>
      <c r="B504" s="4">
        <v>350</v>
      </c>
      <c r="C504" s="4">
        <v>1000</v>
      </c>
      <c r="D504" s="4">
        <v>8.57</v>
      </c>
      <c r="E504" s="4">
        <v>30</v>
      </c>
      <c r="F504" s="4">
        <v>680</v>
      </c>
      <c r="G504" s="16" t="s">
        <v>99</v>
      </c>
      <c r="H504" s="4">
        <v>0.26500000000000001</v>
      </c>
      <c r="I504" s="4">
        <v>53.7</v>
      </c>
      <c r="J504" s="4">
        <v>2477</v>
      </c>
      <c r="K504" s="4">
        <v>4744</v>
      </c>
      <c r="L504" s="4">
        <v>0.65</v>
      </c>
      <c r="M504" s="4">
        <v>78.5</v>
      </c>
      <c r="N504" s="5">
        <v>24.45</v>
      </c>
      <c r="Q504" s="1">
        <f t="shared" si="22"/>
        <v>89.743589743589737</v>
      </c>
      <c r="R504" t="str" cm="1">
        <f t="array" ref="R504">_xlfn.IFS(Q504&lt;42.7, "low",
Q504&lt;85.4,"medium low",
Q504&lt;128,"medium high",
Q504&gt;=128,"high"
)</f>
        <v>medium high</v>
      </c>
      <c r="S504" t="str" cm="1">
        <f t="array" ref="S504">_xlfn.IFS(J504&lt;700,"low",J504&lt;1600,"medium low",J504&lt;2200,"medium high",J504&gt;=2200,"high")</f>
        <v>high</v>
      </c>
      <c r="T504" t="str" cm="1">
        <f t="array" ref="T504">_xlfn.IFS(
J504&lt;630,"Low",
J504&lt;1287,"Medium",
J504&lt;1495,"Intermediate",
J504&lt;1668,"Moderately",
J504&lt;1843,"Transition",
J504&lt;2477,"High",
J504&lt;2996,"Refractory I",
TRUE,"Refractory II"
)</f>
        <v>Refractory I</v>
      </c>
      <c r="U504">
        <f t="shared" si="23"/>
        <v>0.31146496815286623</v>
      </c>
      <c r="V504" t="str" cm="1">
        <f t="array" ref="V504">_xlfn.IFS(U504&lt;0.25,"shallow condution",
U504&lt;0.5,"transition",
U504&lt;1,"conduction",
U504&lt;1.5,"transition",U504&lt;3,"keyholeⅠ",3&lt;=U504,"keyhole Ⅱ"
)</f>
        <v>transition</v>
      </c>
      <c r="X504">
        <f t="shared" si="25"/>
        <v>3.2106339468302658</v>
      </c>
    </row>
    <row r="505" spans="1:24">
      <c r="A505" s="2" t="s">
        <v>58</v>
      </c>
      <c r="B505" s="4">
        <v>350</v>
      </c>
      <c r="C505" s="4">
        <v>1200</v>
      </c>
      <c r="D505" s="4">
        <v>8.57</v>
      </c>
      <c r="E505" s="4">
        <v>30</v>
      </c>
      <c r="F505" s="4">
        <v>680</v>
      </c>
      <c r="G505" s="16" t="s">
        <v>99</v>
      </c>
      <c r="H505" s="4">
        <v>0.26500000000000001</v>
      </c>
      <c r="I505" s="4">
        <v>53.7</v>
      </c>
      <c r="J505" s="4">
        <v>2477</v>
      </c>
      <c r="K505" s="4">
        <v>4744</v>
      </c>
      <c r="L505" s="4">
        <v>0.65</v>
      </c>
      <c r="M505" s="4">
        <v>48.45</v>
      </c>
      <c r="N505" s="5">
        <v>10.78</v>
      </c>
      <c r="Q505" s="1">
        <f t="shared" si="22"/>
        <v>74.786324786324784</v>
      </c>
      <c r="R505" t="str" cm="1">
        <f t="array" ref="R505">_xlfn.IFS(Q505&lt;42.7, "low",
Q505&lt;85.4,"medium low",
Q505&lt;128,"medium high",
Q505&gt;=128,"high"
)</f>
        <v>medium low</v>
      </c>
      <c r="S505" t="str" cm="1">
        <f t="array" ref="S505">_xlfn.IFS(J505&lt;700,"low",J505&lt;1600,"medium low",J505&lt;2200,"medium high",J505&gt;=2200,"high")</f>
        <v>high</v>
      </c>
      <c r="T505" t="str" cm="1">
        <f t="array" ref="T505">_xlfn.IFS(
J505&lt;630,"Low",
J505&lt;1287,"Medium",
J505&lt;1495,"Intermediate",
J505&lt;1668,"Moderately",
J505&lt;1843,"Transition",
J505&lt;2477,"High",
J505&lt;2996,"Refractory I",
TRUE,"Refractory II"
)</f>
        <v>Refractory I</v>
      </c>
      <c r="U505">
        <f t="shared" si="23"/>
        <v>0.2224974200206398</v>
      </c>
      <c r="V505" t="str" cm="1">
        <f t="array" ref="V505">_xlfn.IFS(U505&lt;0.25,"shallow condution",
U505&lt;0.5,"transition",
U505&lt;1,"conduction",
U505&lt;1.5,"transition",U505&lt;3,"keyholeⅠ",3&lt;=U505,"keyhole Ⅱ"
)</f>
        <v>shallow condution</v>
      </c>
      <c r="X505">
        <f t="shared" si="25"/>
        <v>4.4944341372912806</v>
      </c>
    </row>
    <row r="506" spans="1:24">
      <c r="A506" s="2" t="s">
        <v>58</v>
      </c>
      <c r="B506" s="4">
        <v>350</v>
      </c>
      <c r="C506" s="4">
        <v>1600</v>
      </c>
      <c r="D506" s="4">
        <v>8.57</v>
      </c>
      <c r="E506" s="4">
        <v>30</v>
      </c>
      <c r="F506" s="4">
        <v>680</v>
      </c>
      <c r="G506" s="16" t="s">
        <v>99</v>
      </c>
      <c r="H506" s="4">
        <v>0.26500000000000001</v>
      </c>
      <c r="I506" s="4">
        <v>53.7</v>
      </c>
      <c r="J506" s="4">
        <v>2477</v>
      </c>
      <c r="K506" s="4">
        <v>4744</v>
      </c>
      <c r="L506" s="4">
        <v>0.65</v>
      </c>
      <c r="M506" s="4">
        <v>52.28</v>
      </c>
      <c r="N506" s="5">
        <v>12.36</v>
      </c>
      <c r="Q506" s="1">
        <f t="shared" si="22"/>
        <v>56.089743589743591</v>
      </c>
      <c r="R506" t="str" cm="1">
        <f t="array" ref="R506">_xlfn.IFS(Q506&lt;42.7, "low",
Q506&lt;85.4,"medium low",
Q506&lt;128,"medium high",
Q506&gt;=128,"high"
)</f>
        <v>medium low</v>
      </c>
      <c r="S506" t="str" cm="1">
        <f t="array" ref="S506">_xlfn.IFS(J506&lt;700,"low",J506&lt;1600,"medium low",J506&lt;2200,"medium high",J506&gt;=2200,"high")</f>
        <v>high</v>
      </c>
      <c r="T506" t="str" cm="1">
        <f t="array" ref="T506">_xlfn.IFS(
J506&lt;630,"Low",
J506&lt;1287,"Medium",
J506&lt;1495,"Intermediate",
J506&lt;1668,"Moderately",
J506&lt;1843,"Transition",
J506&lt;2477,"High",
J506&lt;2996,"Refractory I",
TRUE,"Refractory II"
)</f>
        <v>Refractory I</v>
      </c>
      <c r="U506">
        <f t="shared" si="23"/>
        <v>0.23641928079571536</v>
      </c>
      <c r="V506" t="str" cm="1">
        <f t="array" ref="V506">_xlfn.IFS(U506&lt;0.25,"shallow condution",
U506&lt;0.5,"transition",
U506&lt;1,"conduction",
U506&lt;1.5,"transition",U506&lt;3,"keyholeⅠ",3&lt;=U506,"keyhole Ⅱ"
)</f>
        <v>shallow condution</v>
      </c>
      <c r="X506">
        <f t="shared" si="25"/>
        <v>4.2297734627831716</v>
      </c>
    </row>
    <row r="507" spans="1:24">
      <c r="A507" s="2" t="s">
        <v>58</v>
      </c>
      <c r="B507" s="4">
        <v>350</v>
      </c>
      <c r="C507" s="4">
        <v>2000</v>
      </c>
      <c r="D507" s="4">
        <v>8.57</v>
      </c>
      <c r="E507" s="4">
        <v>30</v>
      </c>
      <c r="F507" s="4">
        <v>680</v>
      </c>
      <c r="G507" s="16" t="s">
        <v>99</v>
      </c>
      <c r="H507" s="4">
        <v>0.26500000000000001</v>
      </c>
      <c r="I507" s="4">
        <v>53.7</v>
      </c>
      <c r="J507" s="4">
        <v>2477</v>
      </c>
      <c r="K507" s="4">
        <v>4744</v>
      </c>
      <c r="L507" s="4">
        <v>0.65</v>
      </c>
      <c r="M507" s="4">
        <v>48.95</v>
      </c>
      <c r="N507" s="5">
        <v>5</v>
      </c>
      <c r="Q507" s="1">
        <f t="shared" si="22"/>
        <v>44.871794871794869</v>
      </c>
      <c r="R507" t="str" cm="1">
        <f t="array" ref="R507">_xlfn.IFS(Q507&lt;42.7, "low",
Q507&lt;85.4,"medium low",
Q507&lt;128,"medium high",
Q507&gt;=128,"high"
)</f>
        <v>medium low</v>
      </c>
      <c r="S507" t="str" cm="1">
        <f t="array" ref="S507">_xlfn.IFS(J507&lt;700,"low",J507&lt;1600,"medium low",J507&lt;2200,"medium high",J507&gt;=2200,"high")</f>
        <v>high</v>
      </c>
      <c r="T507" t="str" cm="1">
        <f t="array" ref="T507">_xlfn.IFS(
J507&lt;630,"Low",
J507&lt;1287,"Medium",
J507&lt;1495,"Intermediate",
J507&lt;1668,"Moderately",
J507&lt;1843,"Transition",
J507&lt;2477,"High",
J507&lt;2996,"Refractory I",
TRUE,"Refractory II"
)</f>
        <v>Refractory I</v>
      </c>
      <c r="U507">
        <f t="shared" si="23"/>
        <v>0.10214504596527067</v>
      </c>
      <c r="V507" t="str" cm="1">
        <f t="array" ref="V507">_xlfn.IFS(U507&lt;0.25,"shallow condution",
U507&lt;0.5,"transition",
U507&lt;1,"conduction",
U507&lt;1.5,"transition",U507&lt;3,"keyholeⅠ",3&lt;=U507,"keyhole Ⅱ"
)</f>
        <v>shallow condution</v>
      </c>
      <c r="X507">
        <f t="shared" si="25"/>
        <v>9.7900000000000009</v>
      </c>
    </row>
    <row r="508" spans="1:24">
      <c r="A508" s="2" t="s">
        <v>58</v>
      </c>
      <c r="B508" s="4">
        <v>350</v>
      </c>
      <c r="C508" s="4">
        <v>2400</v>
      </c>
      <c r="D508" s="4">
        <v>8.57</v>
      </c>
      <c r="E508" s="4">
        <v>30</v>
      </c>
      <c r="F508" s="4">
        <v>680</v>
      </c>
      <c r="G508" s="16" t="s">
        <v>99</v>
      </c>
      <c r="H508" s="4">
        <v>0.26500000000000001</v>
      </c>
      <c r="I508" s="4">
        <v>53.7</v>
      </c>
      <c r="J508" s="4">
        <v>2477</v>
      </c>
      <c r="K508" s="4">
        <v>4744</v>
      </c>
      <c r="L508" s="4">
        <v>0.65</v>
      </c>
      <c r="M508" s="4">
        <v>31.67</v>
      </c>
      <c r="N508" s="5">
        <v>4.6900000000000004</v>
      </c>
      <c r="Q508" s="1">
        <f t="shared" si="22"/>
        <v>37.393162393162392</v>
      </c>
      <c r="R508" t="str" cm="1">
        <f t="array" ref="R508">_xlfn.IFS(Q508&lt;42.7, "low",
Q508&lt;85.4,"medium low",
Q508&lt;128,"medium high",
Q508&gt;=128,"high"
)</f>
        <v>low</v>
      </c>
      <c r="S508" t="str" cm="1">
        <f t="array" ref="S508">_xlfn.IFS(J508&lt;700,"low",J508&lt;1600,"medium low",J508&lt;2200,"medium high",J508&gt;=2200,"high")</f>
        <v>high</v>
      </c>
      <c r="T508" t="str" cm="1">
        <f t="array" ref="T508">_xlfn.IFS(
J508&lt;630,"Low",
J508&lt;1287,"Medium",
J508&lt;1495,"Intermediate",
J508&lt;1668,"Moderately",
J508&lt;1843,"Transition",
J508&lt;2477,"High",
J508&lt;2996,"Refractory I",
TRUE,"Refractory II"
)</f>
        <v>Refractory I</v>
      </c>
      <c r="U508">
        <f t="shared" si="23"/>
        <v>0.14808967477107673</v>
      </c>
      <c r="V508" t="str" cm="1">
        <f t="array" ref="V508">_xlfn.IFS(U508&lt;0.25,"shallow condution",
U508&lt;0.5,"transition",
U508&lt;1,"conduction",
U508&lt;1.5,"transition",U508&lt;3,"keyholeⅠ",3&lt;=U508,"keyhole Ⅱ"
)</f>
        <v>shallow condution</v>
      </c>
      <c r="X508">
        <f t="shared" si="25"/>
        <v>6.7526652452025582</v>
      </c>
    </row>
    <row r="509" spans="1:24">
      <c r="A509" s="2" t="s">
        <v>58</v>
      </c>
      <c r="B509" s="4">
        <v>100</v>
      </c>
      <c r="C509" s="4">
        <v>300</v>
      </c>
      <c r="D509" s="4">
        <v>8.57</v>
      </c>
      <c r="E509" s="4">
        <v>30</v>
      </c>
      <c r="F509" s="4">
        <v>680</v>
      </c>
      <c r="G509" s="16" t="s">
        <v>99</v>
      </c>
      <c r="H509" s="4">
        <v>0.26500000000000001</v>
      </c>
      <c r="I509" s="4">
        <v>53.7</v>
      </c>
      <c r="J509" s="4">
        <v>2477</v>
      </c>
      <c r="K509" s="4">
        <v>4744</v>
      </c>
      <c r="L509" s="4">
        <v>0.65</v>
      </c>
      <c r="M509" s="4">
        <v>123.74</v>
      </c>
      <c r="N509" s="5">
        <v>58</v>
      </c>
      <c r="Q509" s="1">
        <f t="shared" si="22"/>
        <v>85.470085470085465</v>
      </c>
      <c r="R509" t="str" cm="1">
        <f t="array" ref="R509">_xlfn.IFS(Q509&lt;42.7, "low",
Q509&lt;85.4,"medium low",
Q509&lt;128,"medium high",
Q509&gt;=128,"high"
)</f>
        <v>medium high</v>
      </c>
      <c r="S509" t="str" cm="1">
        <f t="array" ref="S509">_xlfn.IFS(J509&lt;700,"low",J509&lt;1600,"medium low",J509&lt;2200,"medium high",J509&gt;=2200,"high")</f>
        <v>high</v>
      </c>
      <c r="T509" t="str" cm="1">
        <f t="array" ref="T509">_xlfn.IFS(
J509&lt;630,"Low",
J509&lt;1287,"Medium",
J509&lt;1495,"Intermediate",
J509&lt;1668,"Moderately",
J509&lt;1843,"Transition",
J509&lt;2477,"High",
J509&lt;2996,"Refractory I",
TRUE,"Refractory II"
)</f>
        <v>Refractory I</v>
      </c>
      <c r="U509">
        <f t="shared" si="23"/>
        <v>0.46872474543397447</v>
      </c>
      <c r="V509" t="str" cm="1">
        <f t="array" ref="V509">_xlfn.IFS(U509&lt;0.25,"shallow condution",
U509&lt;0.5,"transition",
U509&lt;1,"conduction",
U509&lt;1.5,"transition",U509&lt;3,"keyholeⅠ",3&lt;=U509,"keyhole Ⅱ"
)</f>
        <v>transition</v>
      </c>
      <c r="X509">
        <f t="shared" si="25"/>
        <v>2.1334482758620688</v>
      </c>
    </row>
    <row r="510" spans="1:24">
      <c r="A510" s="2" t="s">
        <v>58</v>
      </c>
      <c r="B510" s="4">
        <v>150</v>
      </c>
      <c r="C510" s="4">
        <v>300</v>
      </c>
      <c r="D510" s="4">
        <v>8.57</v>
      </c>
      <c r="E510" s="4">
        <v>30</v>
      </c>
      <c r="F510" s="4">
        <v>680</v>
      </c>
      <c r="G510" s="16" t="s">
        <v>99</v>
      </c>
      <c r="H510" s="4">
        <v>0.26500000000000001</v>
      </c>
      <c r="I510" s="4">
        <v>53.7</v>
      </c>
      <c r="J510" s="4">
        <v>2477</v>
      </c>
      <c r="K510" s="4">
        <v>4744</v>
      </c>
      <c r="L510" s="4">
        <v>0.65</v>
      </c>
      <c r="M510" s="4">
        <v>278</v>
      </c>
      <c r="N510" s="5">
        <v>90.35</v>
      </c>
      <c r="Q510" s="1">
        <f t="shared" ref="Q510:Q573" si="26">B510*10^6/(C510*130*30)</f>
        <v>128.2051282051282</v>
      </c>
      <c r="R510" t="str" cm="1">
        <f t="array" ref="R510">_xlfn.IFS(Q510&lt;42.7, "low",
Q510&lt;85.4,"medium low",
Q510&lt;128,"medium high",
Q510&gt;=128,"high"
)</f>
        <v>high</v>
      </c>
      <c r="S510" t="str" cm="1">
        <f t="array" ref="S510">_xlfn.IFS(J510&lt;700,"low",J510&lt;1600,"medium low",J510&lt;2200,"medium high",J510&gt;=2200,"high")</f>
        <v>high</v>
      </c>
      <c r="T510" t="str" cm="1">
        <f t="array" ref="T510">_xlfn.IFS(
J510&lt;630,"Low",
J510&lt;1287,"Medium",
J510&lt;1495,"Intermediate",
J510&lt;1668,"Moderately",
J510&lt;1843,"Transition",
J510&lt;2477,"High",
J510&lt;2996,"Refractory I",
TRUE,"Refractory II"
)</f>
        <v>Refractory I</v>
      </c>
      <c r="U510">
        <f t="shared" ref="U510:U573" si="27">N510/M510</f>
        <v>0.32499999999999996</v>
      </c>
      <c r="V510" t="str" cm="1">
        <f t="array" ref="V510">_xlfn.IFS(U510&lt;0.25,"shallow condution",
U510&lt;0.5,"transition",
U510&lt;1,"conduction",
U510&lt;1.5,"transition",U510&lt;3,"keyholeⅠ",3&lt;=U510,"keyhole Ⅱ"
)</f>
        <v>transition</v>
      </c>
      <c r="X510">
        <f t="shared" ref="X510:X573" si="28">M510/N510</f>
        <v>3.0769230769230771</v>
      </c>
    </row>
    <row r="511" spans="1:24">
      <c r="A511" s="2" t="s">
        <v>58</v>
      </c>
      <c r="B511" s="4">
        <v>200</v>
      </c>
      <c r="C511" s="4">
        <v>300</v>
      </c>
      <c r="D511" s="4">
        <v>8.57</v>
      </c>
      <c r="E511" s="4">
        <v>30</v>
      </c>
      <c r="F511" s="4">
        <v>680</v>
      </c>
      <c r="G511" s="16" t="s">
        <v>99</v>
      </c>
      <c r="H511" s="4">
        <v>0.26500000000000001</v>
      </c>
      <c r="I511" s="4">
        <v>53.7</v>
      </c>
      <c r="J511" s="4">
        <v>2477</v>
      </c>
      <c r="K511" s="4">
        <v>4744</v>
      </c>
      <c r="L511" s="4">
        <v>0.65</v>
      </c>
      <c r="M511" s="4">
        <v>300.7</v>
      </c>
      <c r="N511" s="5">
        <v>139.1</v>
      </c>
      <c r="Q511" s="1">
        <f t="shared" si="26"/>
        <v>170.94017094017093</v>
      </c>
      <c r="R511" t="str" cm="1">
        <f t="array" ref="R511">_xlfn.IFS(Q511&lt;42.7, "low",
Q511&lt;85.4,"medium low",
Q511&lt;128,"medium high",
Q511&gt;=128,"high"
)</f>
        <v>high</v>
      </c>
      <c r="S511" t="str" cm="1">
        <f t="array" ref="S511">_xlfn.IFS(J511&lt;700,"low",J511&lt;1600,"medium low",J511&lt;2200,"medium high",J511&gt;=2200,"high")</f>
        <v>high</v>
      </c>
      <c r="T511" t="str" cm="1">
        <f t="array" ref="T511">_xlfn.IFS(
J511&lt;630,"Low",
J511&lt;1287,"Medium",
J511&lt;1495,"Intermediate",
J511&lt;1668,"Moderately",
J511&lt;1843,"Transition",
J511&lt;2477,"High",
J511&lt;2996,"Refractory I",
TRUE,"Refractory II"
)</f>
        <v>Refractory I</v>
      </c>
      <c r="U511">
        <f t="shared" si="27"/>
        <v>0.46258729630861323</v>
      </c>
      <c r="V511" t="str" cm="1">
        <f t="array" ref="V511">_xlfn.IFS(U511&lt;0.25,"shallow condution",
U511&lt;0.5,"transition",
U511&lt;1,"conduction",
U511&lt;1.5,"transition",U511&lt;3,"keyholeⅠ",3&lt;=U511,"keyhole Ⅱ"
)</f>
        <v>transition</v>
      </c>
      <c r="X511">
        <f t="shared" si="28"/>
        <v>2.1617541337167507</v>
      </c>
    </row>
    <row r="512" spans="1:24">
      <c r="A512" s="2" t="s">
        <v>58</v>
      </c>
      <c r="B512" s="4">
        <v>250</v>
      </c>
      <c r="C512" s="4">
        <v>300</v>
      </c>
      <c r="D512" s="4">
        <v>8.57</v>
      </c>
      <c r="E512" s="4">
        <v>30</v>
      </c>
      <c r="F512" s="4">
        <v>680</v>
      </c>
      <c r="G512" s="16" t="s">
        <v>99</v>
      </c>
      <c r="H512" s="4">
        <v>0.26500000000000001</v>
      </c>
      <c r="I512" s="4">
        <v>53.7</v>
      </c>
      <c r="J512" s="4">
        <v>2477</v>
      </c>
      <c r="K512" s="4">
        <v>4744</v>
      </c>
      <c r="L512" s="4">
        <v>0.65</v>
      </c>
      <c r="M512" s="4">
        <v>352</v>
      </c>
      <c r="N512" s="5">
        <v>174.9</v>
      </c>
      <c r="Q512" s="1">
        <f t="shared" si="26"/>
        <v>213.67521367521368</v>
      </c>
      <c r="R512" t="str" cm="1">
        <f t="array" ref="R512">_xlfn.IFS(Q512&lt;42.7, "low",
Q512&lt;85.4,"medium low",
Q512&lt;128,"medium high",
Q512&gt;=128,"high"
)</f>
        <v>high</v>
      </c>
      <c r="S512" t="str" cm="1">
        <f t="array" ref="S512">_xlfn.IFS(J512&lt;700,"low",J512&lt;1600,"medium low",J512&lt;2200,"medium high",J512&gt;=2200,"high")</f>
        <v>high</v>
      </c>
      <c r="T512" t="str" cm="1">
        <f t="array" ref="T512">_xlfn.IFS(
J512&lt;630,"Low",
J512&lt;1287,"Medium",
J512&lt;1495,"Intermediate",
J512&lt;1668,"Moderately",
J512&lt;1843,"Transition",
J512&lt;2477,"High",
J512&lt;2996,"Refractory I",
TRUE,"Refractory II"
)</f>
        <v>Refractory I</v>
      </c>
      <c r="U512">
        <f t="shared" si="27"/>
        <v>0.49687500000000001</v>
      </c>
      <c r="V512" t="str" cm="1">
        <f t="array" ref="V512">_xlfn.IFS(U512&lt;0.25,"shallow condution",
U512&lt;0.5,"transition",
U512&lt;1,"conduction",
U512&lt;1.5,"transition",U512&lt;3,"keyholeⅠ",3&lt;=U512,"keyhole Ⅱ"
)</f>
        <v>transition</v>
      </c>
      <c r="X512">
        <f t="shared" si="28"/>
        <v>2.0125786163522013</v>
      </c>
    </row>
    <row r="513" spans="1:24">
      <c r="A513" s="2" t="s">
        <v>58</v>
      </c>
      <c r="B513" s="4">
        <v>300</v>
      </c>
      <c r="C513" s="4">
        <v>300</v>
      </c>
      <c r="D513" s="4">
        <v>8.57</v>
      </c>
      <c r="E513" s="4">
        <v>30</v>
      </c>
      <c r="F513" s="4">
        <v>680</v>
      </c>
      <c r="G513" s="16" t="s">
        <v>99</v>
      </c>
      <c r="H513" s="4">
        <v>0.26500000000000001</v>
      </c>
      <c r="I513" s="4">
        <v>53.7</v>
      </c>
      <c r="J513" s="4">
        <v>2477</v>
      </c>
      <c r="K513" s="4">
        <v>4744</v>
      </c>
      <c r="L513" s="4">
        <v>0.65</v>
      </c>
      <c r="M513" s="4">
        <v>370.59</v>
      </c>
      <c r="N513" s="5">
        <v>209</v>
      </c>
      <c r="Q513" s="1">
        <f t="shared" si="26"/>
        <v>256.41025641025641</v>
      </c>
      <c r="R513" t="str" cm="1">
        <f t="array" ref="R513">_xlfn.IFS(Q513&lt;42.7, "low",
Q513&lt;85.4,"medium low",
Q513&lt;128,"medium high",
Q513&gt;=128,"high"
)</f>
        <v>high</v>
      </c>
      <c r="S513" t="str" cm="1">
        <f t="array" ref="S513">_xlfn.IFS(J513&lt;700,"low",J513&lt;1600,"medium low",J513&lt;2200,"medium high",J513&gt;=2200,"high")</f>
        <v>high</v>
      </c>
      <c r="T513" t="str" cm="1">
        <f t="array" ref="T513">_xlfn.IFS(
J513&lt;630,"Low",
J513&lt;1287,"Medium",
J513&lt;1495,"Intermediate",
J513&lt;1668,"Moderately",
J513&lt;1843,"Transition",
J513&lt;2477,"High",
J513&lt;2996,"Refractory I",
TRUE,"Refractory II"
)</f>
        <v>Refractory I</v>
      </c>
      <c r="U513">
        <f t="shared" si="27"/>
        <v>0.56396556841792822</v>
      </c>
      <c r="V513" t="str" cm="1">
        <f t="array" ref="V513">_xlfn.IFS(U513&lt;0.25,"shallow condution",
U513&lt;0.5,"transition",
U513&lt;1,"conduction",
U513&lt;1.5,"transition",U513&lt;3,"keyholeⅠ",3&lt;=U513,"keyhole Ⅱ"
)</f>
        <v>conduction</v>
      </c>
      <c r="X513">
        <f t="shared" si="28"/>
        <v>1.773157894736842</v>
      </c>
    </row>
    <row r="514" spans="1:24">
      <c r="A514" s="2" t="s">
        <v>58</v>
      </c>
      <c r="B514" s="4">
        <v>100</v>
      </c>
      <c r="C514" s="4">
        <v>600</v>
      </c>
      <c r="D514" s="4">
        <v>8.57</v>
      </c>
      <c r="E514" s="4">
        <v>30</v>
      </c>
      <c r="F514" s="4">
        <v>680</v>
      </c>
      <c r="G514" s="16" t="s">
        <v>99</v>
      </c>
      <c r="H514" s="4">
        <v>0.26500000000000001</v>
      </c>
      <c r="I514" s="4">
        <v>53.7</v>
      </c>
      <c r="J514" s="4">
        <v>2477</v>
      </c>
      <c r="K514" s="4">
        <v>4744</v>
      </c>
      <c r="L514" s="4">
        <v>0.65</v>
      </c>
      <c r="M514" s="4">
        <v>184.42</v>
      </c>
      <c r="N514" s="5">
        <v>94.48</v>
      </c>
      <c r="Q514" s="1">
        <f t="shared" si="26"/>
        <v>42.735042735042732</v>
      </c>
      <c r="R514" t="str" cm="1">
        <f t="array" ref="R514">_xlfn.IFS(Q514&lt;42.7, "low",
Q514&lt;85.4,"medium low",
Q514&lt;128,"medium high",
Q514&gt;=128,"high"
)</f>
        <v>medium low</v>
      </c>
      <c r="S514" t="str" cm="1">
        <f t="array" ref="S514">_xlfn.IFS(J514&lt;700,"low",J514&lt;1600,"medium low",J514&lt;2200,"medium high",J514&gt;=2200,"high")</f>
        <v>high</v>
      </c>
      <c r="T514" t="str" cm="1">
        <f t="array" ref="T514">_xlfn.IFS(
J514&lt;630,"Low",
J514&lt;1287,"Medium",
J514&lt;1495,"Intermediate",
J514&lt;1668,"Moderately",
J514&lt;1843,"Transition",
J514&lt;2477,"High",
J514&lt;2996,"Refractory I",
TRUE,"Refractory II"
)</f>
        <v>Refractory I</v>
      </c>
      <c r="U514">
        <f t="shared" si="27"/>
        <v>0.51230886021038935</v>
      </c>
      <c r="V514" t="str" cm="1">
        <f t="array" ref="V514">_xlfn.IFS(U514&lt;0.25,"shallow condution",
U514&lt;0.5,"transition",
U514&lt;1,"conduction",
U514&lt;1.5,"transition",U514&lt;3,"keyholeⅠ",3&lt;=U514,"keyhole Ⅱ"
)</f>
        <v>conduction</v>
      </c>
      <c r="X514">
        <f t="shared" si="28"/>
        <v>1.95194750211685</v>
      </c>
    </row>
    <row r="515" spans="1:24">
      <c r="A515" s="2" t="s">
        <v>58</v>
      </c>
      <c r="B515" s="4">
        <v>150</v>
      </c>
      <c r="C515" s="4">
        <v>600</v>
      </c>
      <c r="D515" s="4">
        <v>8.57</v>
      </c>
      <c r="E515" s="4">
        <v>30</v>
      </c>
      <c r="F515" s="4">
        <v>680</v>
      </c>
      <c r="G515" s="16" t="s">
        <v>99</v>
      </c>
      <c r="H515" s="4">
        <v>0.26500000000000001</v>
      </c>
      <c r="I515" s="4">
        <v>53.7</v>
      </c>
      <c r="J515" s="4">
        <v>2477</v>
      </c>
      <c r="K515" s="4">
        <v>4744</v>
      </c>
      <c r="L515" s="4">
        <v>0.65</v>
      </c>
      <c r="M515" s="4">
        <v>249.72</v>
      </c>
      <c r="N515" s="5">
        <v>125.79</v>
      </c>
      <c r="Q515" s="1">
        <f t="shared" si="26"/>
        <v>64.102564102564102</v>
      </c>
      <c r="R515" t="str" cm="1">
        <f t="array" ref="R515">_xlfn.IFS(Q515&lt;42.7, "low",
Q515&lt;85.4,"medium low",
Q515&lt;128,"medium high",
Q515&gt;=128,"high"
)</f>
        <v>medium low</v>
      </c>
      <c r="S515" t="str" cm="1">
        <f t="array" ref="S515">_xlfn.IFS(J515&lt;700,"low",J515&lt;1600,"medium low",J515&lt;2200,"medium high",J515&gt;=2200,"high")</f>
        <v>high</v>
      </c>
      <c r="T515" t="str" cm="1">
        <f t="array" ref="T515">_xlfn.IFS(
J515&lt;630,"Low",
J515&lt;1287,"Medium",
J515&lt;1495,"Intermediate",
J515&lt;1668,"Moderately",
J515&lt;1843,"Transition",
J515&lt;2477,"High",
J515&lt;2996,"Refractory I",
TRUE,"Refractory II"
)</f>
        <v>Refractory I</v>
      </c>
      <c r="U515">
        <f t="shared" si="27"/>
        <v>0.50372417107160017</v>
      </c>
      <c r="V515" t="str" cm="1">
        <f t="array" ref="V515">_xlfn.IFS(U515&lt;0.25,"shallow condution",
U515&lt;0.5,"transition",
U515&lt;1,"conduction",
U515&lt;1.5,"transition",U515&lt;3,"keyholeⅠ",3&lt;=U515,"keyhole Ⅱ"
)</f>
        <v>conduction</v>
      </c>
      <c r="X515">
        <f t="shared" si="28"/>
        <v>1.9852134509897448</v>
      </c>
    </row>
    <row r="516" spans="1:24">
      <c r="A516" s="2" t="s">
        <v>58</v>
      </c>
      <c r="B516" s="4">
        <v>200</v>
      </c>
      <c r="C516" s="4">
        <v>600</v>
      </c>
      <c r="D516" s="4">
        <v>8.57</v>
      </c>
      <c r="E516" s="4">
        <v>30</v>
      </c>
      <c r="F516" s="4">
        <v>680</v>
      </c>
      <c r="G516" s="16" t="s">
        <v>99</v>
      </c>
      <c r="H516" s="4">
        <v>0.26500000000000001</v>
      </c>
      <c r="I516" s="4">
        <v>53.7</v>
      </c>
      <c r="J516" s="4">
        <v>2477</v>
      </c>
      <c r="K516" s="4">
        <v>4744</v>
      </c>
      <c r="L516" s="4">
        <v>0.65</v>
      </c>
      <c r="M516" s="4">
        <v>301</v>
      </c>
      <c r="N516" s="5">
        <v>144.47</v>
      </c>
      <c r="Q516" s="1">
        <f t="shared" si="26"/>
        <v>85.470085470085465</v>
      </c>
      <c r="R516" t="str" cm="1">
        <f t="array" ref="R516">_xlfn.IFS(Q516&lt;42.7, "low",
Q516&lt;85.4,"medium low",
Q516&lt;128,"medium high",
Q516&gt;=128,"high"
)</f>
        <v>medium high</v>
      </c>
      <c r="S516" t="str" cm="1">
        <f t="array" ref="S516">_xlfn.IFS(J516&lt;700,"low",J516&lt;1600,"medium low",J516&lt;2200,"medium high",J516&gt;=2200,"high")</f>
        <v>high</v>
      </c>
      <c r="T516" t="str" cm="1">
        <f t="array" ref="T516">_xlfn.IFS(
J516&lt;630,"Low",
J516&lt;1287,"Medium",
J516&lt;1495,"Intermediate",
J516&lt;1668,"Moderately",
J516&lt;1843,"Transition",
J516&lt;2477,"High",
J516&lt;2996,"Refractory I",
TRUE,"Refractory II"
)</f>
        <v>Refractory I</v>
      </c>
      <c r="U516">
        <f t="shared" si="27"/>
        <v>0.47996677740863786</v>
      </c>
      <c r="V516" t="str" cm="1">
        <f t="array" ref="V516">_xlfn.IFS(U516&lt;0.25,"shallow condution",
U516&lt;0.5,"transition",
U516&lt;1,"conduction",
U516&lt;1.5,"transition",U516&lt;3,"keyholeⅠ",3&lt;=U516,"keyhole Ⅱ"
)</f>
        <v>transition</v>
      </c>
      <c r="X516">
        <f t="shared" si="28"/>
        <v>2.0834775385893267</v>
      </c>
    </row>
    <row r="517" spans="1:24">
      <c r="A517" s="2" t="s">
        <v>58</v>
      </c>
      <c r="B517" s="4">
        <v>250</v>
      </c>
      <c r="C517" s="4">
        <v>600</v>
      </c>
      <c r="D517" s="4">
        <v>8.57</v>
      </c>
      <c r="E517" s="4">
        <v>30</v>
      </c>
      <c r="F517" s="4">
        <v>680</v>
      </c>
      <c r="G517" s="16" t="s">
        <v>99</v>
      </c>
      <c r="H517" s="4">
        <v>0.26500000000000001</v>
      </c>
      <c r="I517" s="4">
        <v>53.7</v>
      </c>
      <c r="J517" s="4">
        <v>2477</v>
      </c>
      <c r="K517" s="4">
        <v>4744</v>
      </c>
      <c r="L517" s="4">
        <v>0.65</v>
      </c>
      <c r="M517" s="4">
        <v>341.7</v>
      </c>
      <c r="N517" s="5">
        <v>159</v>
      </c>
      <c r="Q517" s="1">
        <f t="shared" si="26"/>
        <v>106.83760683760684</v>
      </c>
      <c r="R517" t="str" cm="1">
        <f t="array" ref="R517">_xlfn.IFS(Q517&lt;42.7, "low",
Q517&lt;85.4,"medium low",
Q517&lt;128,"medium high",
Q517&gt;=128,"high"
)</f>
        <v>medium high</v>
      </c>
      <c r="S517" t="str" cm="1">
        <f t="array" ref="S517">_xlfn.IFS(J517&lt;700,"low",J517&lt;1600,"medium low",J517&lt;2200,"medium high",J517&gt;=2200,"high")</f>
        <v>high</v>
      </c>
      <c r="T517" t="str" cm="1">
        <f t="array" ref="T517">_xlfn.IFS(
J517&lt;630,"Low",
J517&lt;1287,"Medium",
J517&lt;1495,"Intermediate",
J517&lt;1668,"Moderately",
J517&lt;1843,"Transition",
J517&lt;2477,"High",
J517&lt;2996,"Refractory I",
TRUE,"Refractory II"
)</f>
        <v>Refractory I</v>
      </c>
      <c r="U517">
        <f t="shared" si="27"/>
        <v>0.46532045654082532</v>
      </c>
      <c r="V517" t="str" cm="1">
        <f t="array" ref="V517">_xlfn.IFS(U517&lt;0.25,"shallow condution",
U517&lt;0.5,"transition",
U517&lt;1,"conduction",
U517&lt;1.5,"transition",U517&lt;3,"keyholeⅠ",3&lt;=U517,"keyhole Ⅱ"
)</f>
        <v>transition</v>
      </c>
      <c r="X517">
        <f t="shared" si="28"/>
        <v>2.1490566037735848</v>
      </c>
    </row>
    <row r="518" spans="1:24">
      <c r="A518" s="2" t="s">
        <v>58</v>
      </c>
      <c r="B518" s="4">
        <v>300</v>
      </c>
      <c r="C518" s="4">
        <v>600</v>
      </c>
      <c r="D518" s="4">
        <v>8.57</v>
      </c>
      <c r="E518" s="4">
        <v>30</v>
      </c>
      <c r="F518" s="4">
        <v>680</v>
      </c>
      <c r="G518" s="16" t="s">
        <v>99</v>
      </c>
      <c r="H518" s="4">
        <v>0.26500000000000001</v>
      </c>
      <c r="I518" s="4">
        <v>53.7</v>
      </c>
      <c r="J518" s="4">
        <v>2477</v>
      </c>
      <c r="K518" s="4">
        <v>4744</v>
      </c>
      <c r="L518" s="4">
        <v>0.65</v>
      </c>
      <c r="M518" s="4">
        <v>385.77</v>
      </c>
      <c r="N518" s="5">
        <v>191.6</v>
      </c>
      <c r="Q518" s="1">
        <f t="shared" si="26"/>
        <v>128.2051282051282</v>
      </c>
      <c r="R518" t="str" cm="1">
        <f t="array" ref="R518">_xlfn.IFS(Q518&lt;42.7, "low",
Q518&lt;85.4,"medium low",
Q518&lt;128,"medium high",
Q518&gt;=128,"high"
)</f>
        <v>high</v>
      </c>
      <c r="S518" t="str" cm="1">
        <f t="array" ref="S518">_xlfn.IFS(J518&lt;700,"low",J518&lt;1600,"medium low",J518&lt;2200,"medium high",J518&gt;=2200,"high")</f>
        <v>high</v>
      </c>
      <c r="T518" t="str" cm="1">
        <f t="array" ref="T518">_xlfn.IFS(
J518&lt;630,"Low",
J518&lt;1287,"Medium",
J518&lt;1495,"Intermediate",
J518&lt;1668,"Moderately",
J518&lt;1843,"Transition",
J518&lt;2477,"High",
J518&lt;2996,"Refractory I",
TRUE,"Refractory II"
)</f>
        <v>Refractory I</v>
      </c>
      <c r="U518">
        <f t="shared" si="27"/>
        <v>0.49666899966301165</v>
      </c>
      <c r="V518" t="str" cm="1">
        <f t="array" ref="V518">_xlfn.IFS(U518&lt;0.25,"shallow condution",
U518&lt;0.5,"transition",
U518&lt;1,"conduction",
U518&lt;1.5,"transition",U518&lt;3,"keyholeⅠ",3&lt;=U518,"keyhole Ⅱ"
)</f>
        <v>transition</v>
      </c>
      <c r="X518">
        <f t="shared" si="28"/>
        <v>2.0134133611691021</v>
      </c>
    </row>
    <row r="519" spans="1:24">
      <c r="A519" s="2" t="s">
        <v>58</v>
      </c>
      <c r="B519" s="4">
        <v>100</v>
      </c>
      <c r="C519" s="4">
        <v>900</v>
      </c>
      <c r="D519" s="4">
        <v>8.57</v>
      </c>
      <c r="E519" s="4">
        <v>30</v>
      </c>
      <c r="F519" s="4">
        <v>680</v>
      </c>
      <c r="G519" s="16" t="s">
        <v>99</v>
      </c>
      <c r="H519" s="4">
        <v>0.26500000000000001</v>
      </c>
      <c r="I519" s="4">
        <v>53.7</v>
      </c>
      <c r="J519" s="4">
        <v>2477</v>
      </c>
      <c r="K519" s="4">
        <v>4744</v>
      </c>
      <c r="L519" s="4">
        <v>0.65</v>
      </c>
      <c r="M519" s="4">
        <v>237.53</v>
      </c>
      <c r="N519" s="5">
        <v>119.32</v>
      </c>
      <c r="Q519" s="1">
        <f t="shared" si="26"/>
        <v>28.490028490028489</v>
      </c>
      <c r="R519" t="str" cm="1">
        <f t="array" ref="R519">_xlfn.IFS(Q519&lt;42.7, "low",
Q519&lt;85.4,"medium low",
Q519&lt;128,"medium high",
Q519&gt;=128,"high"
)</f>
        <v>low</v>
      </c>
      <c r="S519" t="str" cm="1">
        <f t="array" ref="S519">_xlfn.IFS(J519&lt;700,"low",J519&lt;1600,"medium low",J519&lt;2200,"medium high",J519&gt;=2200,"high")</f>
        <v>high</v>
      </c>
      <c r="T519" t="str" cm="1">
        <f t="array" ref="T519">_xlfn.IFS(
J519&lt;630,"Low",
J519&lt;1287,"Medium",
J519&lt;1495,"Intermediate",
J519&lt;1668,"Moderately",
J519&lt;1843,"Transition",
J519&lt;2477,"High",
J519&lt;2996,"Refractory I",
TRUE,"Refractory II"
)</f>
        <v>Refractory I</v>
      </c>
      <c r="U519">
        <f t="shared" si="27"/>
        <v>0.50233654696248897</v>
      </c>
      <c r="V519" t="str" cm="1">
        <f t="array" ref="V519">_xlfn.IFS(U519&lt;0.25,"shallow condution",
U519&lt;0.5,"transition",
U519&lt;1,"conduction",
U519&lt;1.5,"transition",U519&lt;3,"keyholeⅠ",3&lt;=U519,"keyhole Ⅱ"
)</f>
        <v>conduction</v>
      </c>
      <c r="X519">
        <f t="shared" si="28"/>
        <v>1.9906972846128059</v>
      </c>
    </row>
    <row r="520" spans="1:24">
      <c r="A520" s="2" t="s">
        <v>58</v>
      </c>
      <c r="B520" s="4">
        <v>150</v>
      </c>
      <c r="C520" s="4">
        <v>900</v>
      </c>
      <c r="D520" s="4">
        <v>8.57</v>
      </c>
      <c r="E520" s="4">
        <v>30</v>
      </c>
      <c r="F520" s="4">
        <v>680</v>
      </c>
      <c r="G520" s="16" t="s">
        <v>99</v>
      </c>
      <c r="H520" s="4">
        <v>0.26500000000000001</v>
      </c>
      <c r="I520" s="4">
        <v>53.7</v>
      </c>
      <c r="J520" s="4">
        <v>2477</v>
      </c>
      <c r="K520" s="4">
        <v>4744</v>
      </c>
      <c r="L520" s="4">
        <v>0.65</v>
      </c>
      <c r="M520" s="4">
        <v>432</v>
      </c>
      <c r="N520" s="5">
        <v>202.59</v>
      </c>
      <c r="Q520" s="1">
        <f t="shared" si="26"/>
        <v>42.735042735042732</v>
      </c>
      <c r="R520" t="str" cm="1">
        <f t="array" ref="R520">_xlfn.IFS(Q520&lt;42.7, "low",
Q520&lt;85.4,"medium low",
Q520&lt;128,"medium high",
Q520&gt;=128,"high"
)</f>
        <v>medium low</v>
      </c>
      <c r="S520" t="str" cm="1">
        <f t="array" ref="S520">_xlfn.IFS(J520&lt;700,"low",J520&lt;1600,"medium low",J520&lt;2200,"medium high",J520&gt;=2200,"high")</f>
        <v>high</v>
      </c>
      <c r="T520" t="str" cm="1">
        <f t="array" ref="T520">_xlfn.IFS(
J520&lt;630,"Low",
J520&lt;1287,"Medium",
J520&lt;1495,"Intermediate",
J520&lt;1668,"Moderately",
J520&lt;1843,"Transition",
J520&lt;2477,"High",
J520&lt;2996,"Refractory I",
TRUE,"Refractory II"
)</f>
        <v>Refractory I</v>
      </c>
      <c r="U520">
        <f t="shared" si="27"/>
        <v>0.46895833333333337</v>
      </c>
      <c r="V520" t="str" cm="1">
        <f t="array" ref="V520">_xlfn.IFS(U520&lt;0.25,"shallow condution",
U520&lt;0.5,"transition",
U520&lt;1,"conduction",
U520&lt;1.5,"transition",U520&lt;3,"keyholeⅠ",3&lt;=U520,"keyhole Ⅱ"
)</f>
        <v>transition</v>
      </c>
      <c r="X520">
        <f t="shared" si="28"/>
        <v>2.1323856063971567</v>
      </c>
    </row>
    <row r="521" spans="1:24">
      <c r="A521" s="2" t="s">
        <v>58</v>
      </c>
      <c r="B521" s="4">
        <v>200</v>
      </c>
      <c r="C521" s="4">
        <v>900</v>
      </c>
      <c r="D521" s="4">
        <v>8.57</v>
      </c>
      <c r="E521" s="4">
        <v>30</v>
      </c>
      <c r="F521" s="4">
        <v>680</v>
      </c>
      <c r="G521" s="16" t="s">
        <v>99</v>
      </c>
      <c r="H521" s="4">
        <v>0.26500000000000001</v>
      </c>
      <c r="I521" s="4">
        <v>53.7</v>
      </c>
      <c r="J521" s="4">
        <v>2477</v>
      </c>
      <c r="K521" s="4">
        <v>4744</v>
      </c>
      <c r="L521" s="4">
        <v>0.65</v>
      </c>
      <c r="M521" s="4">
        <v>363.34</v>
      </c>
      <c r="N521" s="5">
        <v>215.56</v>
      </c>
      <c r="Q521" s="1">
        <f t="shared" si="26"/>
        <v>56.980056980056979</v>
      </c>
      <c r="R521" t="str" cm="1">
        <f t="array" ref="R521">_xlfn.IFS(Q521&lt;42.7, "low",
Q521&lt;85.4,"medium low",
Q521&lt;128,"medium high",
Q521&gt;=128,"high"
)</f>
        <v>medium low</v>
      </c>
      <c r="S521" t="str" cm="1">
        <f t="array" ref="S521">_xlfn.IFS(J521&lt;700,"low",J521&lt;1600,"medium low",J521&lt;2200,"medium high",J521&gt;=2200,"high")</f>
        <v>high</v>
      </c>
      <c r="T521" t="str" cm="1">
        <f t="array" ref="T521">_xlfn.IFS(
J521&lt;630,"Low",
J521&lt;1287,"Medium",
J521&lt;1495,"Intermediate",
J521&lt;1668,"Moderately",
J521&lt;1843,"Transition",
J521&lt;2477,"High",
J521&lt;2996,"Refractory I",
TRUE,"Refractory II"
)</f>
        <v>Refractory I</v>
      </c>
      <c r="U521">
        <f t="shared" si="27"/>
        <v>0.59327351791710248</v>
      </c>
      <c r="V521" t="str" cm="1">
        <f t="array" ref="V521">_xlfn.IFS(U521&lt;0.25,"shallow condution",
U521&lt;0.5,"transition",
U521&lt;1,"conduction",
U521&lt;1.5,"transition",U521&lt;3,"keyholeⅠ",3&lt;=U521,"keyhole Ⅱ"
)</f>
        <v>conduction</v>
      </c>
      <c r="X521">
        <f t="shared" si="28"/>
        <v>1.6855631842642418</v>
      </c>
    </row>
    <row r="522" spans="1:24">
      <c r="A522" s="2" t="s">
        <v>58</v>
      </c>
      <c r="B522" s="4">
        <v>250</v>
      </c>
      <c r="C522" s="4">
        <v>900</v>
      </c>
      <c r="D522" s="4">
        <v>8.57</v>
      </c>
      <c r="E522" s="4">
        <v>30</v>
      </c>
      <c r="F522" s="4">
        <v>680</v>
      </c>
      <c r="G522" s="16" t="s">
        <v>99</v>
      </c>
      <c r="H522" s="4">
        <v>0.26500000000000001</v>
      </c>
      <c r="I522" s="4">
        <v>53.7</v>
      </c>
      <c r="J522" s="4">
        <v>2477</v>
      </c>
      <c r="K522" s="4">
        <v>4744</v>
      </c>
      <c r="L522" s="4">
        <v>0.65</v>
      </c>
      <c r="M522" s="4">
        <v>360.57</v>
      </c>
      <c r="N522" s="5">
        <v>231</v>
      </c>
      <c r="Q522" s="1">
        <f t="shared" si="26"/>
        <v>71.225071225071218</v>
      </c>
      <c r="R522" t="str" cm="1">
        <f t="array" ref="R522">_xlfn.IFS(Q522&lt;42.7, "low",
Q522&lt;85.4,"medium low",
Q522&lt;128,"medium high",
Q522&gt;=128,"high"
)</f>
        <v>medium low</v>
      </c>
      <c r="S522" t="str" cm="1">
        <f t="array" ref="S522">_xlfn.IFS(J522&lt;700,"low",J522&lt;1600,"medium low",J522&lt;2200,"medium high",J522&gt;=2200,"high")</f>
        <v>high</v>
      </c>
      <c r="T522" t="str" cm="1">
        <f t="array" ref="T522">_xlfn.IFS(
J522&lt;630,"Low",
J522&lt;1287,"Medium",
J522&lt;1495,"Intermediate",
J522&lt;1668,"Moderately",
J522&lt;1843,"Transition",
J522&lt;2477,"High",
J522&lt;2996,"Refractory I",
TRUE,"Refractory II"
)</f>
        <v>Refractory I</v>
      </c>
      <c r="U522">
        <f t="shared" si="27"/>
        <v>0.6406523005241701</v>
      </c>
      <c r="V522" t="str" cm="1">
        <f t="array" ref="V522">_xlfn.IFS(U522&lt;0.25,"shallow condution",
U522&lt;0.5,"transition",
U522&lt;1,"conduction",
U522&lt;1.5,"transition",U522&lt;3,"keyholeⅠ",3&lt;=U522,"keyhole Ⅱ"
)</f>
        <v>conduction</v>
      </c>
      <c r="X522">
        <f t="shared" si="28"/>
        <v>1.5609090909090908</v>
      </c>
    </row>
    <row r="523" spans="1:24" ht="14.45" thickBot="1">
      <c r="A523" s="3" t="s">
        <v>58</v>
      </c>
      <c r="B523" s="7">
        <v>300</v>
      </c>
      <c r="C523" s="7">
        <v>900</v>
      </c>
      <c r="D523" s="7">
        <v>8.57</v>
      </c>
      <c r="E523" s="7">
        <v>30</v>
      </c>
      <c r="F523" s="7">
        <v>680</v>
      </c>
      <c r="G523" s="16" t="s">
        <v>99</v>
      </c>
      <c r="H523" s="7">
        <v>0.26500000000000001</v>
      </c>
      <c r="I523" s="7">
        <v>53.7</v>
      </c>
      <c r="J523" s="7">
        <v>2477</v>
      </c>
      <c r="K523" s="7">
        <v>4744</v>
      </c>
      <c r="L523" s="7">
        <v>0.65</v>
      </c>
      <c r="M523" s="7">
        <v>548</v>
      </c>
      <c r="N523" s="15">
        <v>159</v>
      </c>
      <c r="Q523" s="1">
        <f t="shared" si="26"/>
        <v>85.470085470085465</v>
      </c>
      <c r="R523" t="str" cm="1">
        <f t="array" ref="R523">_xlfn.IFS(Q523&lt;42.7, "low",
Q523&lt;85.4,"medium low",
Q523&lt;128,"medium high",
Q523&gt;=128,"high"
)</f>
        <v>medium high</v>
      </c>
      <c r="S523" t="str" cm="1">
        <f t="array" ref="S523">_xlfn.IFS(J523&lt;700,"low",J523&lt;1600,"medium low",J523&lt;2200,"medium high",J523&gt;=2200,"high")</f>
        <v>high</v>
      </c>
      <c r="T523" t="str" cm="1">
        <f t="array" ref="T523">_xlfn.IFS(
J523&lt;630,"Low",
J523&lt;1287,"Medium",
J523&lt;1495,"Intermediate",
J523&lt;1668,"Moderately",
J523&lt;1843,"Transition",
J523&lt;2477,"High",
J523&lt;2996,"Refractory I",
TRUE,"Refractory II"
)</f>
        <v>Refractory I</v>
      </c>
      <c r="U523">
        <f t="shared" si="27"/>
        <v>0.29014598540145986</v>
      </c>
      <c r="V523" t="str" cm="1">
        <f t="array" ref="V523">_xlfn.IFS(U523&lt;0.25,"shallow condution",
U523&lt;0.5,"transition",
U523&lt;1,"conduction",
U523&lt;1.5,"transition",U523&lt;3,"keyholeⅠ",3&lt;=U523,"keyhole Ⅱ"
)</f>
        <v>transition</v>
      </c>
      <c r="X523">
        <f t="shared" si="28"/>
        <v>3.4465408805031448</v>
      </c>
    </row>
    <row r="524" spans="1:24">
      <c r="A524" s="19" t="s">
        <v>59</v>
      </c>
      <c r="B524" s="16">
        <v>200</v>
      </c>
      <c r="C524" s="16">
        <v>200</v>
      </c>
      <c r="D524" s="16">
        <v>10.28</v>
      </c>
      <c r="E524" s="16">
        <v>36</v>
      </c>
      <c r="F524" s="16">
        <v>600</v>
      </c>
      <c r="G524" s="16" t="s">
        <v>100</v>
      </c>
      <c r="H524" s="16">
        <v>0.251</v>
      </c>
      <c r="I524" s="16">
        <v>138</v>
      </c>
      <c r="J524" s="16">
        <v>2623</v>
      </c>
      <c r="K524" s="16">
        <v>4639</v>
      </c>
      <c r="L524" s="16">
        <v>0.7</v>
      </c>
      <c r="M524" s="16">
        <v>154.19999999999999</v>
      </c>
      <c r="N524" s="17">
        <v>86.19</v>
      </c>
      <c r="Q524" s="1">
        <f t="shared" si="26"/>
        <v>256.41025641025641</v>
      </c>
      <c r="R524" t="str" cm="1">
        <f t="array" ref="R524">_xlfn.IFS(Q524&lt;42.7, "low",
Q524&lt;85.4,"medium low",
Q524&lt;128,"medium high",
Q524&gt;=128,"high"
)</f>
        <v>high</v>
      </c>
      <c r="S524" t="str" cm="1">
        <f t="array" ref="S524">_xlfn.IFS(J524&lt;700,"low",J524&lt;1600,"medium low",J524&lt;2200,"medium high",J524&gt;=2200,"high")</f>
        <v>high</v>
      </c>
      <c r="T524" t="str" cm="1">
        <f t="array" ref="T524">_xlfn.IFS(
J524&lt;630,"Low",
J524&lt;1287,"Medium",
J524&lt;1495,"Intermediate",
J524&lt;1668,"Moderately",
J524&lt;1843,"Transition",
J524&lt;2477,"High",
J524&lt;2996,"Refractory I",
TRUE,"Refractory II"
)</f>
        <v>Refractory I</v>
      </c>
      <c r="U524">
        <f t="shared" si="27"/>
        <v>0.55894941634241246</v>
      </c>
      <c r="V524" t="str" cm="1">
        <f t="array" ref="V524">_xlfn.IFS(U524&lt;0.25,"shallow condution",
U524&lt;0.5,"transition",
U524&lt;1,"conduction",
U524&lt;1.5,"transition",U524&lt;3,"keyholeⅠ",3&lt;=U524,"keyhole Ⅱ"
)</f>
        <v>conduction</v>
      </c>
      <c r="X524">
        <f t="shared" si="28"/>
        <v>1.7890706578489384</v>
      </c>
    </row>
    <row r="525" spans="1:24">
      <c r="A525" s="2" t="s">
        <v>59</v>
      </c>
      <c r="B525" s="4">
        <v>200</v>
      </c>
      <c r="C525" s="4">
        <v>400</v>
      </c>
      <c r="D525" s="4">
        <v>10.28</v>
      </c>
      <c r="E525" s="4">
        <v>36</v>
      </c>
      <c r="F525" s="4">
        <v>600</v>
      </c>
      <c r="G525" s="16" t="s">
        <v>100</v>
      </c>
      <c r="H525" s="4">
        <v>0.251</v>
      </c>
      <c r="I525" s="4">
        <v>138</v>
      </c>
      <c r="J525" s="4">
        <v>2623</v>
      </c>
      <c r="K525" s="4">
        <v>4639</v>
      </c>
      <c r="L525" s="4">
        <v>0.7</v>
      </c>
      <c r="M525" s="4">
        <v>100.11</v>
      </c>
      <c r="N525" s="5">
        <v>52.49</v>
      </c>
      <c r="Q525" s="1">
        <f t="shared" si="26"/>
        <v>128.2051282051282</v>
      </c>
      <c r="R525" t="str" cm="1">
        <f t="array" ref="R525">_xlfn.IFS(Q525&lt;42.7, "low",
Q525&lt;85.4,"medium low",
Q525&lt;128,"medium high",
Q525&gt;=128,"high"
)</f>
        <v>high</v>
      </c>
      <c r="S525" t="str" cm="1">
        <f t="array" ref="S525">_xlfn.IFS(J525&lt;700,"low",J525&lt;1600,"medium low",J525&lt;2200,"medium high",J525&gt;=2200,"high")</f>
        <v>high</v>
      </c>
      <c r="T525" t="str" cm="1">
        <f t="array" ref="T525">_xlfn.IFS(
J525&lt;630,"Low",
J525&lt;1287,"Medium",
J525&lt;1495,"Intermediate",
J525&lt;1668,"Moderately",
J525&lt;1843,"Transition",
J525&lt;2477,"High",
J525&lt;2996,"Refractory I",
TRUE,"Refractory II"
)</f>
        <v>Refractory I</v>
      </c>
      <c r="U525">
        <f t="shared" si="27"/>
        <v>0.52432324443112577</v>
      </c>
      <c r="V525" t="str" cm="1">
        <f t="array" ref="V525">_xlfn.IFS(U525&lt;0.25,"shallow condution",
U525&lt;0.5,"transition",
U525&lt;1,"conduction",
U525&lt;1.5,"transition",U525&lt;3,"keyholeⅠ",3&lt;=U525,"keyhole Ⅱ"
)</f>
        <v>conduction</v>
      </c>
      <c r="X525">
        <f t="shared" si="28"/>
        <v>1.9072204229377023</v>
      </c>
    </row>
    <row r="526" spans="1:24">
      <c r="A526" s="2" t="s">
        <v>59</v>
      </c>
      <c r="B526" s="4">
        <v>200</v>
      </c>
      <c r="C526" s="4">
        <v>600</v>
      </c>
      <c r="D526" s="4">
        <v>10.28</v>
      </c>
      <c r="E526" s="4">
        <v>36</v>
      </c>
      <c r="F526" s="4">
        <v>600</v>
      </c>
      <c r="G526" s="16" t="s">
        <v>100</v>
      </c>
      <c r="H526" s="4">
        <v>0.251</v>
      </c>
      <c r="I526" s="4">
        <v>138</v>
      </c>
      <c r="J526" s="4">
        <v>2623</v>
      </c>
      <c r="K526" s="4">
        <v>4639</v>
      </c>
      <c r="L526" s="4">
        <v>0.7</v>
      </c>
      <c r="M526" s="4">
        <v>82.56</v>
      </c>
      <c r="N526" s="5">
        <v>44.47</v>
      </c>
      <c r="Q526" s="1">
        <f t="shared" si="26"/>
        <v>85.470085470085465</v>
      </c>
      <c r="R526" t="str" cm="1">
        <f t="array" ref="R526">_xlfn.IFS(Q526&lt;42.7, "low",
Q526&lt;85.4,"medium low",
Q526&lt;128,"medium high",
Q526&gt;=128,"high"
)</f>
        <v>medium high</v>
      </c>
      <c r="S526" t="str" cm="1">
        <f t="array" ref="S526">_xlfn.IFS(J526&lt;700,"low",J526&lt;1600,"medium low",J526&lt;2200,"medium high",J526&gt;=2200,"high")</f>
        <v>high</v>
      </c>
      <c r="T526" t="str" cm="1">
        <f t="array" ref="T526">_xlfn.IFS(
J526&lt;630,"Low",
J526&lt;1287,"Medium",
J526&lt;1495,"Intermediate",
J526&lt;1668,"Moderately",
J526&lt;1843,"Transition",
J526&lt;2477,"High",
J526&lt;2996,"Refractory I",
TRUE,"Refractory II"
)</f>
        <v>Refractory I</v>
      </c>
      <c r="U526">
        <f t="shared" si="27"/>
        <v>0.53863856589147285</v>
      </c>
      <c r="V526" t="str" cm="1">
        <f t="array" ref="V526">_xlfn.IFS(U526&lt;0.25,"shallow condution",
U526&lt;0.5,"transition",
U526&lt;1,"conduction",
U526&lt;1.5,"transition",U526&lt;3,"keyholeⅠ",3&lt;=U526,"keyhole Ⅱ"
)</f>
        <v>conduction</v>
      </c>
      <c r="X526">
        <f t="shared" si="28"/>
        <v>1.8565324938160559</v>
      </c>
    </row>
    <row r="527" spans="1:24">
      <c r="A527" s="2" t="s">
        <v>59</v>
      </c>
      <c r="B527" s="4">
        <v>200</v>
      </c>
      <c r="C527" s="4">
        <v>800</v>
      </c>
      <c r="D527" s="4">
        <v>10.28</v>
      </c>
      <c r="E527" s="4">
        <v>36</v>
      </c>
      <c r="F527" s="4">
        <v>600</v>
      </c>
      <c r="G527" s="16" t="s">
        <v>100</v>
      </c>
      <c r="H527" s="4">
        <v>0.251</v>
      </c>
      <c r="I527" s="4">
        <v>138</v>
      </c>
      <c r="J527" s="4">
        <v>2623</v>
      </c>
      <c r="K527" s="4">
        <v>4639</v>
      </c>
      <c r="L527" s="4">
        <v>0.7</v>
      </c>
      <c r="M527" s="4">
        <v>53</v>
      </c>
      <c r="N527" s="5">
        <v>27.23</v>
      </c>
      <c r="Q527" s="1">
        <f t="shared" si="26"/>
        <v>64.102564102564102</v>
      </c>
      <c r="R527" t="str" cm="1">
        <f t="array" ref="R527">_xlfn.IFS(Q527&lt;42.7, "low",
Q527&lt;85.4,"medium low",
Q527&lt;128,"medium high",
Q527&gt;=128,"high"
)</f>
        <v>medium low</v>
      </c>
      <c r="S527" t="str" cm="1">
        <f t="array" ref="S527">_xlfn.IFS(J527&lt;700,"low",J527&lt;1600,"medium low",J527&lt;2200,"medium high",J527&gt;=2200,"high")</f>
        <v>high</v>
      </c>
      <c r="T527" t="str" cm="1">
        <f t="array" ref="T527">_xlfn.IFS(
J527&lt;630,"Low",
J527&lt;1287,"Medium",
J527&lt;1495,"Intermediate",
J527&lt;1668,"Moderately",
J527&lt;1843,"Transition",
J527&lt;2477,"High",
J527&lt;2996,"Refractory I",
TRUE,"Refractory II"
)</f>
        <v>Refractory I</v>
      </c>
      <c r="U527">
        <f t="shared" si="27"/>
        <v>0.51377358490566039</v>
      </c>
      <c r="V527" t="str" cm="1">
        <f t="array" ref="V527">_xlfn.IFS(U527&lt;0.25,"shallow condution",
U527&lt;0.5,"transition",
U527&lt;1,"conduction",
U527&lt;1.5,"transition",U527&lt;3,"keyholeⅠ",3&lt;=U527,"keyhole Ⅱ"
)</f>
        <v>conduction</v>
      </c>
      <c r="X527">
        <f t="shared" si="28"/>
        <v>1.9463826661770107</v>
      </c>
    </row>
    <row r="528" spans="1:24">
      <c r="A528" s="2" t="s">
        <v>59</v>
      </c>
      <c r="B528" s="4">
        <v>200</v>
      </c>
      <c r="C528" s="4">
        <v>1200</v>
      </c>
      <c r="D528" s="4">
        <v>10.28</v>
      </c>
      <c r="E528" s="4">
        <v>36</v>
      </c>
      <c r="F528" s="4">
        <v>600</v>
      </c>
      <c r="G528" s="16" t="s">
        <v>100</v>
      </c>
      <c r="H528" s="4">
        <v>0.251</v>
      </c>
      <c r="I528" s="4">
        <v>138</v>
      </c>
      <c r="J528" s="4">
        <v>2623</v>
      </c>
      <c r="K528" s="4">
        <v>4639</v>
      </c>
      <c r="L528" s="4">
        <v>0.7</v>
      </c>
      <c r="M528" s="4">
        <v>52.61</v>
      </c>
      <c r="N528" s="5">
        <v>18.809999999999999</v>
      </c>
      <c r="Q528" s="1">
        <f t="shared" si="26"/>
        <v>42.735042735042732</v>
      </c>
      <c r="R528" t="str" cm="1">
        <f t="array" ref="R528">_xlfn.IFS(Q528&lt;42.7, "low",
Q528&lt;85.4,"medium low",
Q528&lt;128,"medium high",
Q528&gt;=128,"high"
)</f>
        <v>medium low</v>
      </c>
      <c r="S528" t="str" cm="1">
        <f t="array" ref="S528">_xlfn.IFS(J528&lt;700,"low",J528&lt;1600,"medium low",J528&lt;2200,"medium high",J528&gt;=2200,"high")</f>
        <v>high</v>
      </c>
      <c r="T528" t="str" cm="1">
        <f t="array" ref="T528">_xlfn.IFS(
J528&lt;630,"Low",
J528&lt;1287,"Medium",
J528&lt;1495,"Intermediate",
J528&lt;1668,"Moderately",
J528&lt;1843,"Transition",
J528&lt;2477,"High",
J528&lt;2996,"Refractory I",
TRUE,"Refractory II"
)</f>
        <v>Refractory I</v>
      </c>
      <c r="U528">
        <f t="shared" si="27"/>
        <v>0.35753659000190074</v>
      </c>
      <c r="V528" t="str" cm="1">
        <f t="array" ref="V528">_xlfn.IFS(U528&lt;0.25,"shallow condution",
U528&lt;0.5,"transition",
U528&lt;1,"conduction",
U528&lt;1.5,"transition",U528&lt;3,"keyholeⅠ",3&lt;=U528,"keyhole Ⅱ"
)</f>
        <v>transition</v>
      </c>
      <c r="X528">
        <f t="shared" si="28"/>
        <v>2.796916533758639</v>
      </c>
    </row>
    <row r="529" spans="1:24">
      <c r="A529" s="2" t="s">
        <v>59</v>
      </c>
      <c r="B529" s="4">
        <v>200</v>
      </c>
      <c r="C529" s="4">
        <v>1600</v>
      </c>
      <c r="D529" s="4">
        <v>10.28</v>
      </c>
      <c r="E529" s="4">
        <v>36</v>
      </c>
      <c r="F529" s="4">
        <v>600</v>
      </c>
      <c r="G529" s="16" t="s">
        <v>100</v>
      </c>
      <c r="H529" s="4">
        <v>0.251</v>
      </c>
      <c r="I529" s="4">
        <v>138</v>
      </c>
      <c r="J529" s="4">
        <v>2623</v>
      </c>
      <c r="K529" s="4">
        <v>4639</v>
      </c>
      <c r="L529" s="4">
        <v>0.7</v>
      </c>
      <c r="M529" s="4">
        <v>45.51</v>
      </c>
      <c r="N529" s="5">
        <v>15.42</v>
      </c>
      <c r="Q529" s="1">
        <f t="shared" si="26"/>
        <v>32.051282051282051</v>
      </c>
      <c r="R529" t="str" cm="1">
        <f t="array" ref="R529">_xlfn.IFS(Q529&lt;42.7, "low",
Q529&lt;85.4,"medium low",
Q529&lt;128,"medium high",
Q529&gt;=128,"high"
)</f>
        <v>low</v>
      </c>
      <c r="S529" t="str" cm="1">
        <f t="array" ref="S529">_xlfn.IFS(J529&lt;700,"low",J529&lt;1600,"medium low",J529&lt;2200,"medium high",J529&gt;=2200,"high")</f>
        <v>high</v>
      </c>
      <c r="T529" t="str" cm="1">
        <f t="array" ref="T529">_xlfn.IFS(
J529&lt;630,"Low",
J529&lt;1287,"Medium",
J529&lt;1495,"Intermediate",
J529&lt;1668,"Moderately",
J529&lt;1843,"Transition",
J529&lt;2477,"High",
J529&lt;2996,"Refractory I",
TRUE,"Refractory II"
)</f>
        <v>Refractory I</v>
      </c>
      <c r="U529">
        <f t="shared" si="27"/>
        <v>0.33882663150955833</v>
      </c>
      <c r="V529" t="str" cm="1">
        <f t="array" ref="V529">_xlfn.IFS(U529&lt;0.25,"shallow condution",
U529&lt;0.5,"transition",
U529&lt;1,"conduction",
U529&lt;1.5,"transition",U529&lt;3,"keyholeⅠ",3&lt;=U529,"keyhole Ⅱ"
)</f>
        <v>transition</v>
      </c>
      <c r="X529">
        <f t="shared" si="28"/>
        <v>2.9513618677042799</v>
      </c>
    </row>
    <row r="530" spans="1:24">
      <c r="A530" s="2" t="s">
        <v>59</v>
      </c>
      <c r="B530" s="4">
        <v>200</v>
      </c>
      <c r="C530" s="4">
        <v>2000</v>
      </c>
      <c r="D530" s="4">
        <v>10.28</v>
      </c>
      <c r="E530" s="4">
        <v>36</v>
      </c>
      <c r="F530" s="4">
        <v>600</v>
      </c>
      <c r="G530" s="16" t="s">
        <v>100</v>
      </c>
      <c r="H530" s="4">
        <v>0.251</v>
      </c>
      <c r="I530" s="4">
        <v>138</v>
      </c>
      <c r="J530" s="4">
        <v>2623</v>
      </c>
      <c r="K530" s="4">
        <v>4639</v>
      </c>
      <c r="L530" s="4">
        <v>0.7</v>
      </c>
      <c r="M530" s="4">
        <v>39.76</v>
      </c>
      <c r="N530" s="5">
        <v>13.05</v>
      </c>
      <c r="Q530" s="1">
        <f t="shared" si="26"/>
        <v>25.641025641025642</v>
      </c>
      <c r="R530" t="str" cm="1">
        <f t="array" ref="R530">_xlfn.IFS(Q530&lt;42.7, "low",
Q530&lt;85.4,"medium low",
Q530&lt;128,"medium high",
Q530&gt;=128,"high"
)</f>
        <v>low</v>
      </c>
      <c r="S530" t="str" cm="1">
        <f t="array" ref="S530">_xlfn.IFS(J530&lt;700,"low",J530&lt;1600,"medium low",J530&lt;2200,"medium high",J530&gt;=2200,"high")</f>
        <v>high</v>
      </c>
      <c r="T530" t="str" cm="1">
        <f t="array" ref="T530">_xlfn.IFS(
J530&lt;630,"Low",
J530&lt;1287,"Medium",
J530&lt;1495,"Intermediate",
J530&lt;1668,"Moderately",
J530&lt;1843,"Transition",
J530&lt;2477,"High",
J530&lt;2996,"Refractory I",
TRUE,"Refractory II"
)</f>
        <v>Refractory I</v>
      </c>
      <c r="U530">
        <f t="shared" si="27"/>
        <v>0.32821931589537229</v>
      </c>
      <c r="V530" t="str" cm="1">
        <f t="array" ref="V530">_xlfn.IFS(U530&lt;0.25,"shallow condution",
U530&lt;0.5,"transition",
U530&lt;1,"conduction",
U530&lt;1.5,"transition",U530&lt;3,"keyholeⅠ",3&lt;=U530,"keyhole Ⅱ"
)</f>
        <v>transition</v>
      </c>
      <c r="X530">
        <f t="shared" si="28"/>
        <v>3.0467432950191569</v>
      </c>
    </row>
    <row r="531" spans="1:24">
      <c r="A531" s="2" t="s">
        <v>59</v>
      </c>
      <c r="B531" s="4">
        <v>200</v>
      </c>
      <c r="C531" s="4">
        <v>2400</v>
      </c>
      <c r="D531" s="4">
        <v>10.28</v>
      </c>
      <c r="E531" s="4">
        <v>36</v>
      </c>
      <c r="F531" s="4">
        <v>600</v>
      </c>
      <c r="G531" s="16" t="s">
        <v>100</v>
      </c>
      <c r="H531" s="4">
        <v>0.251</v>
      </c>
      <c r="I531" s="4">
        <v>138</v>
      </c>
      <c r="J531" s="4">
        <v>2623</v>
      </c>
      <c r="K531" s="4">
        <v>4639</v>
      </c>
      <c r="L531" s="4">
        <v>0.7</v>
      </c>
      <c r="M531" s="4">
        <v>22.25</v>
      </c>
      <c r="N531" s="5">
        <v>12</v>
      </c>
      <c r="Q531" s="1">
        <f t="shared" si="26"/>
        <v>21.367521367521366</v>
      </c>
      <c r="R531" t="str" cm="1">
        <f t="array" ref="R531">_xlfn.IFS(Q531&lt;42.7, "low",
Q531&lt;85.4,"medium low",
Q531&lt;128,"medium high",
Q531&gt;=128,"high"
)</f>
        <v>low</v>
      </c>
      <c r="S531" t="str" cm="1">
        <f t="array" ref="S531">_xlfn.IFS(J531&lt;700,"low",J531&lt;1600,"medium low",J531&lt;2200,"medium high",J531&gt;=2200,"high")</f>
        <v>high</v>
      </c>
      <c r="T531" t="str" cm="1">
        <f t="array" ref="T531">_xlfn.IFS(
J531&lt;630,"Low",
J531&lt;1287,"Medium",
J531&lt;1495,"Intermediate",
J531&lt;1668,"Moderately",
J531&lt;1843,"Transition",
J531&lt;2477,"High",
J531&lt;2996,"Refractory I",
TRUE,"Refractory II"
)</f>
        <v>Refractory I</v>
      </c>
      <c r="U531">
        <f t="shared" si="27"/>
        <v>0.5393258426966292</v>
      </c>
      <c r="V531" t="str" cm="1">
        <f t="array" ref="V531">_xlfn.IFS(U531&lt;0.25,"shallow condution",
U531&lt;0.5,"transition",
U531&lt;1,"conduction",
U531&lt;1.5,"transition",U531&lt;3,"keyholeⅠ",3&lt;=U531,"keyhole Ⅱ"
)</f>
        <v>conduction</v>
      </c>
      <c r="X531">
        <f t="shared" si="28"/>
        <v>1.8541666666666667</v>
      </c>
    </row>
    <row r="532" spans="1:24">
      <c r="A532" s="2" t="s">
        <v>59</v>
      </c>
      <c r="B532" s="4">
        <v>350</v>
      </c>
      <c r="C532" s="4">
        <v>400</v>
      </c>
      <c r="D532" s="4">
        <v>10.28</v>
      </c>
      <c r="E532" s="4">
        <v>36</v>
      </c>
      <c r="F532" s="4">
        <v>600</v>
      </c>
      <c r="G532" s="16" t="s">
        <v>100</v>
      </c>
      <c r="H532" s="4">
        <v>0.251</v>
      </c>
      <c r="I532" s="4">
        <v>138</v>
      </c>
      <c r="J532" s="4">
        <v>2623</v>
      </c>
      <c r="K532" s="4">
        <v>4639</v>
      </c>
      <c r="L532" s="4">
        <v>0.7</v>
      </c>
      <c r="M532" s="4">
        <v>128.9</v>
      </c>
      <c r="N532" s="5">
        <v>70.47</v>
      </c>
      <c r="Q532" s="1">
        <f t="shared" si="26"/>
        <v>224.35897435897436</v>
      </c>
      <c r="R532" t="str" cm="1">
        <f t="array" ref="R532">_xlfn.IFS(Q532&lt;42.7, "low",
Q532&lt;85.4,"medium low",
Q532&lt;128,"medium high",
Q532&gt;=128,"high"
)</f>
        <v>high</v>
      </c>
      <c r="S532" t="str" cm="1">
        <f t="array" ref="S532">_xlfn.IFS(J532&lt;700,"low",J532&lt;1600,"medium low",J532&lt;2200,"medium high",J532&gt;=2200,"high")</f>
        <v>high</v>
      </c>
      <c r="T532" t="str" cm="1">
        <f t="array" ref="T532">_xlfn.IFS(
J532&lt;630,"Low",
J532&lt;1287,"Medium",
J532&lt;1495,"Intermediate",
J532&lt;1668,"Moderately",
J532&lt;1843,"Transition",
J532&lt;2477,"High",
J532&lt;2996,"Refractory I",
TRUE,"Refractory II"
)</f>
        <v>Refractory I</v>
      </c>
      <c r="U532">
        <f t="shared" si="27"/>
        <v>0.54670287044220323</v>
      </c>
      <c r="V532" t="str" cm="1">
        <f t="array" ref="V532">_xlfn.IFS(U532&lt;0.25,"shallow condution",
U532&lt;0.5,"transition",
U532&lt;1,"conduction",
U532&lt;1.5,"transition",U532&lt;3,"keyholeⅠ",3&lt;=U532,"keyhole Ⅱ"
)</f>
        <v>conduction</v>
      </c>
      <c r="X532">
        <f t="shared" si="28"/>
        <v>1.829147154817653</v>
      </c>
    </row>
    <row r="533" spans="1:24">
      <c r="A533" s="2" t="s">
        <v>59</v>
      </c>
      <c r="B533" s="4">
        <v>350</v>
      </c>
      <c r="C533" s="4">
        <v>600</v>
      </c>
      <c r="D533" s="4">
        <v>10.28</v>
      </c>
      <c r="E533" s="4">
        <v>36</v>
      </c>
      <c r="F533" s="4">
        <v>600</v>
      </c>
      <c r="G533" s="16" t="s">
        <v>100</v>
      </c>
      <c r="H533" s="4">
        <v>0.251</v>
      </c>
      <c r="I533" s="4">
        <v>138</v>
      </c>
      <c r="J533" s="4">
        <v>2623</v>
      </c>
      <c r="K533" s="4">
        <v>4639</v>
      </c>
      <c r="L533" s="4">
        <v>0.7</v>
      </c>
      <c r="M533" s="4">
        <v>112.47</v>
      </c>
      <c r="N533" s="5">
        <v>56.95</v>
      </c>
      <c r="Q533" s="1">
        <f t="shared" si="26"/>
        <v>149.57264957264957</v>
      </c>
      <c r="R533" t="str" cm="1">
        <f t="array" ref="R533">_xlfn.IFS(Q533&lt;42.7, "low",
Q533&lt;85.4,"medium low",
Q533&lt;128,"medium high",
Q533&gt;=128,"high"
)</f>
        <v>high</v>
      </c>
      <c r="S533" t="str" cm="1">
        <f t="array" ref="S533">_xlfn.IFS(J533&lt;700,"low",J533&lt;1600,"medium low",J533&lt;2200,"medium high",J533&gt;=2200,"high")</f>
        <v>high</v>
      </c>
      <c r="T533" t="str" cm="1">
        <f t="array" ref="T533">_xlfn.IFS(
J533&lt;630,"Low",
J533&lt;1287,"Medium",
J533&lt;1495,"Intermediate",
J533&lt;1668,"Moderately",
J533&lt;1843,"Transition",
J533&lt;2477,"High",
J533&lt;2996,"Refractory I",
TRUE,"Refractory II"
)</f>
        <v>Refractory I</v>
      </c>
      <c r="U533">
        <f t="shared" si="27"/>
        <v>0.50635725082244154</v>
      </c>
      <c r="V533" t="str" cm="1">
        <f t="array" ref="V533">_xlfn.IFS(U533&lt;0.25,"shallow condution",
U533&lt;0.5,"transition",
U533&lt;1,"conduction",
U533&lt;1.5,"transition",U533&lt;3,"keyholeⅠ",3&lt;=U533,"keyhole Ⅱ"
)</f>
        <v>conduction</v>
      </c>
      <c r="X533">
        <f t="shared" si="28"/>
        <v>1.9748902546093063</v>
      </c>
    </row>
    <row r="534" spans="1:24">
      <c r="A534" s="2" t="s">
        <v>59</v>
      </c>
      <c r="B534" s="4">
        <v>350</v>
      </c>
      <c r="C534" s="4">
        <v>800</v>
      </c>
      <c r="D534" s="4">
        <v>10.28</v>
      </c>
      <c r="E534" s="4">
        <v>36</v>
      </c>
      <c r="F534" s="4">
        <v>600</v>
      </c>
      <c r="G534" s="16" t="s">
        <v>100</v>
      </c>
      <c r="H534" s="4">
        <v>0.251</v>
      </c>
      <c r="I534" s="4">
        <v>138</v>
      </c>
      <c r="J534" s="4">
        <v>2623</v>
      </c>
      <c r="K534" s="4">
        <v>4639</v>
      </c>
      <c r="L534" s="4">
        <v>0.7</v>
      </c>
      <c r="M534" s="4">
        <v>96.67</v>
      </c>
      <c r="N534" s="5">
        <v>49.37</v>
      </c>
      <c r="Q534" s="1">
        <f t="shared" si="26"/>
        <v>112.17948717948718</v>
      </c>
      <c r="R534" t="str" cm="1">
        <f t="array" ref="R534">_xlfn.IFS(Q534&lt;42.7, "low",
Q534&lt;85.4,"medium low",
Q534&lt;128,"medium high",
Q534&gt;=128,"high"
)</f>
        <v>medium high</v>
      </c>
      <c r="S534" t="str" cm="1">
        <f t="array" ref="S534">_xlfn.IFS(J534&lt;700,"low",J534&lt;1600,"medium low",J534&lt;2200,"medium high",J534&gt;=2200,"high")</f>
        <v>high</v>
      </c>
      <c r="T534" t="str" cm="1">
        <f t="array" ref="T534">_xlfn.IFS(
J534&lt;630,"Low",
J534&lt;1287,"Medium",
J534&lt;1495,"Intermediate",
J534&lt;1668,"Moderately",
J534&lt;1843,"Transition",
J534&lt;2477,"High",
J534&lt;2996,"Refractory I",
TRUE,"Refractory II"
)</f>
        <v>Refractory I</v>
      </c>
      <c r="U534">
        <f t="shared" si="27"/>
        <v>0.51070652736112543</v>
      </c>
      <c r="V534" t="str" cm="1">
        <f t="array" ref="V534">_xlfn.IFS(U534&lt;0.25,"shallow condution",
U534&lt;0.5,"transition",
U534&lt;1,"conduction",
U534&lt;1.5,"transition",U534&lt;3,"keyholeⅠ",3&lt;=U534,"keyhole Ⅱ"
)</f>
        <v>conduction</v>
      </c>
      <c r="X534">
        <f t="shared" si="28"/>
        <v>1.9580717034636421</v>
      </c>
    </row>
    <row r="535" spans="1:24">
      <c r="A535" s="2" t="s">
        <v>59</v>
      </c>
      <c r="B535" s="4">
        <v>350</v>
      </c>
      <c r="C535" s="4">
        <v>1000</v>
      </c>
      <c r="D535" s="4">
        <v>10.28</v>
      </c>
      <c r="E535" s="4">
        <v>36</v>
      </c>
      <c r="F535" s="4">
        <v>600</v>
      </c>
      <c r="G535" s="16" t="s">
        <v>100</v>
      </c>
      <c r="H535" s="4">
        <v>0.251</v>
      </c>
      <c r="I535" s="4">
        <v>138</v>
      </c>
      <c r="J535" s="4">
        <v>2623</v>
      </c>
      <c r="K535" s="4">
        <v>4639</v>
      </c>
      <c r="L535" s="4">
        <v>0.7</v>
      </c>
      <c r="M535" s="4">
        <v>81</v>
      </c>
      <c r="N535" s="5">
        <v>33.1</v>
      </c>
      <c r="Q535" s="1">
        <f t="shared" si="26"/>
        <v>89.743589743589737</v>
      </c>
      <c r="R535" t="str" cm="1">
        <f t="array" ref="R535">_xlfn.IFS(Q535&lt;42.7, "low",
Q535&lt;85.4,"medium low",
Q535&lt;128,"medium high",
Q535&gt;=128,"high"
)</f>
        <v>medium high</v>
      </c>
      <c r="S535" t="str" cm="1">
        <f t="array" ref="S535">_xlfn.IFS(J535&lt;700,"low",J535&lt;1600,"medium low",J535&lt;2200,"medium high",J535&gt;=2200,"high")</f>
        <v>high</v>
      </c>
      <c r="T535" t="str" cm="1">
        <f t="array" ref="T535">_xlfn.IFS(
J535&lt;630,"Low",
J535&lt;1287,"Medium",
J535&lt;1495,"Intermediate",
J535&lt;1668,"Moderately",
J535&lt;1843,"Transition",
J535&lt;2477,"High",
J535&lt;2996,"Refractory I",
TRUE,"Refractory II"
)</f>
        <v>Refractory I</v>
      </c>
      <c r="U535">
        <f t="shared" si="27"/>
        <v>0.40864197530864199</v>
      </c>
      <c r="V535" t="str" cm="1">
        <f t="array" ref="V535">_xlfn.IFS(U535&lt;0.25,"shallow condution",
U535&lt;0.5,"transition",
U535&lt;1,"conduction",
U535&lt;1.5,"transition",U535&lt;3,"keyholeⅠ",3&lt;=U535,"keyhole Ⅱ"
)</f>
        <v>transition</v>
      </c>
      <c r="X535">
        <f t="shared" si="28"/>
        <v>2.4471299093655587</v>
      </c>
    </row>
    <row r="536" spans="1:24">
      <c r="A536" s="2" t="s">
        <v>59</v>
      </c>
      <c r="B536" s="4">
        <v>350</v>
      </c>
      <c r="C536" s="4">
        <v>1200</v>
      </c>
      <c r="D536" s="4">
        <v>10.28</v>
      </c>
      <c r="E536" s="4">
        <v>36</v>
      </c>
      <c r="F536" s="4">
        <v>600</v>
      </c>
      <c r="G536" s="16" t="s">
        <v>100</v>
      </c>
      <c r="H536" s="4">
        <v>0.251</v>
      </c>
      <c r="I536" s="4">
        <v>138</v>
      </c>
      <c r="J536" s="4">
        <v>2623</v>
      </c>
      <c r="K536" s="4">
        <v>4639</v>
      </c>
      <c r="L536" s="4">
        <v>0.7</v>
      </c>
      <c r="M536" s="4">
        <v>58.26</v>
      </c>
      <c r="N536" s="5">
        <v>25.08</v>
      </c>
      <c r="Q536" s="1">
        <f t="shared" si="26"/>
        <v>74.786324786324784</v>
      </c>
      <c r="R536" t="str" cm="1">
        <f t="array" ref="R536">_xlfn.IFS(Q536&lt;42.7, "low",
Q536&lt;85.4,"medium low",
Q536&lt;128,"medium high",
Q536&gt;=128,"high"
)</f>
        <v>medium low</v>
      </c>
      <c r="S536" t="str" cm="1">
        <f t="array" ref="S536">_xlfn.IFS(J536&lt;700,"low",J536&lt;1600,"medium low",J536&lt;2200,"medium high",J536&gt;=2200,"high")</f>
        <v>high</v>
      </c>
      <c r="T536" t="str" cm="1">
        <f t="array" ref="T536">_xlfn.IFS(
J536&lt;630,"Low",
J536&lt;1287,"Medium",
J536&lt;1495,"Intermediate",
J536&lt;1668,"Moderately",
J536&lt;1843,"Transition",
J536&lt;2477,"High",
J536&lt;2996,"Refractory I",
TRUE,"Refractory II"
)</f>
        <v>Refractory I</v>
      </c>
      <c r="U536">
        <f t="shared" si="27"/>
        <v>0.43048403707518024</v>
      </c>
      <c r="V536" t="str" cm="1">
        <f t="array" ref="V536">_xlfn.IFS(U536&lt;0.25,"shallow condution",
U536&lt;0.5,"transition",
U536&lt;1,"conduction",
U536&lt;1.5,"transition",U536&lt;3,"keyholeⅠ",3&lt;=U536,"keyhole Ⅱ"
)</f>
        <v>transition</v>
      </c>
      <c r="X536">
        <f t="shared" si="28"/>
        <v>2.3229665071770338</v>
      </c>
    </row>
    <row r="537" spans="1:24">
      <c r="A537" s="2" t="s">
        <v>59</v>
      </c>
      <c r="B537" s="4">
        <v>350</v>
      </c>
      <c r="C537" s="4">
        <v>1600</v>
      </c>
      <c r="D537" s="4">
        <v>10.28</v>
      </c>
      <c r="E537" s="4">
        <v>36</v>
      </c>
      <c r="F537" s="4">
        <v>600</v>
      </c>
      <c r="G537" s="16" t="s">
        <v>100</v>
      </c>
      <c r="H537" s="4">
        <v>0.251</v>
      </c>
      <c r="I537" s="4">
        <v>138</v>
      </c>
      <c r="J537" s="4">
        <v>2623</v>
      </c>
      <c r="K537" s="4">
        <v>4639</v>
      </c>
      <c r="L537" s="4">
        <v>0.7</v>
      </c>
      <c r="M537" s="4">
        <v>52.6</v>
      </c>
      <c r="N537" s="5">
        <v>22.75</v>
      </c>
      <c r="Q537" s="1">
        <f t="shared" si="26"/>
        <v>56.089743589743591</v>
      </c>
      <c r="R537" t="str" cm="1">
        <f t="array" ref="R537">_xlfn.IFS(Q537&lt;42.7, "low",
Q537&lt;85.4,"medium low",
Q537&lt;128,"medium high",
Q537&gt;=128,"high"
)</f>
        <v>medium low</v>
      </c>
      <c r="S537" t="str" cm="1">
        <f t="array" ref="S537">_xlfn.IFS(J537&lt;700,"low",J537&lt;1600,"medium low",J537&lt;2200,"medium high",J537&gt;=2200,"high")</f>
        <v>high</v>
      </c>
      <c r="T537" t="str" cm="1">
        <f t="array" ref="T537">_xlfn.IFS(
J537&lt;630,"Low",
J537&lt;1287,"Medium",
J537&lt;1495,"Intermediate",
J537&lt;1668,"Moderately",
J537&lt;1843,"Transition",
J537&lt;2477,"High",
J537&lt;2996,"Refractory I",
TRUE,"Refractory II"
)</f>
        <v>Refractory I</v>
      </c>
      <c r="U537">
        <f t="shared" si="27"/>
        <v>0.43250950570342206</v>
      </c>
      <c r="V537" t="str" cm="1">
        <f t="array" ref="V537">_xlfn.IFS(U537&lt;0.25,"shallow condution",
U537&lt;0.5,"transition",
U537&lt;1,"conduction",
U537&lt;1.5,"transition",U537&lt;3,"keyholeⅠ",3&lt;=U537,"keyhole Ⅱ"
)</f>
        <v>transition</v>
      </c>
      <c r="X537">
        <f t="shared" si="28"/>
        <v>2.3120879120879123</v>
      </c>
    </row>
    <row r="538" spans="1:24">
      <c r="A538" s="2" t="s">
        <v>59</v>
      </c>
      <c r="B538" s="4">
        <v>350</v>
      </c>
      <c r="C538" s="4">
        <v>2000</v>
      </c>
      <c r="D538" s="4">
        <v>10.28</v>
      </c>
      <c r="E538" s="4">
        <v>36</v>
      </c>
      <c r="F538" s="4">
        <v>600</v>
      </c>
      <c r="G538" s="16" t="s">
        <v>100</v>
      </c>
      <c r="H538" s="4">
        <v>0.251</v>
      </c>
      <c r="I538" s="4">
        <v>138</v>
      </c>
      <c r="J538" s="4">
        <v>2623</v>
      </c>
      <c r="K538" s="4">
        <v>4639</v>
      </c>
      <c r="L538" s="4">
        <v>0.7</v>
      </c>
      <c r="M538" s="4">
        <v>48.71</v>
      </c>
      <c r="N538" s="5">
        <v>21</v>
      </c>
      <c r="Q538" s="1">
        <f t="shared" si="26"/>
        <v>44.871794871794869</v>
      </c>
      <c r="R538" t="str" cm="1">
        <f t="array" ref="R538">_xlfn.IFS(Q538&lt;42.7, "low",
Q538&lt;85.4,"medium low",
Q538&lt;128,"medium high",
Q538&gt;=128,"high"
)</f>
        <v>medium low</v>
      </c>
      <c r="S538" t="str" cm="1">
        <f t="array" ref="S538">_xlfn.IFS(J538&lt;700,"low",J538&lt;1600,"medium low",J538&lt;2200,"medium high",J538&gt;=2200,"high")</f>
        <v>high</v>
      </c>
      <c r="T538" t="str" cm="1">
        <f t="array" ref="T538">_xlfn.IFS(
J538&lt;630,"Low",
J538&lt;1287,"Medium",
J538&lt;1495,"Intermediate",
J538&lt;1668,"Moderately",
J538&lt;1843,"Transition",
J538&lt;2477,"High",
J538&lt;2996,"Refractory I",
TRUE,"Refractory II"
)</f>
        <v>Refractory I</v>
      </c>
      <c r="U538">
        <f t="shared" si="27"/>
        <v>0.43112297269554506</v>
      </c>
      <c r="V538" t="str" cm="1">
        <f t="array" ref="V538">_xlfn.IFS(U538&lt;0.25,"shallow condution",
U538&lt;0.5,"transition",
U538&lt;1,"conduction",
U538&lt;1.5,"transition",U538&lt;3,"keyholeⅠ",3&lt;=U538,"keyhole Ⅱ"
)</f>
        <v>transition</v>
      </c>
      <c r="X538">
        <f t="shared" si="28"/>
        <v>2.3195238095238095</v>
      </c>
    </row>
    <row r="539" spans="1:24">
      <c r="A539" s="2" t="s">
        <v>59</v>
      </c>
      <c r="B539" s="4">
        <v>350</v>
      </c>
      <c r="C539" s="4">
        <v>2400</v>
      </c>
      <c r="D539" s="4">
        <v>10.28</v>
      </c>
      <c r="E539" s="4">
        <v>36</v>
      </c>
      <c r="F539" s="4">
        <v>600</v>
      </c>
      <c r="G539" s="16" t="s">
        <v>100</v>
      </c>
      <c r="H539" s="4">
        <v>0.251</v>
      </c>
      <c r="I539" s="4">
        <v>138</v>
      </c>
      <c r="J539" s="4">
        <v>2623</v>
      </c>
      <c r="K539" s="4">
        <v>4639</v>
      </c>
      <c r="L539" s="4">
        <v>0.7</v>
      </c>
      <c r="M539" s="4">
        <v>44.18</v>
      </c>
      <c r="N539" s="5">
        <v>14.6</v>
      </c>
      <c r="Q539" s="1">
        <f t="shared" si="26"/>
        <v>37.393162393162392</v>
      </c>
      <c r="R539" t="str" cm="1">
        <f t="array" ref="R539">_xlfn.IFS(Q539&lt;42.7, "low",
Q539&lt;85.4,"medium low",
Q539&lt;128,"medium high",
Q539&gt;=128,"high"
)</f>
        <v>low</v>
      </c>
      <c r="S539" t="str" cm="1">
        <f t="array" ref="S539">_xlfn.IFS(J539&lt;700,"low",J539&lt;1600,"medium low",J539&lt;2200,"medium high",J539&gt;=2200,"high")</f>
        <v>high</v>
      </c>
      <c r="T539" t="str" cm="1">
        <f t="array" ref="T539">_xlfn.IFS(
J539&lt;630,"Low",
J539&lt;1287,"Medium",
J539&lt;1495,"Intermediate",
J539&lt;1668,"Moderately",
J539&lt;1843,"Transition",
J539&lt;2477,"High",
J539&lt;2996,"Refractory I",
TRUE,"Refractory II"
)</f>
        <v>Refractory I</v>
      </c>
      <c r="U539">
        <f t="shared" si="27"/>
        <v>0.33046627433227704</v>
      </c>
      <c r="V539" t="str" cm="1">
        <f t="array" ref="V539">_xlfn.IFS(U539&lt;0.25,"shallow condution",
U539&lt;0.5,"transition",
U539&lt;1,"conduction",
U539&lt;1.5,"transition",U539&lt;3,"keyholeⅠ",3&lt;=U539,"keyhole Ⅱ"
)</f>
        <v>transition</v>
      </c>
      <c r="X539">
        <f t="shared" si="28"/>
        <v>3.026027397260274</v>
      </c>
    </row>
    <row r="540" spans="1:24">
      <c r="A540" s="2" t="s">
        <v>59</v>
      </c>
      <c r="B540" s="4">
        <v>100</v>
      </c>
      <c r="C540" s="4">
        <v>300</v>
      </c>
      <c r="D540" s="4">
        <v>10.28</v>
      </c>
      <c r="E540" s="4">
        <v>36</v>
      </c>
      <c r="F540" s="4">
        <v>600</v>
      </c>
      <c r="G540" s="16" t="s">
        <v>100</v>
      </c>
      <c r="H540" s="4">
        <v>0.251</v>
      </c>
      <c r="I540" s="4">
        <v>138</v>
      </c>
      <c r="J540" s="4">
        <v>2623</v>
      </c>
      <c r="K540" s="4">
        <v>4639</v>
      </c>
      <c r="L540" s="4">
        <v>0.7</v>
      </c>
      <c r="M540" s="4">
        <v>152.52000000000001</v>
      </c>
      <c r="N540" s="5">
        <v>87.29</v>
      </c>
      <c r="Q540" s="1">
        <f t="shared" si="26"/>
        <v>85.470085470085465</v>
      </c>
      <c r="R540" t="str" cm="1">
        <f t="array" ref="R540">_xlfn.IFS(Q540&lt;42.7, "low",
Q540&lt;85.4,"medium low",
Q540&lt;128,"medium high",
Q540&gt;=128,"high"
)</f>
        <v>medium high</v>
      </c>
      <c r="S540" t="str" cm="1">
        <f t="array" ref="S540">_xlfn.IFS(J540&lt;700,"low",J540&lt;1600,"medium low",J540&lt;2200,"medium high",J540&gt;=2200,"high")</f>
        <v>high</v>
      </c>
      <c r="T540" t="str" cm="1">
        <f t="array" ref="T540">_xlfn.IFS(
J540&lt;630,"Low",
J540&lt;1287,"Medium",
J540&lt;1495,"Intermediate",
J540&lt;1668,"Moderately",
J540&lt;1843,"Transition",
J540&lt;2477,"High",
J540&lt;2996,"Refractory I",
TRUE,"Refractory II"
)</f>
        <v>Refractory I</v>
      </c>
      <c r="U540">
        <f t="shared" si="27"/>
        <v>0.57231838447416727</v>
      </c>
      <c r="V540" t="str" cm="1">
        <f t="array" ref="V540">_xlfn.IFS(U540&lt;0.25,"shallow condution",
U540&lt;0.5,"transition",
U540&lt;1,"conduction",
U540&lt;1.5,"transition",U540&lt;3,"keyholeⅠ",3&lt;=U540,"keyhole Ⅱ"
)</f>
        <v>conduction</v>
      </c>
      <c r="X540">
        <f t="shared" si="28"/>
        <v>1.7472791843281017</v>
      </c>
    </row>
    <row r="541" spans="1:24">
      <c r="A541" s="2" t="s">
        <v>59</v>
      </c>
      <c r="B541" s="4">
        <v>150</v>
      </c>
      <c r="C541" s="4">
        <v>300</v>
      </c>
      <c r="D541" s="4">
        <v>10.28</v>
      </c>
      <c r="E541" s="4">
        <v>36</v>
      </c>
      <c r="F541" s="4">
        <v>600</v>
      </c>
      <c r="G541" s="16" t="s">
        <v>100</v>
      </c>
      <c r="H541" s="4">
        <v>0.251</v>
      </c>
      <c r="I541" s="4">
        <v>138</v>
      </c>
      <c r="J541" s="4">
        <v>2623</v>
      </c>
      <c r="K541" s="4">
        <v>4639</v>
      </c>
      <c r="L541" s="4">
        <v>0.7</v>
      </c>
      <c r="M541" s="4">
        <v>163.27000000000001</v>
      </c>
      <c r="N541" s="5">
        <v>85.24</v>
      </c>
      <c r="Q541" s="1">
        <f t="shared" si="26"/>
        <v>128.2051282051282</v>
      </c>
      <c r="R541" t="str" cm="1">
        <f t="array" ref="R541">_xlfn.IFS(Q541&lt;42.7, "low",
Q541&lt;85.4,"medium low",
Q541&lt;128,"medium high",
Q541&gt;=128,"high"
)</f>
        <v>high</v>
      </c>
      <c r="S541" t="str" cm="1">
        <f t="array" ref="S541">_xlfn.IFS(J541&lt;700,"low",J541&lt;1600,"medium low",J541&lt;2200,"medium high",J541&gt;=2200,"high")</f>
        <v>high</v>
      </c>
      <c r="T541" t="str" cm="1">
        <f t="array" ref="T541">_xlfn.IFS(
J541&lt;630,"Low",
J541&lt;1287,"Medium",
J541&lt;1495,"Intermediate",
J541&lt;1668,"Moderately",
J541&lt;1843,"Transition",
J541&lt;2477,"High",
J541&lt;2996,"Refractory I",
TRUE,"Refractory II"
)</f>
        <v>Refractory I</v>
      </c>
      <c r="U541">
        <f t="shared" si="27"/>
        <v>0.52207999020028173</v>
      </c>
      <c r="V541" t="str" cm="1">
        <f t="array" ref="V541">_xlfn.IFS(U541&lt;0.25,"shallow condution",
U541&lt;0.5,"transition",
U541&lt;1,"conduction",
U541&lt;1.5,"transition",U541&lt;3,"keyholeⅠ",3&lt;=U541,"keyhole Ⅱ"
)</f>
        <v>conduction</v>
      </c>
      <c r="X541">
        <f t="shared" si="28"/>
        <v>1.9154152979821681</v>
      </c>
    </row>
    <row r="542" spans="1:24">
      <c r="A542" s="2" t="s">
        <v>59</v>
      </c>
      <c r="B542" s="4">
        <v>200</v>
      </c>
      <c r="C542" s="4">
        <v>300</v>
      </c>
      <c r="D542" s="4">
        <v>10.28</v>
      </c>
      <c r="E542" s="4">
        <v>36</v>
      </c>
      <c r="F542" s="4">
        <v>600</v>
      </c>
      <c r="G542" s="16" t="s">
        <v>100</v>
      </c>
      <c r="H542" s="4">
        <v>0.251</v>
      </c>
      <c r="I542" s="4">
        <v>138</v>
      </c>
      <c r="J542" s="4">
        <v>2623</v>
      </c>
      <c r="K542" s="4">
        <v>4639</v>
      </c>
      <c r="L542" s="4">
        <v>0.7</v>
      </c>
      <c r="M542" s="4">
        <v>267.75</v>
      </c>
      <c r="N542" s="5">
        <v>134.81</v>
      </c>
      <c r="Q542" s="1">
        <f t="shared" si="26"/>
        <v>170.94017094017093</v>
      </c>
      <c r="R542" t="str" cm="1">
        <f t="array" ref="R542">_xlfn.IFS(Q542&lt;42.7, "low",
Q542&lt;85.4,"medium low",
Q542&lt;128,"medium high",
Q542&gt;=128,"high"
)</f>
        <v>high</v>
      </c>
      <c r="S542" t="str" cm="1">
        <f t="array" ref="S542">_xlfn.IFS(J542&lt;700,"low",J542&lt;1600,"medium low",J542&lt;2200,"medium high",J542&gt;=2200,"high")</f>
        <v>high</v>
      </c>
      <c r="T542" t="str" cm="1">
        <f t="array" ref="T542">_xlfn.IFS(
J542&lt;630,"Low",
J542&lt;1287,"Medium",
J542&lt;1495,"Intermediate",
J542&lt;1668,"Moderately",
J542&lt;1843,"Transition",
J542&lt;2477,"High",
J542&lt;2996,"Refractory I",
TRUE,"Refractory II"
)</f>
        <v>Refractory I</v>
      </c>
      <c r="U542">
        <f t="shared" si="27"/>
        <v>0.50349206349206355</v>
      </c>
      <c r="V542" t="str" cm="1">
        <f t="array" ref="V542">_xlfn.IFS(U542&lt;0.25,"shallow condution",
U542&lt;0.5,"transition",
U542&lt;1,"conduction",
U542&lt;1.5,"transition",U542&lt;3,"keyholeⅠ",3&lt;=U542,"keyhole Ⅱ"
)</f>
        <v>conduction</v>
      </c>
      <c r="X542">
        <f t="shared" si="28"/>
        <v>1.9861286254728878</v>
      </c>
    </row>
    <row r="543" spans="1:24">
      <c r="A543" s="2" t="s">
        <v>59</v>
      </c>
      <c r="B543" s="4">
        <v>250</v>
      </c>
      <c r="C543" s="4">
        <v>300</v>
      </c>
      <c r="D543" s="4">
        <v>10.28</v>
      </c>
      <c r="E543" s="4">
        <v>36</v>
      </c>
      <c r="F543" s="4">
        <v>600</v>
      </c>
      <c r="G543" s="16" t="s">
        <v>100</v>
      </c>
      <c r="H543" s="4">
        <v>0.251</v>
      </c>
      <c r="I543" s="4">
        <v>138</v>
      </c>
      <c r="J543" s="4">
        <v>2623</v>
      </c>
      <c r="K543" s="4">
        <v>4639</v>
      </c>
      <c r="L543" s="4">
        <v>0.7</v>
      </c>
      <c r="M543" s="4">
        <v>239.69</v>
      </c>
      <c r="N543" s="5">
        <v>119.48</v>
      </c>
      <c r="Q543" s="1">
        <f t="shared" si="26"/>
        <v>213.67521367521368</v>
      </c>
      <c r="R543" t="str" cm="1">
        <f t="array" ref="R543">_xlfn.IFS(Q543&lt;42.7, "low",
Q543&lt;85.4,"medium low",
Q543&lt;128,"medium high",
Q543&gt;=128,"high"
)</f>
        <v>high</v>
      </c>
      <c r="S543" t="str" cm="1">
        <f t="array" ref="S543">_xlfn.IFS(J543&lt;700,"low",J543&lt;1600,"medium low",J543&lt;2200,"medium high",J543&gt;=2200,"high")</f>
        <v>high</v>
      </c>
      <c r="T543" t="str" cm="1">
        <f t="array" ref="T543">_xlfn.IFS(
J543&lt;630,"Low",
J543&lt;1287,"Medium",
J543&lt;1495,"Intermediate",
J543&lt;1668,"Moderately",
J543&lt;1843,"Transition",
J543&lt;2477,"High",
J543&lt;2996,"Refractory I",
TRUE,"Refractory II"
)</f>
        <v>Refractory I</v>
      </c>
      <c r="U543">
        <f t="shared" si="27"/>
        <v>0.49847719971630022</v>
      </c>
      <c r="V543" t="str" cm="1">
        <f t="array" ref="V543">_xlfn.IFS(U543&lt;0.25,"shallow condution",
U543&lt;0.5,"transition",
U543&lt;1,"conduction",
U543&lt;1.5,"transition",U543&lt;3,"keyholeⅠ",3&lt;=U543,"keyhole Ⅱ"
)</f>
        <v>transition</v>
      </c>
      <c r="X543">
        <f t="shared" si="28"/>
        <v>2.0061098091730831</v>
      </c>
    </row>
    <row r="544" spans="1:24">
      <c r="A544" s="2" t="s">
        <v>59</v>
      </c>
      <c r="B544" s="4">
        <v>300</v>
      </c>
      <c r="C544" s="4">
        <v>300</v>
      </c>
      <c r="D544" s="4">
        <v>10.28</v>
      </c>
      <c r="E544" s="4">
        <v>36</v>
      </c>
      <c r="F544" s="4">
        <v>600</v>
      </c>
      <c r="G544" s="16" t="s">
        <v>100</v>
      </c>
      <c r="H544" s="4">
        <v>0.251</v>
      </c>
      <c r="I544" s="4">
        <v>138</v>
      </c>
      <c r="J544" s="4">
        <v>2623</v>
      </c>
      <c r="K544" s="4">
        <v>4639</v>
      </c>
      <c r="L544" s="4">
        <v>0.7</v>
      </c>
      <c r="M544" s="4">
        <v>257</v>
      </c>
      <c r="N544" s="5">
        <v>130.5</v>
      </c>
      <c r="Q544" s="1">
        <f t="shared" si="26"/>
        <v>256.41025641025641</v>
      </c>
      <c r="R544" t="str" cm="1">
        <f t="array" ref="R544">_xlfn.IFS(Q544&lt;42.7, "low",
Q544&lt;85.4,"medium low",
Q544&lt;128,"medium high",
Q544&gt;=128,"high"
)</f>
        <v>high</v>
      </c>
      <c r="S544" t="str" cm="1">
        <f t="array" ref="S544">_xlfn.IFS(J544&lt;700,"low",J544&lt;1600,"medium low",J544&lt;2200,"medium high",J544&gt;=2200,"high")</f>
        <v>high</v>
      </c>
      <c r="T544" t="str" cm="1">
        <f t="array" ref="T544">_xlfn.IFS(
J544&lt;630,"Low",
J544&lt;1287,"Medium",
J544&lt;1495,"Intermediate",
J544&lt;1668,"Moderately",
J544&lt;1843,"Transition",
J544&lt;2477,"High",
J544&lt;2996,"Refractory I",
TRUE,"Refractory II"
)</f>
        <v>Refractory I</v>
      </c>
      <c r="U544">
        <f t="shared" si="27"/>
        <v>0.50778210116731515</v>
      </c>
      <c r="V544" t="str" cm="1">
        <f t="array" ref="V544">_xlfn.IFS(U544&lt;0.25,"shallow condution",
U544&lt;0.5,"transition",
U544&lt;1,"conduction",
U544&lt;1.5,"transition",U544&lt;3,"keyholeⅠ",3&lt;=U544,"keyhole Ⅱ"
)</f>
        <v>conduction</v>
      </c>
      <c r="X544">
        <f t="shared" si="28"/>
        <v>1.9693486590038314</v>
      </c>
    </row>
    <row r="545" spans="1:24">
      <c r="A545" s="2" t="s">
        <v>59</v>
      </c>
      <c r="B545" s="4">
        <v>100</v>
      </c>
      <c r="C545" s="4">
        <v>600</v>
      </c>
      <c r="D545" s="4">
        <v>10.28</v>
      </c>
      <c r="E545" s="4">
        <v>36</v>
      </c>
      <c r="F545" s="4">
        <v>600</v>
      </c>
      <c r="G545" s="16" t="s">
        <v>100</v>
      </c>
      <c r="H545" s="4">
        <v>0.251</v>
      </c>
      <c r="I545" s="4">
        <v>138</v>
      </c>
      <c r="J545" s="4">
        <v>2623</v>
      </c>
      <c r="K545" s="4">
        <v>4639</v>
      </c>
      <c r="L545" s="4">
        <v>0.7</v>
      </c>
      <c r="M545" s="4">
        <v>130.91</v>
      </c>
      <c r="N545" s="5">
        <v>21</v>
      </c>
      <c r="Q545" s="1">
        <f t="shared" si="26"/>
        <v>42.735042735042732</v>
      </c>
      <c r="R545" t="str" cm="1">
        <f t="array" ref="R545">_xlfn.IFS(Q545&lt;42.7, "low",
Q545&lt;85.4,"medium low",
Q545&lt;128,"medium high",
Q545&gt;=128,"high"
)</f>
        <v>medium low</v>
      </c>
      <c r="S545" t="str" cm="1">
        <f t="array" ref="S545">_xlfn.IFS(J545&lt;700,"low",J545&lt;1600,"medium low",J545&lt;2200,"medium high",J545&gt;=2200,"high")</f>
        <v>high</v>
      </c>
      <c r="T545" t="str" cm="1">
        <f t="array" ref="T545">_xlfn.IFS(
J545&lt;630,"Low",
J545&lt;1287,"Medium",
J545&lt;1495,"Intermediate",
J545&lt;1668,"Moderately",
J545&lt;1843,"Transition",
J545&lt;2477,"High",
J545&lt;2996,"Refractory I",
TRUE,"Refractory II"
)</f>
        <v>Refractory I</v>
      </c>
      <c r="U545">
        <f t="shared" si="27"/>
        <v>0.16041555266977314</v>
      </c>
      <c r="V545" t="str" cm="1">
        <f t="array" ref="V545">_xlfn.IFS(U545&lt;0.25,"shallow condution",
U545&lt;0.5,"transition",
U545&lt;1,"conduction",
U545&lt;1.5,"transition",U545&lt;3,"keyholeⅠ",3&lt;=U545,"keyhole Ⅱ"
)</f>
        <v>shallow condution</v>
      </c>
      <c r="X545">
        <f t="shared" si="28"/>
        <v>6.2338095238095237</v>
      </c>
    </row>
    <row r="546" spans="1:24">
      <c r="A546" s="2" t="s">
        <v>59</v>
      </c>
      <c r="B546" s="4">
        <v>150</v>
      </c>
      <c r="C546" s="4">
        <v>600</v>
      </c>
      <c r="D546" s="4">
        <v>10.28</v>
      </c>
      <c r="E546" s="4">
        <v>36</v>
      </c>
      <c r="F546" s="4">
        <v>600</v>
      </c>
      <c r="G546" s="16" t="s">
        <v>100</v>
      </c>
      <c r="H546" s="4">
        <v>0.251</v>
      </c>
      <c r="I546" s="4">
        <v>138</v>
      </c>
      <c r="J546" s="4">
        <v>2623</v>
      </c>
      <c r="K546" s="4">
        <v>4639</v>
      </c>
      <c r="L546" s="4">
        <v>0.7</v>
      </c>
      <c r="M546" s="4">
        <v>111.87</v>
      </c>
      <c r="N546" s="5">
        <v>28</v>
      </c>
      <c r="Q546" s="1">
        <f t="shared" si="26"/>
        <v>64.102564102564102</v>
      </c>
      <c r="R546" t="str" cm="1">
        <f t="array" ref="R546">_xlfn.IFS(Q546&lt;42.7, "low",
Q546&lt;85.4,"medium low",
Q546&lt;128,"medium high",
Q546&gt;=128,"high"
)</f>
        <v>medium low</v>
      </c>
      <c r="S546" t="str" cm="1">
        <f t="array" ref="S546">_xlfn.IFS(J546&lt;700,"low",J546&lt;1600,"medium low",J546&lt;2200,"medium high",J546&gt;=2200,"high")</f>
        <v>high</v>
      </c>
      <c r="T546" t="str" cm="1">
        <f t="array" ref="T546">_xlfn.IFS(
J546&lt;630,"Low",
J546&lt;1287,"Medium",
J546&lt;1495,"Intermediate",
J546&lt;1668,"Moderately",
J546&lt;1843,"Transition",
J546&lt;2477,"High",
J546&lt;2996,"Refractory I",
TRUE,"Refractory II"
)</f>
        <v>Refractory I</v>
      </c>
      <c r="U546">
        <f t="shared" si="27"/>
        <v>0.25029051577724143</v>
      </c>
      <c r="V546" t="str" cm="1">
        <f t="array" ref="V546">_xlfn.IFS(U546&lt;0.25,"shallow condution",
U546&lt;0.5,"transition",
U546&lt;1,"conduction",
U546&lt;1.5,"transition",U546&lt;3,"keyholeⅠ",3&lt;=U546,"keyhole Ⅱ"
)</f>
        <v>transition</v>
      </c>
      <c r="X546">
        <f t="shared" si="28"/>
        <v>3.9953571428571428</v>
      </c>
    </row>
    <row r="547" spans="1:24">
      <c r="A547" s="2" t="s">
        <v>59</v>
      </c>
      <c r="B547" s="4">
        <v>200</v>
      </c>
      <c r="C547" s="4">
        <v>600</v>
      </c>
      <c r="D547" s="4">
        <v>10.28</v>
      </c>
      <c r="E547" s="4">
        <v>36</v>
      </c>
      <c r="F547" s="4">
        <v>600</v>
      </c>
      <c r="G547" s="16" t="s">
        <v>100</v>
      </c>
      <c r="H547" s="4">
        <v>0.251</v>
      </c>
      <c r="I547" s="4">
        <v>138</v>
      </c>
      <c r="J547" s="4">
        <v>2623</v>
      </c>
      <c r="K547" s="4">
        <v>4639</v>
      </c>
      <c r="L547" s="4">
        <v>0.7</v>
      </c>
      <c r="M547" s="4">
        <v>122</v>
      </c>
      <c r="N547" s="5">
        <v>32.99</v>
      </c>
      <c r="Q547" s="1">
        <f t="shared" si="26"/>
        <v>85.470085470085465</v>
      </c>
      <c r="R547" t="str" cm="1">
        <f t="array" ref="R547">_xlfn.IFS(Q547&lt;42.7, "low",
Q547&lt;85.4,"medium low",
Q547&lt;128,"medium high",
Q547&gt;=128,"high"
)</f>
        <v>medium high</v>
      </c>
      <c r="S547" t="str" cm="1">
        <f t="array" ref="S547">_xlfn.IFS(J547&lt;700,"low",J547&lt;1600,"medium low",J547&lt;2200,"medium high",J547&gt;=2200,"high")</f>
        <v>high</v>
      </c>
      <c r="T547" t="str" cm="1">
        <f t="array" ref="T547">_xlfn.IFS(
J547&lt;630,"Low",
J547&lt;1287,"Medium",
J547&lt;1495,"Intermediate",
J547&lt;1668,"Moderately",
J547&lt;1843,"Transition",
J547&lt;2477,"High",
J547&lt;2996,"Refractory I",
TRUE,"Refractory II"
)</f>
        <v>Refractory I</v>
      </c>
      <c r="U547">
        <f t="shared" si="27"/>
        <v>0.27040983606557378</v>
      </c>
      <c r="V547" t="str" cm="1">
        <f t="array" ref="V547">_xlfn.IFS(U547&lt;0.25,"shallow condution",
U547&lt;0.5,"transition",
U547&lt;1,"conduction",
U547&lt;1.5,"transition",U547&lt;3,"keyholeⅠ",3&lt;=U547,"keyhole Ⅱ"
)</f>
        <v>transition</v>
      </c>
      <c r="X547">
        <f t="shared" si="28"/>
        <v>3.698090330403152</v>
      </c>
    </row>
    <row r="548" spans="1:24">
      <c r="A548" s="2" t="s">
        <v>59</v>
      </c>
      <c r="B548" s="4">
        <v>250</v>
      </c>
      <c r="C548" s="4">
        <v>600</v>
      </c>
      <c r="D548" s="4">
        <v>10.28</v>
      </c>
      <c r="E548" s="4">
        <v>36</v>
      </c>
      <c r="F548" s="4">
        <v>600</v>
      </c>
      <c r="G548" s="16" t="s">
        <v>100</v>
      </c>
      <c r="H548" s="4">
        <v>0.251</v>
      </c>
      <c r="I548" s="4">
        <v>138</v>
      </c>
      <c r="J548" s="4">
        <v>2623</v>
      </c>
      <c r="K548" s="4">
        <v>4639</v>
      </c>
      <c r="L548" s="4">
        <v>0.7</v>
      </c>
      <c r="M548" s="4">
        <v>139</v>
      </c>
      <c r="N548" s="5">
        <v>49.2</v>
      </c>
      <c r="Q548" s="1">
        <f t="shared" si="26"/>
        <v>106.83760683760684</v>
      </c>
      <c r="R548" t="str" cm="1">
        <f t="array" ref="R548">_xlfn.IFS(Q548&lt;42.7, "low",
Q548&lt;85.4,"medium low",
Q548&lt;128,"medium high",
Q548&gt;=128,"high"
)</f>
        <v>medium high</v>
      </c>
      <c r="S548" t="str" cm="1">
        <f t="array" ref="S548">_xlfn.IFS(J548&lt;700,"low",J548&lt;1600,"medium low",J548&lt;2200,"medium high",J548&gt;=2200,"high")</f>
        <v>high</v>
      </c>
      <c r="T548" t="str" cm="1">
        <f t="array" ref="T548">_xlfn.IFS(
J548&lt;630,"Low",
J548&lt;1287,"Medium",
J548&lt;1495,"Intermediate",
J548&lt;1668,"Moderately",
J548&lt;1843,"Transition",
J548&lt;2477,"High",
J548&lt;2996,"Refractory I",
TRUE,"Refractory II"
)</f>
        <v>Refractory I</v>
      </c>
      <c r="U548">
        <f t="shared" si="27"/>
        <v>0.35395683453237414</v>
      </c>
      <c r="V548" t="str" cm="1">
        <f t="array" ref="V548">_xlfn.IFS(U548&lt;0.25,"shallow condution",
U548&lt;0.5,"transition",
U548&lt;1,"conduction",
U548&lt;1.5,"transition",U548&lt;3,"keyholeⅠ",3&lt;=U548,"keyhole Ⅱ"
)</f>
        <v>transition</v>
      </c>
      <c r="X548">
        <f t="shared" si="28"/>
        <v>2.8252032520325203</v>
      </c>
    </row>
    <row r="549" spans="1:24">
      <c r="A549" s="2" t="s">
        <v>59</v>
      </c>
      <c r="B549" s="4">
        <v>300</v>
      </c>
      <c r="C549" s="4">
        <v>600</v>
      </c>
      <c r="D549" s="4">
        <v>10.28</v>
      </c>
      <c r="E549" s="4">
        <v>36</v>
      </c>
      <c r="F549" s="4">
        <v>600</v>
      </c>
      <c r="G549" s="16" t="s">
        <v>100</v>
      </c>
      <c r="H549" s="4">
        <v>0.251</v>
      </c>
      <c r="I549" s="4">
        <v>138</v>
      </c>
      <c r="J549" s="4">
        <v>2623</v>
      </c>
      <c r="K549" s="4">
        <v>4639</v>
      </c>
      <c r="L549" s="4">
        <v>0.7</v>
      </c>
      <c r="M549" s="4">
        <v>156.9</v>
      </c>
      <c r="N549" s="5">
        <v>73.75</v>
      </c>
      <c r="Q549" s="1">
        <f t="shared" si="26"/>
        <v>128.2051282051282</v>
      </c>
      <c r="R549" t="str" cm="1">
        <f t="array" ref="R549">_xlfn.IFS(Q549&lt;42.7, "low",
Q549&lt;85.4,"medium low",
Q549&lt;128,"medium high",
Q549&gt;=128,"high"
)</f>
        <v>high</v>
      </c>
      <c r="S549" t="str" cm="1">
        <f t="array" ref="S549">_xlfn.IFS(J549&lt;700,"low",J549&lt;1600,"medium low",J549&lt;2200,"medium high",J549&gt;=2200,"high")</f>
        <v>high</v>
      </c>
      <c r="T549" t="str" cm="1">
        <f t="array" ref="T549">_xlfn.IFS(
J549&lt;630,"Low",
J549&lt;1287,"Medium",
J549&lt;1495,"Intermediate",
J549&lt;1668,"Moderately",
J549&lt;1843,"Transition",
J549&lt;2477,"High",
J549&lt;2996,"Refractory I",
TRUE,"Refractory II"
)</f>
        <v>Refractory I</v>
      </c>
      <c r="U549">
        <f t="shared" si="27"/>
        <v>0.47004461440407902</v>
      </c>
      <c r="V549" t="str" cm="1">
        <f t="array" ref="V549">_xlfn.IFS(U549&lt;0.25,"shallow condution",
U549&lt;0.5,"transition",
U549&lt;1,"conduction",
U549&lt;1.5,"transition",U549&lt;3,"keyholeⅠ",3&lt;=U549,"keyhole Ⅱ"
)</f>
        <v>transition</v>
      </c>
      <c r="X549">
        <f t="shared" si="28"/>
        <v>2.1274576271186443</v>
      </c>
    </row>
    <row r="550" spans="1:24">
      <c r="A550" s="2" t="s">
        <v>59</v>
      </c>
      <c r="B550" s="4">
        <v>100</v>
      </c>
      <c r="C550" s="4">
        <v>900</v>
      </c>
      <c r="D550" s="4">
        <v>10.28</v>
      </c>
      <c r="E550" s="4">
        <v>36</v>
      </c>
      <c r="F550" s="4">
        <v>600</v>
      </c>
      <c r="G550" s="16" t="s">
        <v>100</v>
      </c>
      <c r="H550" s="4">
        <v>0.251</v>
      </c>
      <c r="I550" s="4">
        <v>138</v>
      </c>
      <c r="J550" s="4">
        <v>2623</v>
      </c>
      <c r="K550" s="4">
        <v>4639</v>
      </c>
      <c r="L550" s="4">
        <v>0.7</v>
      </c>
      <c r="M550" s="4">
        <v>155.91999999999999</v>
      </c>
      <c r="N550" s="5">
        <v>63.5</v>
      </c>
      <c r="Q550" s="1">
        <f t="shared" si="26"/>
        <v>28.490028490028489</v>
      </c>
      <c r="R550" t="str" cm="1">
        <f t="array" ref="R550">_xlfn.IFS(Q550&lt;42.7, "low",
Q550&lt;85.4,"medium low",
Q550&lt;128,"medium high",
Q550&gt;=128,"high"
)</f>
        <v>low</v>
      </c>
      <c r="S550" t="str" cm="1">
        <f t="array" ref="S550">_xlfn.IFS(J550&lt;700,"low",J550&lt;1600,"medium low",J550&lt;2200,"medium high",J550&gt;=2200,"high")</f>
        <v>high</v>
      </c>
      <c r="T550" t="str" cm="1">
        <f t="array" ref="T550">_xlfn.IFS(
J550&lt;630,"Low",
J550&lt;1287,"Medium",
J550&lt;1495,"Intermediate",
J550&lt;1668,"Moderately",
J550&lt;1843,"Transition",
J550&lt;2477,"High",
J550&lt;2996,"Refractory I",
TRUE,"Refractory II"
)</f>
        <v>Refractory I</v>
      </c>
      <c r="U550">
        <f t="shared" si="27"/>
        <v>0.4072601334017445</v>
      </c>
      <c r="V550" t="str" cm="1">
        <f t="array" ref="V550">_xlfn.IFS(U550&lt;0.25,"shallow condution",
U550&lt;0.5,"transition",
U550&lt;1,"conduction",
U550&lt;1.5,"transition",U550&lt;3,"keyholeⅠ",3&lt;=U550,"keyhole Ⅱ"
)</f>
        <v>transition</v>
      </c>
      <c r="X550">
        <f t="shared" si="28"/>
        <v>2.4554330708661416</v>
      </c>
    </row>
    <row r="551" spans="1:24">
      <c r="A551" s="2" t="s">
        <v>59</v>
      </c>
      <c r="B551" s="4">
        <v>150</v>
      </c>
      <c r="C551" s="4">
        <v>900</v>
      </c>
      <c r="D551" s="4">
        <v>10.28</v>
      </c>
      <c r="E551" s="4">
        <v>36</v>
      </c>
      <c r="F551" s="4">
        <v>600</v>
      </c>
      <c r="G551" s="16" t="s">
        <v>100</v>
      </c>
      <c r="H551" s="4">
        <v>0.251</v>
      </c>
      <c r="I551" s="4">
        <v>138</v>
      </c>
      <c r="J551" s="4">
        <v>2623</v>
      </c>
      <c r="K551" s="4">
        <v>4639</v>
      </c>
      <c r="L551" s="4">
        <v>0.7</v>
      </c>
      <c r="M551" s="4">
        <v>144.4</v>
      </c>
      <c r="N551" s="5">
        <v>96.54</v>
      </c>
      <c r="Q551" s="1">
        <f t="shared" si="26"/>
        <v>42.735042735042732</v>
      </c>
      <c r="R551" t="str" cm="1">
        <f t="array" ref="R551">_xlfn.IFS(Q551&lt;42.7, "low",
Q551&lt;85.4,"medium low",
Q551&lt;128,"medium high",
Q551&gt;=128,"high"
)</f>
        <v>medium low</v>
      </c>
      <c r="S551" t="str" cm="1">
        <f t="array" ref="S551">_xlfn.IFS(J551&lt;700,"low",J551&lt;1600,"medium low",J551&lt;2200,"medium high",J551&gt;=2200,"high")</f>
        <v>high</v>
      </c>
      <c r="T551" t="str" cm="1">
        <f t="array" ref="T551">_xlfn.IFS(
J551&lt;630,"Low",
J551&lt;1287,"Medium",
J551&lt;1495,"Intermediate",
J551&lt;1668,"Moderately",
J551&lt;1843,"Transition",
J551&lt;2477,"High",
J551&lt;2996,"Refractory I",
TRUE,"Refractory II"
)</f>
        <v>Refractory I</v>
      </c>
      <c r="U551">
        <f t="shared" si="27"/>
        <v>0.66855955678670365</v>
      </c>
      <c r="V551" t="str" cm="1">
        <f t="array" ref="V551">_xlfn.IFS(U551&lt;0.25,"shallow condution",
U551&lt;0.5,"transition",
U551&lt;1,"conduction",
U551&lt;1.5,"transition",U551&lt;3,"keyholeⅠ",3&lt;=U551,"keyhole Ⅱ"
)</f>
        <v>conduction</v>
      </c>
      <c r="X551">
        <f t="shared" si="28"/>
        <v>1.4957530557281955</v>
      </c>
    </row>
    <row r="552" spans="1:24">
      <c r="A552" s="2" t="s">
        <v>59</v>
      </c>
      <c r="B552" s="4">
        <v>200</v>
      </c>
      <c r="C552" s="4">
        <v>900</v>
      </c>
      <c r="D552" s="4">
        <v>10.28</v>
      </c>
      <c r="E552" s="4">
        <v>36</v>
      </c>
      <c r="F552" s="4">
        <v>600</v>
      </c>
      <c r="G552" s="16" t="s">
        <v>100</v>
      </c>
      <c r="H552" s="4">
        <v>0.251</v>
      </c>
      <c r="I552" s="4">
        <v>138</v>
      </c>
      <c r="J552" s="4">
        <v>2623</v>
      </c>
      <c r="K552" s="4">
        <v>4639</v>
      </c>
      <c r="L552" s="4">
        <v>0.7</v>
      </c>
      <c r="M552" s="4">
        <v>165</v>
      </c>
      <c r="N552" s="5">
        <v>112</v>
      </c>
      <c r="Q552" s="1">
        <f t="shared" si="26"/>
        <v>56.980056980056979</v>
      </c>
      <c r="R552" t="str" cm="1">
        <f t="array" ref="R552">_xlfn.IFS(Q552&lt;42.7, "low",
Q552&lt;85.4,"medium low",
Q552&lt;128,"medium high",
Q552&gt;=128,"high"
)</f>
        <v>medium low</v>
      </c>
      <c r="S552" t="str" cm="1">
        <f t="array" ref="S552">_xlfn.IFS(J552&lt;700,"low",J552&lt;1600,"medium low",J552&lt;2200,"medium high",J552&gt;=2200,"high")</f>
        <v>high</v>
      </c>
      <c r="T552" t="str" cm="1">
        <f t="array" ref="T552">_xlfn.IFS(
J552&lt;630,"Low",
J552&lt;1287,"Medium",
J552&lt;1495,"Intermediate",
J552&lt;1668,"Moderately",
J552&lt;1843,"Transition",
J552&lt;2477,"High",
J552&lt;2996,"Refractory I",
TRUE,"Refractory II"
)</f>
        <v>Refractory I</v>
      </c>
      <c r="U552">
        <f t="shared" si="27"/>
        <v>0.67878787878787883</v>
      </c>
      <c r="V552" t="str" cm="1">
        <f t="array" ref="V552">_xlfn.IFS(U552&lt;0.25,"shallow condution",
U552&lt;0.5,"transition",
U552&lt;1,"conduction",
U552&lt;1.5,"transition",U552&lt;3,"keyholeⅠ",3&lt;=U552,"keyhole Ⅱ"
)</f>
        <v>conduction</v>
      </c>
      <c r="X552">
        <f t="shared" si="28"/>
        <v>1.4732142857142858</v>
      </c>
    </row>
    <row r="553" spans="1:24">
      <c r="A553" s="2" t="s">
        <v>59</v>
      </c>
      <c r="B553" s="4">
        <v>250</v>
      </c>
      <c r="C553" s="4">
        <v>900</v>
      </c>
      <c r="D553" s="4">
        <v>10.28</v>
      </c>
      <c r="E553" s="4">
        <v>36</v>
      </c>
      <c r="F553" s="4">
        <v>600</v>
      </c>
      <c r="G553" s="16" t="s">
        <v>100</v>
      </c>
      <c r="H553" s="4">
        <v>0.251</v>
      </c>
      <c r="I553" s="4">
        <v>138</v>
      </c>
      <c r="J553" s="4">
        <v>2623</v>
      </c>
      <c r="K553" s="4">
        <v>4639</v>
      </c>
      <c r="L553" s="4">
        <v>0.7</v>
      </c>
      <c r="M553" s="4">
        <v>182</v>
      </c>
      <c r="N553" s="5">
        <v>131</v>
      </c>
      <c r="Q553" s="1">
        <f t="shared" si="26"/>
        <v>71.225071225071218</v>
      </c>
      <c r="R553" t="str" cm="1">
        <f t="array" ref="R553">_xlfn.IFS(Q553&lt;42.7, "low",
Q553&lt;85.4,"medium low",
Q553&lt;128,"medium high",
Q553&gt;=128,"high"
)</f>
        <v>medium low</v>
      </c>
      <c r="S553" t="str" cm="1">
        <f t="array" ref="S553">_xlfn.IFS(J553&lt;700,"low",J553&lt;1600,"medium low",J553&lt;2200,"medium high",J553&gt;=2200,"high")</f>
        <v>high</v>
      </c>
      <c r="T553" t="str" cm="1">
        <f t="array" ref="T553">_xlfn.IFS(
J553&lt;630,"Low",
J553&lt;1287,"Medium",
J553&lt;1495,"Intermediate",
J553&lt;1668,"Moderately",
J553&lt;1843,"Transition",
J553&lt;2477,"High",
J553&lt;2996,"Refractory I",
TRUE,"Refractory II"
)</f>
        <v>Refractory I</v>
      </c>
      <c r="U553">
        <f t="shared" si="27"/>
        <v>0.71978021978021978</v>
      </c>
      <c r="V553" t="str" cm="1">
        <f t="array" ref="V553">_xlfn.IFS(U553&lt;0.25,"shallow condution",
U553&lt;0.5,"transition",
U553&lt;1,"conduction",
U553&lt;1.5,"transition",U553&lt;3,"keyholeⅠ",3&lt;=U553,"keyhole Ⅱ"
)</f>
        <v>conduction</v>
      </c>
      <c r="X553">
        <f t="shared" si="28"/>
        <v>1.3893129770992367</v>
      </c>
    </row>
    <row r="554" spans="1:24" ht="14.45" thickBot="1">
      <c r="A554" s="3" t="s">
        <v>59</v>
      </c>
      <c r="B554" s="7">
        <v>300</v>
      </c>
      <c r="C554" s="7">
        <v>900</v>
      </c>
      <c r="D554" s="7">
        <v>10.28</v>
      </c>
      <c r="E554" s="7">
        <v>36</v>
      </c>
      <c r="F554" s="7">
        <v>600</v>
      </c>
      <c r="G554" s="16" t="s">
        <v>100</v>
      </c>
      <c r="H554" s="7">
        <v>0.251</v>
      </c>
      <c r="I554" s="7">
        <v>138</v>
      </c>
      <c r="J554" s="7">
        <v>2623</v>
      </c>
      <c r="K554" s="7">
        <v>4639</v>
      </c>
      <c r="L554" s="7">
        <v>0.7</v>
      </c>
      <c r="M554" s="7">
        <v>198</v>
      </c>
      <c r="N554" s="15">
        <v>148</v>
      </c>
      <c r="Q554" s="1">
        <f t="shared" si="26"/>
        <v>85.470085470085465</v>
      </c>
      <c r="R554" t="str" cm="1">
        <f t="array" ref="R554">_xlfn.IFS(Q554&lt;42.7, "low",
Q554&lt;85.4,"medium low",
Q554&lt;128,"medium high",
Q554&gt;=128,"high"
)</f>
        <v>medium high</v>
      </c>
      <c r="S554" t="str" cm="1">
        <f t="array" ref="S554">_xlfn.IFS(J554&lt;700,"low",J554&lt;1600,"medium low",J554&lt;2200,"medium high",J554&gt;=2200,"high")</f>
        <v>high</v>
      </c>
      <c r="T554" t="str" cm="1">
        <f t="array" ref="T554">_xlfn.IFS(
J554&lt;630,"Low",
J554&lt;1287,"Medium",
J554&lt;1495,"Intermediate",
J554&lt;1668,"Moderately",
J554&lt;1843,"Transition",
J554&lt;2477,"High",
J554&lt;2996,"Refractory I",
TRUE,"Refractory II"
)</f>
        <v>Refractory I</v>
      </c>
      <c r="U554">
        <f t="shared" si="27"/>
        <v>0.74747474747474751</v>
      </c>
      <c r="V554" t="str" cm="1">
        <f t="array" ref="V554">_xlfn.IFS(U554&lt;0.25,"shallow condution",
U554&lt;0.5,"transition",
U554&lt;1,"conduction",
U554&lt;1.5,"transition",U554&lt;3,"keyholeⅠ",3&lt;=U554,"keyhole Ⅱ"
)</f>
        <v>conduction</v>
      </c>
      <c r="X554">
        <f t="shared" si="28"/>
        <v>1.3378378378378379</v>
      </c>
    </row>
    <row r="555" spans="1:24">
      <c r="A555" s="19" t="s">
        <v>60</v>
      </c>
      <c r="B555" s="16">
        <v>200</v>
      </c>
      <c r="C555" s="16">
        <v>200</v>
      </c>
      <c r="D555" s="16">
        <v>16.690000000000001</v>
      </c>
      <c r="E555" s="16">
        <v>36.6</v>
      </c>
      <c r="F555" s="16">
        <v>732.8</v>
      </c>
      <c r="G555" s="16" t="s">
        <v>101</v>
      </c>
      <c r="H555" s="16">
        <v>0.14000000000000001</v>
      </c>
      <c r="I555" s="16">
        <v>57</v>
      </c>
      <c r="J555" s="16">
        <v>3017</v>
      </c>
      <c r="K555" s="16">
        <v>5458</v>
      </c>
      <c r="L555" s="16">
        <v>0.7</v>
      </c>
      <c r="M555" s="16">
        <v>191</v>
      </c>
      <c r="N555" s="17">
        <v>35</v>
      </c>
      <c r="Q555" s="1">
        <f t="shared" si="26"/>
        <v>256.41025641025641</v>
      </c>
      <c r="R555" t="str" cm="1">
        <f t="array" ref="R555">_xlfn.IFS(Q555&lt;42.7, "low",
Q555&lt;85.4,"medium low",
Q555&lt;128,"medium high",
Q555&gt;=128,"high"
)</f>
        <v>high</v>
      </c>
      <c r="S555" t="str" cm="1">
        <f t="array" ref="S555">_xlfn.IFS(J555&lt;700,"low",J555&lt;1600,"medium low",J555&lt;2200,"medium high",J555&gt;=2200,"high")</f>
        <v>high</v>
      </c>
      <c r="T555" t="str" cm="1">
        <f t="array" ref="T555">_xlfn.IFS(
J555&lt;630,"Low",
J555&lt;1287,"Medium",
J555&lt;1495,"Intermediate",
J555&lt;1668,"Moderately",
J555&lt;1843,"Transition",
J555&lt;2477,"High",
J555&lt;2996,"Refractory I",
TRUE,"Refractory II"
)</f>
        <v>Refractory II</v>
      </c>
      <c r="U555">
        <f t="shared" si="27"/>
        <v>0.18324607329842932</v>
      </c>
      <c r="V555" t="str" cm="1">
        <f t="array" ref="V555">_xlfn.IFS(U555&lt;0.25,"shallow condution",
U555&lt;0.5,"transition",
U555&lt;1,"conduction",
U555&lt;1.5,"transition",U555&lt;3,"keyholeⅠ",3&lt;=U555,"keyhole Ⅱ"
)</f>
        <v>shallow condution</v>
      </c>
      <c r="X555">
        <f t="shared" si="28"/>
        <v>5.4571428571428573</v>
      </c>
    </row>
    <row r="556" spans="1:24">
      <c r="A556" s="2" t="s">
        <v>60</v>
      </c>
      <c r="B556" s="4">
        <v>200</v>
      </c>
      <c r="C556" s="4">
        <v>400</v>
      </c>
      <c r="D556" s="4">
        <v>16.690000000000001</v>
      </c>
      <c r="E556" s="4">
        <v>36.6</v>
      </c>
      <c r="F556" s="4">
        <v>732.8</v>
      </c>
      <c r="G556" s="16" t="s">
        <v>101</v>
      </c>
      <c r="H556" s="4">
        <v>0.14000000000000001</v>
      </c>
      <c r="I556" s="4">
        <v>57</v>
      </c>
      <c r="J556" s="4">
        <v>3017</v>
      </c>
      <c r="K556" s="4">
        <v>5458</v>
      </c>
      <c r="L556" s="4">
        <v>0.7</v>
      </c>
      <c r="M556" s="4">
        <v>103</v>
      </c>
      <c r="N556" s="5">
        <v>28</v>
      </c>
      <c r="Q556" s="1">
        <f t="shared" si="26"/>
        <v>128.2051282051282</v>
      </c>
      <c r="R556" t="str" cm="1">
        <f t="array" ref="R556">_xlfn.IFS(Q556&lt;42.7, "low",
Q556&lt;85.4,"medium low",
Q556&lt;128,"medium high",
Q556&gt;=128,"high"
)</f>
        <v>high</v>
      </c>
      <c r="S556" t="str" cm="1">
        <f t="array" ref="S556">_xlfn.IFS(J556&lt;700,"low",J556&lt;1600,"medium low",J556&lt;2200,"medium high",J556&gt;=2200,"high")</f>
        <v>high</v>
      </c>
      <c r="T556" t="str" cm="1">
        <f t="array" ref="T556">_xlfn.IFS(
J556&lt;630,"Low",
J556&lt;1287,"Medium",
J556&lt;1495,"Intermediate",
J556&lt;1668,"Moderately",
J556&lt;1843,"Transition",
J556&lt;2477,"High",
J556&lt;2996,"Refractory I",
TRUE,"Refractory II"
)</f>
        <v>Refractory II</v>
      </c>
      <c r="U556">
        <f t="shared" si="27"/>
        <v>0.27184466019417475</v>
      </c>
      <c r="V556" t="str" cm="1">
        <f t="array" ref="V556">_xlfn.IFS(U556&lt;0.25,"shallow condution",
U556&lt;0.5,"transition",
U556&lt;1,"conduction",
U556&lt;1.5,"transition",U556&lt;3,"keyholeⅠ",3&lt;=U556,"keyhole Ⅱ"
)</f>
        <v>transition</v>
      </c>
      <c r="X556">
        <f t="shared" si="28"/>
        <v>3.6785714285714284</v>
      </c>
    </row>
    <row r="557" spans="1:24">
      <c r="A557" s="2" t="s">
        <v>60</v>
      </c>
      <c r="B557" s="4">
        <v>200</v>
      </c>
      <c r="C557" s="4">
        <v>600</v>
      </c>
      <c r="D557" s="4">
        <v>16.690000000000001</v>
      </c>
      <c r="E557" s="4">
        <v>36.6</v>
      </c>
      <c r="F557" s="4">
        <v>732.8</v>
      </c>
      <c r="G557" s="16" t="s">
        <v>101</v>
      </c>
      <c r="H557" s="4">
        <v>0.14000000000000001</v>
      </c>
      <c r="I557" s="4">
        <v>57</v>
      </c>
      <c r="J557" s="4">
        <v>3017</v>
      </c>
      <c r="K557" s="4">
        <v>5458</v>
      </c>
      <c r="L557" s="4">
        <v>0.7</v>
      </c>
      <c r="M557" s="4">
        <v>88</v>
      </c>
      <c r="N557" s="5">
        <v>17</v>
      </c>
      <c r="Q557" s="1">
        <f t="shared" si="26"/>
        <v>85.470085470085465</v>
      </c>
      <c r="R557" t="str" cm="1">
        <f t="array" ref="R557">_xlfn.IFS(Q557&lt;42.7, "low",
Q557&lt;85.4,"medium low",
Q557&lt;128,"medium high",
Q557&gt;=128,"high"
)</f>
        <v>medium high</v>
      </c>
      <c r="S557" t="str" cm="1">
        <f t="array" ref="S557">_xlfn.IFS(J557&lt;700,"low",J557&lt;1600,"medium low",J557&lt;2200,"medium high",J557&gt;=2200,"high")</f>
        <v>high</v>
      </c>
      <c r="T557" t="str" cm="1">
        <f t="array" ref="T557">_xlfn.IFS(
J557&lt;630,"Low",
J557&lt;1287,"Medium",
J557&lt;1495,"Intermediate",
J557&lt;1668,"Moderately",
J557&lt;1843,"Transition",
J557&lt;2477,"High",
J557&lt;2996,"Refractory I",
TRUE,"Refractory II"
)</f>
        <v>Refractory II</v>
      </c>
      <c r="U557">
        <f t="shared" si="27"/>
        <v>0.19318181818181818</v>
      </c>
      <c r="V557" t="str" cm="1">
        <f t="array" ref="V557">_xlfn.IFS(U557&lt;0.25,"shallow condution",
U557&lt;0.5,"transition",
U557&lt;1,"conduction",
U557&lt;1.5,"transition",U557&lt;3,"keyholeⅠ",3&lt;=U557,"keyhole Ⅱ"
)</f>
        <v>shallow condution</v>
      </c>
      <c r="X557">
        <f t="shared" si="28"/>
        <v>5.1764705882352944</v>
      </c>
    </row>
    <row r="558" spans="1:24">
      <c r="A558" s="2" t="s">
        <v>60</v>
      </c>
      <c r="B558" s="4">
        <v>200</v>
      </c>
      <c r="C558" s="4">
        <v>800</v>
      </c>
      <c r="D558" s="4">
        <v>16.690000000000001</v>
      </c>
      <c r="E558" s="4">
        <v>36.6</v>
      </c>
      <c r="F558" s="4">
        <v>732.8</v>
      </c>
      <c r="G558" s="16" t="s">
        <v>101</v>
      </c>
      <c r="H558" s="4">
        <v>0.14000000000000001</v>
      </c>
      <c r="I558" s="4">
        <v>57</v>
      </c>
      <c r="J558" s="4">
        <v>3017</v>
      </c>
      <c r="K558" s="4">
        <v>5458</v>
      </c>
      <c r="L558" s="4">
        <v>0.7</v>
      </c>
      <c r="M558" s="4">
        <v>78</v>
      </c>
      <c r="N558" s="5">
        <v>15</v>
      </c>
      <c r="Q558" s="1">
        <f t="shared" si="26"/>
        <v>64.102564102564102</v>
      </c>
      <c r="R558" t="str" cm="1">
        <f t="array" ref="R558">_xlfn.IFS(Q558&lt;42.7, "low",
Q558&lt;85.4,"medium low",
Q558&lt;128,"medium high",
Q558&gt;=128,"high"
)</f>
        <v>medium low</v>
      </c>
      <c r="S558" t="str" cm="1">
        <f t="array" ref="S558">_xlfn.IFS(J558&lt;700,"low",J558&lt;1600,"medium low",J558&lt;2200,"medium high",J558&gt;=2200,"high")</f>
        <v>high</v>
      </c>
      <c r="T558" t="str" cm="1">
        <f t="array" ref="T558">_xlfn.IFS(
J558&lt;630,"Low",
J558&lt;1287,"Medium",
J558&lt;1495,"Intermediate",
J558&lt;1668,"Moderately",
J558&lt;1843,"Transition",
J558&lt;2477,"High",
J558&lt;2996,"Refractory I",
TRUE,"Refractory II"
)</f>
        <v>Refractory II</v>
      </c>
      <c r="U558">
        <f t="shared" si="27"/>
        <v>0.19230769230769232</v>
      </c>
      <c r="V558" t="str" cm="1">
        <f t="array" ref="V558">_xlfn.IFS(U558&lt;0.25,"shallow condution",
U558&lt;0.5,"transition",
U558&lt;1,"conduction",
U558&lt;1.5,"transition",U558&lt;3,"keyholeⅠ",3&lt;=U558,"keyhole Ⅱ"
)</f>
        <v>shallow condution</v>
      </c>
      <c r="X558">
        <f t="shared" si="28"/>
        <v>5.2</v>
      </c>
    </row>
    <row r="559" spans="1:24">
      <c r="A559" s="2" t="s">
        <v>60</v>
      </c>
      <c r="B559" s="4">
        <v>200</v>
      </c>
      <c r="C559" s="4">
        <v>1200</v>
      </c>
      <c r="D559" s="4">
        <v>16.690000000000001</v>
      </c>
      <c r="E559" s="4">
        <v>36.6</v>
      </c>
      <c r="F559" s="4">
        <v>732.8</v>
      </c>
      <c r="G559" s="16" t="s">
        <v>101</v>
      </c>
      <c r="H559" s="4">
        <v>0.14000000000000001</v>
      </c>
      <c r="I559" s="4">
        <v>57</v>
      </c>
      <c r="J559" s="4">
        <v>3017</v>
      </c>
      <c r="K559" s="4">
        <v>5458</v>
      </c>
      <c r="L559" s="4">
        <v>0.7</v>
      </c>
      <c r="M559" s="4">
        <v>75</v>
      </c>
      <c r="N559" s="5">
        <v>8.6</v>
      </c>
      <c r="Q559" s="1">
        <f t="shared" si="26"/>
        <v>42.735042735042732</v>
      </c>
      <c r="R559" t="str" cm="1">
        <f t="array" ref="R559">_xlfn.IFS(Q559&lt;42.7, "low",
Q559&lt;85.4,"medium low",
Q559&lt;128,"medium high",
Q559&gt;=128,"high"
)</f>
        <v>medium low</v>
      </c>
      <c r="S559" t="str" cm="1">
        <f t="array" ref="S559">_xlfn.IFS(J559&lt;700,"low",J559&lt;1600,"medium low",J559&lt;2200,"medium high",J559&gt;=2200,"high")</f>
        <v>high</v>
      </c>
      <c r="T559" t="str" cm="1">
        <f t="array" ref="T559">_xlfn.IFS(
J559&lt;630,"Low",
J559&lt;1287,"Medium",
J559&lt;1495,"Intermediate",
J559&lt;1668,"Moderately",
J559&lt;1843,"Transition",
J559&lt;2477,"High",
J559&lt;2996,"Refractory I",
TRUE,"Refractory II"
)</f>
        <v>Refractory II</v>
      </c>
      <c r="U559">
        <f t="shared" si="27"/>
        <v>0.11466666666666667</v>
      </c>
      <c r="V559" t="str" cm="1">
        <f t="array" ref="V559">_xlfn.IFS(U559&lt;0.25,"shallow condution",
U559&lt;0.5,"transition",
U559&lt;1,"conduction",
U559&lt;1.5,"transition",U559&lt;3,"keyholeⅠ",3&lt;=U559,"keyhole Ⅱ"
)</f>
        <v>shallow condution</v>
      </c>
      <c r="X559">
        <f t="shared" si="28"/>
        <v>8.720930232558139</v>
      </c>
    </row>
    <row r="560" spans="1:24">
      <c r="A560" s="2" t="s">
        <v>60</v>
      </c>
      <c r="B560" s="4">
        <v>200</v>
      </c>
      <c r="C560" s="4">
        <v>1600</v>
      </c>
      <c r="D560" s="4">
        <v>16.690000000000001</v>
      </c>
      <c r="E560" s="4">
        <v>36.6</v>
      </c>
      <c r="F560" s="4">
        <v>732.8</v>
      </c>
      <c r="G560" s="16" t="s">
        <v>101</v>
      </c>
      <c r="H560" s="4">
        <v>0.14000000000000001</v>
      </c>
      <c r="I560" s="4">
        <v>57</v>
      </c>
      <c r="J560" s="4">
        <v>3017</v>
      </c>
      <c r="K560" s="4">
        <v>5458</v>
      </c>
      <c r="L560" s="4">
        <v>0.7</v>
      </c>
      <c r="M560" s="4">
        <v>65</v>
      </c>
      <c r="N560" s="5">
        <v>4.7</v>
      </c>
      <c r="Q560" s="1">
        <f t="shared" si="26"/>
        <v>32.051282051282051</v>
      </c>
      <c r="R560" t="str" cm="1">
        <f t="array" ref="R560">_xlfn.IFS(Q560&lt;42.7, "low",
Q560&lt;85.4,"medium low",
Q560&lt;128,"medium high",
Q560&gt;=128,"high"
)</f>
        <v>low</v>
      </c>
      <c r="S560" t="str" cm="1">
        <f t="array" ref="S560">_xlfn.IFS(J560&lt;700,"low",J560&lt;1600,"medium low",J560&lt;2200,"medium high",J560&gt;=2200,"high")</f>
        <v>high</v>
      </c>
      <c r="T560" t="str" cm="1">
        <f t="array" ref="T560">_xlfn.IFS(
J560&lt;630,"Low",
J560&lt;1287,"Medium",
J560&lt;1495,"Intermediate",
J560&lt;1668,"Moderately",
J560&lt;1843,"Transition",
J560&lt;2477,"High",
J560&lt;2996,"Refractory I",
TRUE,"Refractory II"
)</f>
        <v>Refractory II</v>
      </c>
      <c r="U560">
        <f t="shared" si="27"/>
        <v>7.2307692307692309E-2</v>
      </c>
      <c r="V560" t="str" cm="1">
        <f t="array" ref="V560">_xlfn.IFS(U560&lt;0.25,"shallow condution",
U560&lt;0.5,"transition",
U560&lt;1,"conduction",
U560&lt;1.5,"transition",U560&lt;3,"keyholeⅠ",3&lt;=U560,"keyhole Ⅱ"
)</f>
        <v>shallow condution</v>
      </c>
      <c r="X560">
        <f t="shared" si="28"/>
        <v>13.829787234042552</v>
      </c>
    </row>
    <row r="561" spans="1:24">
      <c r="A561" s="2" t="s">
        <v>60</v>
      </c>
      <c r="B561" s="4">
        <v>200</v>
      </c>
      <c r="C561" s="4">
        <v>2000</v>
      </c>
      <c r="D561" s="4">
        <v>16.690000000000001</v>
      </c>
      <c r="E561" s="4">
        <v>36.6</v>
      </c>
      <c r="F561" s="4">
        <v>732.8</v>
      </c>
      <c r="G561" s="16" t="s">
        <v>101</v>
      </c>
      <c r="H561" s="4">
        <v>0.14000000000000001</v>
      </c>
      <c r="I561" s="4">
        <v>57</v>
      </c>
      <c r="J561" s="4">
        <v>3017</v>
      </c>
      <c r="K561" s="4">
        <v>5458</v>
      </c>
      <c r="L561" s="4">
        <v>0.7</v>
      </c>
      <c r="M561" s="4">
        <v>55</v>
      </c>
      <c r="N561" s="5">
        <v>4.3</v>
      </c>
      <c r="Q561" s="1">
        <f t="shared" si="26"/>
        <v>25.641025641025642</v>
      </c>
      <c r="R561" t="str" cm="1">
        <f t="array" ref="R561">_xlfn.IFS(Q561&lt;42.7, "low",
Q561&lt;85.4,"medium low",
Q561&lt;128,"medium high",
Q561&gt;=128,"high"
)</f>
        <v>low</v>
      </c>
      <c r="S561" t="str" cm="1">
        <f t="array" ref="S561">_xlfn.IFS(J561&lt;700,"low",J561&lt;1600,"medium low",J561&lt;2200,"medium high",J561&gt;=2200,"high")</f>
        <v>high</v>
      </c>
      <c r="T561" t="str" cm="1">
        <f t="array" ref="T561">_xlfn.IFS(
J561&lt;630,"Low",
J561&lt;1287,"Medium",
J561&lt;1495,"Intermediate",
J561&lt;1668,"Moderately",
J561&lt;1843,"Transition",
J561&lt;2477,"High",
J561&lt;2996,"Refractory I",
TRUE,"Refractory II"
)</f>
        <v>Refractory II</v>
      </c>
      <c r="U561">
        <f t="shared" si="27"/>
        <v>7.8181818181818172E-2</v>
      </c>
      <c r="V561" t="str" cm="1">
        <f t="array" ref="V561">_xlfn.IFS(U561&lt;0.25,"shallow condution",
U561&lt;0.5,"transition",
U561&lt;1,"conduction",
U561&lt;1.5,"transition",U561&lt;3,"keyholeⅠ",3&lt;=U561,"keyhole Ⅱ"
)</f>
        <v>shallow condution</v>
      </c>
      <c r="X561">
        <f t="shared" si="28"/>
        <v>12.790697674418606</v>
      </c>
    </row>
    <row r="562" spans="1:24">
      <c r="A562" s="2" t="s">
        <v>60</v>
      </c>
      <c r="B562" s="4">
        <v>200</v>
      </c>
      <c r="C562" s="4">
        <v>2400</v>
      </c>
      <c r="D562" s="4">
        <v>16.690000000000001</v>
      </c>
      <c r="E562" s="4">
        <v>36.6</v>
      </c>
      <c r="F562" s="4">
        <v>732.8</v>
      </c>
      <c r="G562" s="16" t="s">
        <v>101</v>
      </c>
      <c r="H562" s="4">
        <v>0.14000000000000001</v>
      </c>
      <c r="I562" s="4">
        <v>57</v>
      </c>
      <c r="J562" s="4">
        <v>3017</v>
      </c>
      <c r="K562" s="4">
        <v>5458</v>
      </c>
      <c r="L562" s="4">
        <v>0.7</v>
      </c>
      <c r="M562" s="4">
        <v>46</v>
      </c>
      <c r="N562" s="5">
        <v>3.3</v>
      </c>
      <c r="Q562" s="1">
        <f t="shared" si="26"/>
        <v>21.367521367521366</v>
      </c>
      <c r="R562" t="str" cm="1">
        <f t="array" ref="R562">_xlfn.IFS(Q562&lt;42.7, "low",
Q562&lt;85.4,"medium low",
Q562&lt;128,"medium high",
Q562&gt;=128,"high"
)</f>
        <v>low</v>
      </c>
      <c r="S562" t="str" cm="1">
        <f t="array" ref="S562">_xlfn.IFS(J562&lt;700,"low",J562&lt;1600,"medium low",J562&lt;2200,"medium high",J562&gt;=2200,"high")</f>
        <v>high</v>
      </c>
      <c r="T562" t="str" cm="1">
        <f t="array" ref="T562">_xlfn.IFS(
J562&lt;630,"Low",
J562&lt;1287,"Medium",
J562&lt;1495,"Intermediate",
J562&lt;1668,"Moderately",
J562&lt;1843,"Transition",
J562&lt;2477,"High",
J562&lt;2996,"Refractory I",
TRUE,"Refractory II"
)</f>
        <v>Refractory II</v>
      </c>
      <c r="U562">
        <f t="shared" si="27"/>
        <v>7.1739130434782611E-2</v>
      </c>
      <c r="V562" t="str" cm="1">
        <f t="array" ref="V562">_xlfn.IFS(U562&lt;0.25,"shallow condution",
U562&lt;0.5,"transition",
U562&lt;1,"conduction",
U562&lt;1.5,"transition",U562&lt;3,"keyholeⅠ",3&lt;=U562,"keyhole Ⅱ"
)</f>
        <v>shallow condution</v>
      </c>
      <c r="X562">
        <f t="shared" si="28"/>
        <v>13.939393939393939</v>
      </c>
    </row>
    <row r="563" spans="1:24">
      <c r="A563" s="2" t="s">
        <v>60</v>
      </c>
      <c r="B563" s="4">
        <v>350</v>
      </c>
      <c r="C563" s="4">
        <v>400</v>
      </c>
      <c r="D563" s="4">
        <v>16.690000000000001</v>
      </c>
      <c r="E563" s="4">
        <v>36.6</v>
      </c>
      <c r="F563" s="4">
        <v>732.8</v>
      </c>
      <c r="G563" s="16" t="s">
        <v>101</v>
      </c>
      <c r="H563" s="4">
        <v>0.14000000000000001</v>
      </c>
      <c r="I563" s="4">
        <v>57</v>
      </c>
      <c r="J563" s="4">
        <v>3017</v>
      </c>
      <c r="K563" s="4">
        <v>5458</v>
      </c>
      <c r="L563" s="4">
        <v>0.7</v>
      </c>
      <c r="M563" s="4">
        <v>151.80000000000001</v>
      </c>
      <c r="N563" s="5">
        <v>48</v>
      </c>
      <c r="Q563" s="1">
        <f t="shared" si="26"/>
        <v>224.35897435897436</v>
      </c>
      <c r="R563" t="str" cm="1">
        <f t="array" ref="R563">_xlfn.IFS(Q563&lt;42.7, "low",
Q563&lt;85.4,"medium low",
Q563&lt;128,"medium high",
Q563&gt;=128,"high"
)</f>
        <v>high</v>
      </c>
      <c r="S563" t="str" cm="1">
        <f t="array" ref="S563">_xlfn.IFS(J563&lt;700,"low",J563&lt;1600,"medium low",J563&lt;2200,"medium high",J563&gt;=2200,"high")</f>
        <v>high</v>
      </c>
      <c r="T563" t="str" cm="1">
        <f t="array" ref="T563">_xlfn.IFS(
J563&lt;630,"Low",
J563&lt;1287,"Medium",
J563&lt;1495,"Intermediate",
J563&lt;1668,"Moderately",
J563&lt;1843,"Transition",
J563&lt;2477,"High",
J563&lt;2996,"Refractory I",
TRUE,"Refractory II"
)</f>
        <v>Refractory II</v>
      </c>
      <c r="U563">
        <f t="shared" si="27"/>
        <v>0.3162055335968379</v>
      </c>
      <c r="V563" t="str" cm="1">
        <f t="array" ref="V563">_xlfn.IFS(U563&lt;0.25,"shallow condution",
U563&lt;0.5,"transition",
U563&lt;1,"conduction",
U563&lt;1.5,"transition",U563&lt;3,"keyholeⅠ",3&lt;=U563,"keyhole Ⅱ"
)</f>
        <v>transition</v>
      </c>
      <c r="X563">
        <f t="shared" si="28"/>
        <v>3.1625000000000001</v>
      </c>
    </row>
    <row r="564" spans="1:24">
      <c r="A564" s="2" t="s">
        <v>60</v>
      </c>
      <c r="B564" s="4">
        <v>350</v>
      </c>
      <c r="C564" s="4">
        <v>600</v>
      </c>
      <c r="D564" s="4">
        <v>16.690000000000001</v>
      </c>
      <c r="E564" s="4">
        <v>36.6</v>
      </c>
      <c r="F564" s="4">
        <v>732.8</v>
      </c>
      <c r="G564" s="16" t="s">
        <v>101</v>
      </c>
      <c r="H564" s="4">
        <v>0.14000000000000001</v>
      </c>
      <c r="I564" s="4">
        <v>57</v>
      </c>
      <c r="J564" s="4">
        <v>3017</v>
      </c>
      <c r="K564" s="4">
        <v>5458</v>
      </c>
      <c r="L564" s="4">
        <v>0.7</v>
      </c>
      <c r="M564" s="4">
        <v>124.5</v>
      </c>
      <c r="N564" s="5">
        <v>23</v>
      </c>
      <c r="Q564" s="1">
        <f t="shared" si="26"/>
        <v>149.57264957264957</v>
      </c>
      <c r="R564" t="str" cm="1">
        <f t="array" ref="R564">_xlfn.IFS(Q564&lt;42.7, "low",
Q564&lt;85.4,"medium low",
Q564&lt;128,"medium high",
Q564&gt;=128,"high"
)</f>
        <v>high</v>
      </c>
      <c r="S564" t="str" cm="1">
        <f t="array" ref="S564">_xlfn.IFS(J564&lt;700,"low",J564&lt;1600,"medium low",J564&lt;2200,"medium high",J564&gt;=2200,"high")</f>
        <v>high</v>
      </c>
      <c r="T564" t="str" cm="1">
        <f t="array" ref="T564">_xlfn.IFS(
J564&lt;630,"Low",
J564&lt;1287,"Medium",
J564&lt;1495,"Intermediate",
J564&lt;1668,"Moderately",
J564&lt;1843,"Transition",
J564&lt;2477,"High",
J564&lt;2996,"Refractory I",
TRUE,"Refractory II"
)</f>
        <v>Refractory II</v>
      </c>
      <c r="U564">
        <f t="shared" si="27"/>
        <v>0.18473895582329317</v>
      </c>
      <c r="V564" t="str" cm="1">
        <f t="array" ref="V564">_xlfn.IFS(U564&lt;0.25,"shallow condution",
U564&lt;0.5,"transition",
U564&lt;1,"conduction",
U564&lt;1.5,"transition",U564&lt;3,"keyholeⅠ",3&lt;=U564,"keyhole Ⅱ"
)</f>
        <v>shallow condution</v>
      </c>
      <c r="X564">
        <f t="shared" si="28"/>
        <v>5.4130434782608692</v>
      </c>
    </row>
    <row r="565" spans="1:24">
      <c r="A565" s="2" t="s">
        <v>60</v>
      </c>
      <c r="B565" s="4">
        <v>350</v>
      </c>
      <c r="C565" s="4">
        <v>800</v>
      </c>
      <c r="D565" s="4">
        <v>16.690000000000001</v>
      </c>
      <c r="E565" s="4">
        <v>36.6</v>
      </c>
      <c r="F565" s="4">
        <v>732.8</v>
      </c>
      <c r="G565" s="16" t="s">
        <v>101</v>
      </c>
      <c r="H565" s="4">
        <v>0.14000000000000001</v>
      </c>
      <c r="I565" s="4">
        <v>57</v>
      </c>
      <c r="J565" s="4">
        <v>3017</v>
      </c>
      <c r="K565" s="4">
        <v>5458</v>
      </c>
      <c r="L565" s="4">
        <v>0.7</v>
      </c>
      <c r="M565" s="4">
        <v>108.2</v>
      </c>
      <c r="N565" s="5">
        <v>13.6</v>
      </c>
      <c r="Q565" s="1">
        <f t="shared" si="26"/>
        <v>112.17948717948718</v>
      </c>
      <c r="R565" t="str" cm="1">
        <f t="array" ref="R565">_xlfn.IFS(Q565&lt;42.7, "low",
Q565&lt;85.4,"medium low",
Q565&lt;128,"medium high",
Q565&gt;=128,"high"
)</f>
        <v>medium high</v>
      </c>
      <c r="S565" t="str" cm="1">
        <f t="array" ref="S565">_xlfn.IFS(J565&lt;700,"low",J565&lt;1600,"medium low",J565&lt;2200,"medium high",J565&gt;=2200,"high")</f>
        <v>high</v>
      </c>
      <c r="T565" t="str" cm="1">
        <f t="array" ref="T565">_xlfn.IFS(
J565&lt;630,"Low",
J565&lt;1287,"Medium",
J565&lt;1495,"Intermediate",
J565&lt;1668,"Moderately",
J565&lt;1843,"Transition",
J565&lt;2477,"High",
J565&lt;2996,"Refractory I",
TRUE,"Refractory II"
)</f>
        <v>Refractory II</v>
      </c>
      <c r="U565">
        <f t="shared" si="27"/>
        <v>0.12569316081330867</v>
      </c>
      <c r="V565" t="str" cm="1">
        <f t="array" ref="V565">_xlfn.IFS(U565&lt;0.25,"shallow condution",
U565&lt;0.5,"transition",
U565&lt;1,"conduction",
U565&lt;1.5,"transition",U565&lt;3,"keyholeⅠ",3&lt;=U565,"keyhole Ⅱ"
)</f>
        <v>shallow condution</v>
      </c>
      <c r="X565">
        <f t="shared" si="28"/>
        <v>7.9558823529411766</v>
      </c>
    </row>
    <row r="566" spans="1:24">
      <c r="A566" s="2" t="s">
        <v>60</v>
      </c>
      <c r="B566" s="4">
        <v>350</v>
      </c>
      <c r="C566" s="4">
        <v>1000</v>
      </c>
      <c r="D566" s="4">
        <v>16.690000000000001</v>
      </c>
      <c r="E566" s="4">
        <v>36.6</v>
      </c>
      <c r="F566" s="4">
        <v>732.8</v>
      </c>
      <c r="G566" s="16" t="s">
        <v>101</v>
      </c>
      <c r="H566" s="4">
        <v>0.14000000000000001</v>
      </c>
      <c r="I566" s="4">
        <v>57</v>
      </c>
      <c r="J566" s="4">
        <v>3017</v>
      </c>
      <c r="K566" s="4">
        <v>5458</v>
      </c>
      <c r="L566" s="4">
        <v>0.7</v>
      </c>
      <c r="M566" s="4">
        <v>104</v>
      </c>
      <c r="N566" s="5">
        <v>15.4</v>
      </c>
      <c r="Q566" s="1">
        <f t="shared" si="26"/>
        <v>89.743589743589737</v>
      </c>
      <c r="R566" t="str" cm="1">
        <f t="array" ref="R566">_xlfn.IFS(Q566&lt;42.7, "low",
Q566&lt;85.4,"medium low",
Q566&lt;128,"medium high",
Q566&gt;=128,"high"
)</f>
        <v>medium high</v>
      </c>
      <c r="S566" t="str" cm="1">
        <f t="array" ref="S566">_xlfn.IFS(J566&lt;700,"low",J566&lt;1600,"medium low",J566&lt;2200,"medium high",J566&gt;=2200,"high")</f>
        <v>high</v>
      </c>
      <c r="T566" t="str" cm="1">
        <f t="array" ref="T566">_xlfn.IFS(
J566&lt;630,"Low",
J566&lt;1287,"Medium",
J566&lt;1495,"Intermediate",
J566&lt;1668,"Moderately",
J566&lt;1843,"Transition",
J566&lt;2477,"High",
J566&lt;2996,"Refractory I",
TRUE,"Refractory II"
)</f>
        <v>Refractory II</v>
      </c>
      <c r="U566">
        <f t="shared" si="27"/>
        <v>0.14807692307692308</v>
      </c>
      <c r="V566" t="str" cm="1">
        <f t="array" ref="V566">_xlfn.IFS(U566&lt;0.25,"shallow condution",
U566&lt;0.5,"transition",
U566&lt;1,"conduction",
U566&lt;1.5,"transition",U566&lt;3,"keyholeⅠ",3&lt;=U566,"keyhole Ⅱ"
)</f>
        <v>shallow condution</v>
      </c>
      <c r="X566">
        <f t="shared" si="28"/>
        <v>6.7532467532467528</v>
      </c>
    </row>
    <row r="567" spans="1:24">
      <c r="A567" s="2" t="s">
        <v>60</v>
      </c>
      <c r="B567" s="4">
        <v>350</v>
      </c>
      <c r="C567" s="4">
        <v>1200</v>
      </c>
      <c r="D567" s="4">
        <v>16.690000000000001</v>
      </c>
      <c r="E567" s="4">
        <v>36.6</v>
      </c>
      <c r="F567" s="4">
        <v>732.8</v>
      </c>
      <c r="G567" s="16" t="s">
        <v>101</v>
      </c>
      <c r="H567" s="4">
        <v>0.14000000000000001</v>
      </c>
      <c r="I567" s="4">
        <v>57</v>
      </c>
      <c r="J567" s="4">
        <v>3017</v>
      </c>
      <c r="K567" s="4">
        <v>5458</v>
      </c>
      <c r="L567" s="4">
        <v>0.7</v>
      </c>
      <c r="M567" s="4">
        <v>97</v>
      </c>
      <c r="N567" s="5">
        <v>13</v>
      </c>
      <c r="Q567" s="1">
        <f t="shared" si="26"/>
        <v>74.786324786324784</v>
      </c>
      <c r="R567" t="str" cm="1">
        <f t="array" ref="R567">_xlfn.IFS(Q567&lt;42.7, "low",
Q567&lt;85.4,"medium low",
Q567&lt;128,"medium high",
Q567&gt;=128,"high"
)</f>
        <v>medium low</v>
      </c>
      <c r="S567" t="str" cm="1">
        <f t="array" ref="S567">_xlfn.IFS(J567&lt;700,"low",J567&lt;1600,"medium low",J567&lt;2200,"medium high",J567&gt;=2200,"high")</f>
        <v>high</v>
      </c>
      <c r="T567" t="str" cm="1">
        <f t="array" ref="T567">_xlfn.IFS(
J567&lt;630,"Low",
J567&lt;1287,"Medium",
J567&lt;1495,"Intermediate",
J567&lt;1668,"Moderately",
J567&lt;1843,"Transition",
J567&lt;2477,"High",
J567&lt;2996,"Refractory I",
TRUE,"Refractory II"
)</f>
        <v>Refractory II</v>
      </c>
      <c r="U567">
        <f t="shared" si="27"/>
        <v>0.13402061855670103</v>
      </c>
      <c r="V567" t="str" cm="1">
        <f t="array" ref="V567">_xlfn.IFS(U567&lt;0.25,"shallow condution",
U567&lt;0.5,"transition",
U567&lt;1,"conduction",
U567&lt;1.5,"transition",U567&lt;3,"keyholeⅠ",3&lt;=U567,"keyhole Ⅱ"
)</f>
        <v>shallow condution</v>
      </c>
      <c r="X567">
        <f t="shared" si="28"/>
        <v>7.4615384615384617</v>
      </c>
    </row>
    <row r="568" spans="1:24">
      <c r="A568" s="2" t="s">
        <v>60</v>
      </c>
      <c r="B568" s="4">
        <v>350</v>
      </c>
      <c r="C568" s="4">
        <v>1600</v>
      </c>
      <c r="D568" s="4">
        <v>16.690000000000001</v>
      </c>
      <c r="E568" s="4">
        <v>36.6</v>
      </c>
      <c r="F568" s="4">
        <v>732.8</v>
      </c>
      <c r="G568" s="16" t="s">
        <v>101</v>
      </c>
      <c r="H568" s="4">
        <v>0.14000000000000001</v>
      </c>
      <c r="I568" s="4">
        <v>57</v>
      </c>
      <c r="J568" s="4">
        <v>3017</v>
      </c>
      <c r="K568" s="4">
        <v>5458</v>
      </c>
      <c r="L568" s="4">
        <v>0.7</v>
      </c>
      <c r="M568" s="4">
        <v>99.3</v>
      </c>
      <c r="N568" s="5">
        <v>11.2</v>
      </c>
      <c r="Q568" s="1">
        <f t="shared" si="26"/>
        <v>56.089743589743591</v>
      </c>
      <c r="R568" t="str" cm="1">
        <f t="array" ref="R568">_xlfn.IFS(Q568&lt;42.7, "low",
Q568&lt;85.4,"medium low",
Q568&lt;128,"medium high",
Q568&gt;=128,"high"
)</f>
        <v>medium low</v>
      </c>
      <c r="S568" t="str" cm="1">
        <f t="array" ref="S568">_xlfn.IFS(J568&lt;700,"low",J568&lt;1600,"medium low",J568&lt;2200,"medium high",J568&gt;=2200,"high")</f>
        <v>high</v>
      </c>
      <c r="T568" t="str" cm="1">
        <f t="array" ref="T568">_xlfn.IFS(
J568&lt;630,"Low",
J568&lt;1287,"Medium",
J568&lt;1495,"Intermediate",
J568&lt;1668,"Moderately",
J568&lt;1843,"Transition",
J568&lt;2477,"High",
J568&lt;2996,"Refractory I",
TRUE,"Refractory II"
)</f>
        <v>Refractory II</v>
      </c>
      <c r="U568">
        <f t="shared" si="27"/>
        <v>0.11278952668680765</v>
      </c>
      <c r="V568" t="str" cm="1">
        <f t="array" ref="V568">_xlfn.IFS(U568&lt;0.25,"shallow condution",
U568&lt;0.5,"transition",
U568&lt;1,"conduction",
U568&lt;1.5,"transition",U568&lt;3,"keyholeⅠ",3&lt;=U568,"keyhole Ⅱ"
)</f>
        <v>shallow condution</v>
      </c>
      <c r="X568">
        <f t="shared" si="28"/>
        <v>8.8660714285714288</v>
      </c>
    </row>
    <row r="569" spans="1:24">
      <c r="A569" s="2" t="s">
        <v>60</v>
      </c>
      <c r="B569" s="4">
        <v>350</v>
      </c>
      <c r="C569" s="4">
        <v>2000</v>
      </c>
      <c r="D569" s="4">
        <v>16.690000000000001</v>
      </c>
      <c r="E569" s="4">
        <v>36.6</v>
      </c>
      <c r="F569" s="4">
        <v>732.8</v>
      </c>
      <c r="G569" s="16" t="s">
        <v>101</v>
      </c>
      <c r="H569" s="4">
        <v>0.14000000000000001</v>
      </c>
      <c r="I569" s="4">
        <v>57</v>
      </c>
      <c r="J569" s="4">
        <v>3017</v>
      </c>
      <c r="K569" s="4">
        <v>5458</v>
      </c>
      <c r="L569" s="4">
        <v>0.7</v>
      </c>
      <c r="M569" s="4">
        <v>93.3</v>
      </c>
      <c r="N569" s="5">
        <v>9.69</v>
      </c>
      <c r="Q569" s="1">
        <f t="shared" si="26"/>
        <v>44.871794871794869</v>
      </c>
      <c r="R569" t="str" cm="1">
        <f t="array" ref="R569">_xlfn.IFS(Q569&lt;42.7, "low",
Q569&lt;85.4,"medium low",
Q569&lt;128,"medium high",
Q569&gt;=128,"high"
)</f>
        <v>medium low</v>
      </c>
      <c r="S569" t="str" cm="1">
        <f t="array" ref="S569">_xlfn.IFS(J569&lt;700,"low",J569&lt;1600,"medium low",J569&lt;2200,"medium high",J569&gt;=2200,"high")</f>
        <v>high</v>
      </c>
      <c r="T569" t="str" cm="1">
        <f t="array" ref="T569">_xlfn.IFS(
J569&lt;630,"Low",
J569&lt;1287,"Medium",
J569&lt;1495,"Intermediate",
J569&lt;1668,"Moderately",
J569&lt;1843,"Transition",
J569&lt;2477,"High",
J569&lt;2996,"Refractory I",
TRUE,"Refractory II"
)</f>
        <v>Refractory II</v>
      </c>
      <c r="U569">
        <f t="shared" si="27"/>
        <v>0.10385852090032154</v>
      </c>
      <c r="V569" t="str" cm="1">
        <f t="array" ref="V569">_xlfn.IFS(U569&lt;0.25,"shallow condution",
U569&lt;0.5,"transition",
U569&lt;1,"conduction",
U569&lt;1.5,"transition",U569&lt;3,"keyholeⅠ",3&lt;=U569,"keyhole Ⅱ"
)</f>
        <v>shallow condution</v>
      </c>
      <c r="X569">
        <f t="shared" si="28"/>
        <v>9.6284829721362239</v>
      </c>
    </row>
    <row r="570" spans="1:24">
      <c r="A570" s="2" t="s">
        <v>60</v>
      </c>
      <c r="B570" s="4">
        <v>350</v>
      </c>
      <c r="C570" s="4">
        <v>2400</v>
      </c>
      <c r="D570" s="4">
        <v>16.690000000000001</v>
      </c>
      <c r="E570" s="4">
        <v>36.6</v>
      </c>
      <c r="F570" s="4">
        <v>732.8</v>
      </c>
      <c r="G570" s="16" t="s">
        <v>101</v>
      </c>
      <c r="H570" s="4">
        <v>0.14000000000000001</v>
      </c>
      <c r="I570" s="4">
        <v>57</v>
      </c>
      <c r="J570" s="4">
        <v>3017</v>
      </c>
      <c r="K570" s="4">
        <v>5458</v>
      </c>
      <c r="L570" s="4">
        <v>0.7</v>
      </c>
      <c r="M570" s="4">
        <v>86</v>
      </c>
      <c r="N570" s="5">
        <v>7.1</v>
      </c>
      <c r="Q570" s="1">
        <f t="shared" si="26"/>
        <v>37.393162393162392</v>
      </c>
      <c r="R570" t="str" cm="1">
        <f t="array" ref="R570">_xlfn.IFS(Q570&lt;42.7, "low",
Q570&lt;85.4,"medium low",
Q570&lt;128,"medium high",
Q570&gt;=128,"high"
)</f>
        <v>low</v>
      </c>
      <c r="S570" t="str" cm="1">
        <f t="array" ref="S570">_xlfn.IFS(J570&lt;700,"low",J570&lt;1600,"medium low",J570&lt;2200,"medium high",J570&gt;=2200,"high")</f>
        <v>high</v>
      </c>
      <c r="T570" t="str" cm="1">
        <f t="array" ref="T570">_xlfn.IFS(
J570&lt;630,"Low",
J570&lt;1287,"Medium",
J570&lt;1495,"Intermediate",
J570&lt;1668,"Moderately",
J570&lt;1843,"Transition",
J570&lt;2477,"High",
J570&lt;2996,"Refractory I",
TRUE,"Refractory II"
)</f>
        <v>Refractory II</v>
      </c>
      <c r="U570">
        <f t="shared" si="27"/>
        <v>8.2558139534883723E-2</v>
      </c>
      <c r="V570" t="str" cm="1">
        <f t="array" ref="V570">_xlfn.IFS(U570&lt;0.25,"shallow condution",
U570&lt;0.5,"transition",
U570&lt;1,"conduction",
U570&lt;1.5,"transition",U570&lt;3,"keyholeⅠ",3&lt;=U570,"keyhole Ⅱ"
)</f>
        <v>shallow condution</v>
      </c>
      <c r="X570">
        <f t="shared" si="28"/>
        <v>12.112676056338028</v>
      </c>
    </row>
    <row r="571" spans="1:24">
      <c r="A571" s="2" t="s">
        <v>60</v>
      </c>
      <c r="B571" s="4">
        <v>100</v>
      </c>
      <c r="C571" s="4">
        <v>300</v>
      </c>
      <c r="D571" s="4">
        <v>16.690000000000001</v>
      </c>
      <c r="E571" s="4">
        <v>36.6</v>
      </c>
      <c r="F571" s="4">
        <v>732.8</v>
      </c>
      <c r="G571" s="16" t="s">
        <v>101</v>
      </c>
      <c r="H571" s="4">
        <v>0.14000000000000001</v>
      </c>
      <c r="I571" s="4">
        <v>57</v>
      </c>
      <c r="J571" s="4">
        <v>3017</v>
      </c>
      <c r="K571" s="4">
        <v>5458</v>
      </c>
      <c r="L571" s="4">
        <v>0.7</v>
      </c>
      <c r="M571" s="4">
        <v>56.92</v>
      </c>
      <c r="N571" s="5">
        <v>6.99</v>
      </c>
      <c r="Q571" s="1">
        <f t="shared" si="26"/>
        <v>85.470085470085465</v>
      </c>
      <c r="R571" t="str" cm="1">
        <f t="array" ref="R571">_xlfn.IFS(Q571&lt;42.7, "low",
Q571&lt;85.4,"medium low",
Q571&lt;128,"medium high",
Q571&gt;=128,"high"
)</f>
        <v>medium high</v>
      </c>
      <c r="S571" t="str" cm="1">
        <f t="array" ref="S571">_xlfn.IFS(J571&lt;700,"low",J571&lt;1600,"medium low",J571&lt;2200,"medium high",J571&gt;=2200,"high")</f>
        <v>high</v>
      </c>
      <c r="T571" t="str" cm="1">
        <f t="array" ref="T571">_xlfn.IFS(
J571&lt;630,"Low",
J571&lt;1287,"Medium",
J571&lt;1495,"Intermediate",
J571&lt;1668,"Moderately",
J571&lt;1843,"Transition",
J571&lt;2477,"High",
J571&lt;2996,"Refractory I",
TRUE,"Refractory II"
)</f>
        <v>Refractory II</v>
      </c>
      <c r="U571">
        <f t="shared" si="27"/>
        <v>0.12280393534785664</v>
      </c>
      <c r="V571" t="str" cm="1">
        <f t="array" ref="V571">_xlfn.IFS(U571&lt;0.25,"shallow condution",
U571&lt;0.5,"transition",
U571&lt;1,"conduction",
U571&lt;1.5,"transition",U571&lt;3,"keyholeⅠ",3&lt;=U571,"keyhole Ⅱ"
)</f>
        <v>shallow condution</v>
      </c>
      <c r="X571">
        <f t="shared" si="28"/>
        <v>8.1430615164520752</v>
      </c>
    </row>
    <row r="572" spans="1:24">
      <c r="A572" s="2" t="s">
        <v>60</v>
      </c>
      <c r="B572" s="4">
        <v>150</v>
      </c>
      <c r="C572" s="4">
        <v>300</v>
      </c>
      <c r="D572" s="4">
        <v>16.690000000000001</v>
      </c>
      <c r="E572" s="4">
        <v>36.6</v>
      </c>
      <c r="F572" s="4">
        <v>732.8</v>
      </c>
      <c r="G572" s="16" t="s">
        <v>101</v>
      </c>
      <c r="H572" s="4">
        <v>0.14000000000000001</v>
      </c>
      <c r="I572" s="4">
        <v>57</v>
      </c>
      <c r="J572" s="4">
        <v>3017</v>
      </c>
      <c r="K572" s="4">
        <v>5458</v>
      </c>
      <c r="L572" s="4">
        <v>0.7</v>
      </c>
      <c r="M572" s="4">
        <v>67.19</v>
      </c>
      <c r="N572" s="5">
        <v>17.260000000000002</v>
      </c>
      <c r="Q572" s="1">
        <f t="shared" si="26"/>
        <v>128.2051282051282</v>
      </c>
      <c r="R572" t="str" cm="1">
        <f t="array" ref="R572">_xlfn.IFS(Q572&lt;42.7, "low",
Q572&lt;85.4,"medium low",
Q572&lt;128,"medium high",
Q572&gt;=128,"high"
)</f>
        <v>high</v>
      </c>
      <c r="S572" t="str" cm="1">
        <f t="array" ref="S572">_xlfn.IFS(J572&lt;700,"low",J572&lt;1600,"medium low",J572&lt;2200,"medium high",J572&gt;=2200,"high")</f>
        <v>high</v>
      </c>
      <c r="T572" t="str" cm="1">
        <f t="array" ref="T572">_xlfn.IFS(
J572&lt;630,"Low",
J572&lt;1287,"Medium",
J572&lt;1495,"Intermediate",
J572&lt;1668,"Moderately",
J572&lt;1843,"Transition",
J572&lt;2477,"High",
J572&lt;2996,"Refractory I",
TRUE,"Refractory II"
)</f>
        <v>Refractory II</v>
      </c>
      <c r="U572">
        <f t="shared" si="27"/>
        <v>0.25688346480130975</v>
      </c>
      <c r="V572" t="str" cm="1">
        <f t="array" ref="V572">_xlfn.IFS(U572&lt;0.25,"shallow condution",
U572&lt;0.5,"transition",
U572&lt;1,"conduction",
U572&lt;1.5,"transition",U572&lt;3,"keyholeⅠ",3&lt;=U572,"keyhole Ⅱ"
)</f>
        <v>transition</v>
      </c>
      <c r="X572">
        <f t="shared" si="28"/>
        <v>3.892815758980301</v>
      </c>
    </row>
    <row r="573" spans="1:24">
      <c r="A573" s="2" t="s">
        <v>60</v>
      </c>
      <c r="B573" s="4">
        <v>200</v>
      </c>
      <c r="C573" s="4">
        <v>300</v>
      </c>
      <c r="D573" s="4">
        <v>16.690000000000001</v>
      </c>
      <c r="E573" s="4">
        <v>36.6</v>
      </c>
      <c r="F573" s="4">
        <v>732.8</v>
      </c>
      <c r="G573" s="16" t="s">
        <v>101</v>
      </c>
      <c r="H573" s="4">
        <v>0.14000000000000001</v>
      </c>
      <c r="I573" s="4">
        <v>57</v>
      </c>
      <c r="J573" s="4">
        <v>3017</v>
      </c>
      <c r="K573" s="4">
        <v>5458</v>
      </c>
      <c r="L573" s="4">
        <v>0.7</v>
      </c>
      <c r="M573" s="4">
        <v>131.62</v>
      </c>
      <c r="N573" s="5">
        <v>110</v>
      </c>
      <c r="Q573" s="1">
        <f t="shared" si="26"/>
        <v>170.94017094017093</v>
      </c>
      <c r="R573" t="str" cm="1">
        <f t="array" ref="R573">_xlfn.IFS(Q573&lt;42.7, "low",
Q573&lt;85.4,"medium low",
Q573&lt;128,"medium high",
Q573&gt;=128,"high"
)</f>
        <v>high</v>
      </c>
      <c r="S573" t="str" cm="1">
        <f t="array" ref="S573">_xlfn.IFS(J573&lt;700,"low",J573&lt;1600,"medium low",J573&lt;2200,"medium high",J573&gt;=2200,"high")</f>
        <v>high</v>
      </c>
      <c r="T573" t="str" cm="1">
        <f t="array" ref="T573">_xlfn.IFS(
J573&lt;630,"Low",
J573&lt;1287,"Medium",
J573&lt;1495,"Intermediate",
J573&lt;1668,"Moderately",
J573&lt;1843,"Transition",
J573&lt;2477,"High",
J573&lt;2996,"Refractory I",
TRUE,"Refractory II"
)</f>
        <v>Refractory II</v>
      </c>
      <c r="U573">
        <f t="shared" si="27"/>
        <v>0.83573924935420141</v>
      </c>
      <c r="V573" t="str" cm="1">
        <f t="array" ref="V573">_xlfn.IFS(U573&lt;0.25,"shallow condution",
U573&lt;0.5,"transition",
U573&lt;1,"conduction",
U573&lt;1.5,"transition",U573&lt;3,"keyholeⅠ",3&lt;=U573,"keyhole Ⅱ"
)</f>
        <v>conduction</v>
      </c>
      <c r="X573">
        <f t="shared" si="28"/>
        <v>1.1965454545454546</v>
      </c>
    </row>
    <row r="574" spans="1:24">
      <c r="A574" s="2" t="s">
        <v>60</v>
      </c>
      <c r="B574" s="4">
        <v>250</v>
      </c>
      <c r="C574" s="4">
        <v>300</v>
      </c>
      <c r="D574" s="4">
        <v>16.690000000000001</v>
      </c>
      <c r="E574" s="4">
        <v>36.6</v>
      </c>
      <c r="F574" s="4">
        <v>732.8</v>
      </c>
      <c r="G574" s="16" t="s">
        <v>101</v>
      </c>
      <c r="H574" s="4">
        <v>0.14000000000000001</v>
      </c>
      <c r="I574" s="4">
        <v>57</v>
      </c>
      <c r="J574" s="4">
        <v>3017</v>
      </c>
      <c r="K574" s="4">
        <v>5458</v>
      </c>
      <c r="L574" s="4">
        <v>0.7</v>
      </c>
      <c r="M574" s="4">
        <v>165.77</v>
      </c>
      <c r="N574" s="5">
        <v>141.47999999999999</v>
      </c>
      <c r="Q574" s="1">
        <f t="shared" ref="Q574:Q637" si="29">B574*10^6/(C574*130*30)</f>
        <v>213.67521367521368</v>
      </c>
      <c r="R574" t="str" cm="1">
        <f t="array" ref="R574">_xlfn.IFS(Q574&lt;42.7, "low",
Q574&lt;85.4,"medium low",
Q574&lt;128,"medium high",
Q574&gt;=128,"high"
)</f>
        <v>high</v>
      </c>
      <c r="S574" t="str" cm="1">
        <f t="array" ref="S574">_xlfn.IFS(J574&lt;700,"low",J574&lt;1600,"medium low",J574&lt;2200,"medium high",J574&gt;=2200,"high")</f>
        <v>high</v>
      </c>
      <c r="T574" t="str" cm="1">
        <f t="array" ref="T574">_xlfn.IFS(
J574&lt;630,"Low",
J574&lt;1287,"Medium",
J574&lt;1495,"Intermediate",
J574&lt;1668,"Moderately",
J574&lt;1843,"Transition",
J574&lt;2477,"High",
J574&lt;2996,"Refractory I",
TRUE,"Refractory II"
)</f>
        <v>Refractory II</v>
      </c>
      <c r="U574">
        <f t="shared" ref="U574:U637" si="30">N574/M574</f>
        <v>0.8534716776256257</v>
      </c>
      <c r="V574" t="str" cm="1">
        <f t="array" ref="V574">_xlfn.IFS(U574&lt;0.25,"shallow condution",
U574&lt;0.5,"transition",
U574&lt;1,"conduction",
U574&lt;1.5,"transition",U574&lt;3,"keyholeⅠ",3&lt;=U574,"keyhole Ⅱ"
)</f>
        <v>conduction</v>
      </c>
      <c r="X574">
        <f t="shared" ref="X574:X637" si="31">M574/N574</f>
        <v>1.1716850438224486</v>
      </c>
    </row>
    <row r="575" spans="1:24">
      <c r="A575" s="2" t="s">
        <v>60</v>
      </c>
      <c r="B575" s="4">
        <v>300</v>
      </c>
      <c r="C575" s="4">
        <v>300</v>
      </c>
      <c r="D575" s="4">
        <v>16.690000000000001</v>
      </c>
      <c r="E575" s="4">
        <v>36.6</v>
      </c>
      <c r="F575" s="4">
        <v>732.8</v>
      </c>
      <c r="G575" s="16" t="s">
        <v>101</v>
      </c>
      <c r="H575" s="4">
        <v>0.14000000000000001</v>
      </c>
      <c r="I575" s="4">
        <v>57</v>
      </c>
      <c r="J575" s="4">
        <v>3017</v>
      </c>
      <c r="K575" s="4">
        <v>5458</v>
      </c>
      <c r="L575" s="4">
        <v>0.7</v>
      </c>
      <c r="M575" s="4">
        <v>169.12</v>
      </c>
      <c r="N575" s="5">
        <v>207.87</v>
      </c>
      <c r="Q575" s="1">
        <f t="shared" si="29"/>
        <v>256.41025641025641</v>
      </c>
      <c r="R575" t="str" cm="1">
        <f t="array" ref="R575">_xlfn.IFS(Q575&lt;42.7, "low",
Q575&lt;85.4,"medium low",
Q575&lt;128,"medium high",
Q575&gt;=128,"high"
)</f>
        <v>high</v>
      </c>
      <c r="S575" t="str" cm="1">
        <f t="array" ref="S575">_xlfn.IFS(J575&lt;700,"low",J575&lt;1600,"medium low",J575&lt;2200,"medium high",J575&gt;=2200,"high")</f>
        <v>high</v>
      </c>
      <c r="T575" t="str" cm="1">
        <f t="array" ref="T575">_xlfn.IFS(
J575&lt;630,"Low",
J575&lt;1287,"Medium",
J575&lt;1495,"Intermediate",
J575&lt;1668,"Moderately",
J575&lt;1843,"Transition",
J575&lt;2477,"High",
J575&lt;2996,"Refractory I",
TRUE,"Refractory II"
)</f>
        <v>Refractory II</v>
      </c>
      <c r="U575">
        <f t="shared" si="30"/>
        <v>1.2291272469252601</v>
      </c>
      <c r="V575" t="str" cm="1">
        <f t="array" ref="V575">_xlfn.IFS(U575&lt;0.25,"shallow condution",
U575&lt;0.5,"transition",
U575&lt;1,"conduction",
U575&lt;1.5,"transition",U575&lt;3,"keyholeⅠ",3&lt;=U575,"keyhole Ⅱ"
)</f>
        <v>transition</v>
      </c>
      <c r="X575">
        <f t="shared" si="31"/>
        <v>0.81358541396064854</v>
      </c>
    </row>
    <row r="576" spans="1:24">
      <c r="A576" s="2" t="s">
        <v>60</v>
      </c>
      <c r="B576" s="4">
        <v>100</v>
      </c>
      <c r="C576" s="4">
        <v>600</v>
      </c>
      <c r="D576" s="4">
        <v>16.690000000000001</v>
      </c>
      <c r="E576" s="4">
        <v>36.6</v>
      </c>
      <c r="F576" s="4">
        <v>732.8</v>
      </c>
      <c r="G576" s="16" t="s">
        <v>101</v>
      </c>
      <c r="H576" s="4">
        <v>0.14000000000000001</v>
      </c>
      <c r="I576" s="4">
        <v>57</v>
      </c>
      <c r="J576" s="4">
        <v>3017</v>
      </c>
      <c r="K576" s="4">
        <v>5458</v>
      </c>
      <c r="L576" s="4">
        <v>0.7</v>
      </c>
      <c r="M576" s="4">
        <v>69.77</v>
      </c>
      <c r="N576" s="5">
        <v>18.920000000000002</v>
      </c>
      <c r="Q576" s="1">
        <f t="shared" si="29"/>
        <v>42.735042735042732</v>
      </c>
      <c r="R576" t="str" cm="1">
        <f t="array" ref="R576">_xlfn.IFS(Q576&lt;42.7, "low",
Q576&lt;85.4,"medium low",
Q576&lt;128,"medium high",
Q576&gt;=128,"high"
)</f>
        <v>medium low</v>
      </c>
      <c r="S576" t="str" cm="1">
        <f t="array" ref="S576">_xlfn.IFS(J576&lt;700,"low",J576&lt;1600,"medium low",J576&lt;2200,"medium high",J576&gt;=2200,"high")</f>
        <v>high</v>
      </c>
      <c r="T576" t="str" cm="1">
        <f t="array" ref="T576">_xlfn.IFS(
J576&lt;630,"Low",
J576&lt;1287,"Medium",
J576&lt;1495,"Intermediate",
J576&lt;1668,"Moderately",
J576&lt;1843,"Transition",
J576&lt;2477,"High",
J576&lt;2996,"Refractory I",
TRUE,"Refractory II"
)</f>
        <v>Refractory II</v>
      </c>
      <c r="U576">
        <f t="shared" si="30"/>
        <v>0.27117672352013761</v>
      </c>
      <c r="V576" t="str" cm="1">
        <f t="array" ref="V576">_xlfn.IFS(U576&lt;0.25,"shallow condution",
U576&lt;0.5,"transition",
U576&lt;1,"conduction",
U576&lt;1.5,"transition",U576&lt;3,"keyholeⅠ",3&lt;=U576,"keyhole Ⅱ"
)</f>
        <v>transition</v>
      </c>
      <c r="X576">
        <f t="shared" si="31"/>
        <v>3.6876321353065533</v>
      </c>
    </row>
    <row r="577" spans="1:24">
      <c r="A577" s="2" t="s">
        <v>60</v>
      </c>
      <c r="B577" s="4">
        <v>150</v>
      </c>
      <c r="C577" s="4">
        <v>600</v>
      </c>
      <c r="D577" s="4">
        <v>16.690000000000001</v>
      </c>
      <c r="E577" s="4">
        <v>36.6</v>
      </c>
      <c r="F577" s="4">
        <v>732.8</v>
      </c>
      <c r="G577" s="16" t="s">
        <v>101</v>
      </c>
      <c r="H577" s="4">
        <v>0.14000000000000001</v>
      </c>
      <c r="I577" s="4">
        <v>57</v>
      </c>
      <c r="J577" s="4">
        <v>3017</v>
      </c>
      <c r="K577" s="4">
        <v>5458</v>
      </c>
      <c r="L577" s="4">
        <v>0.7</v>
      </c>
      <c r="M577" s="4">
        <v>96.58</v>
      </c>
      <c r="N577" s="5">
        <v>36.270000000000003</v>
      </c>
      <c r="Q577" s="1">
        <f t="shared" si="29"/>
        <v>64.102564102564102</v>
      </c>
      <c r="R577" t="str" cm="1">
        <f t="array" ref="R577">_xlfn.IFS(Q577&lt;42.7, "low",
Q577&lt;85.4,"medium low",
Q577&lt;128,"medium high",
Q577&gt;=128,"high"
)</f>
        <v>medium low</v>
      </c>
      <c r="S577" t="str" cm="1">
        <f t="array" ref="S577">_xlfn.IFS(J577&lt;700,"low",J577&lt;1600,"medium low",J577&lt;2200,"medium high",J577&gt;=2200,"high")</f>
        <v>high</v>
      </c>
      <c r="T577" t="str" cm="1">
        <f t="array" ref="T577">_xlfn.IFS(
J577&lt;630,"Low",
J577&lt;1287,"Medium",
J577&lt;1495,"Intermediate",
J577&lt;1668,"Moderately",
J577&lt;1843,"Transition",
J577&lt;2477,"High",
J577&lt;2996,"Refractory I",
TRUE,"Refractory II"
)</f>
        <v>Refractory II</v>
      </c>
      <c r="U577">
        <f t="shared" si="30"/>
        <v>0.37554359080554983</v>
      </c>
      <c r="V577" t="str" cm="1">
        <f t="array" ref="V577">_xlfn.IFS(U577&lt;0.25,"shallow condution",
U577&lt;0.5,"transition",
U577&lt;1,"conduction",
U577&lt;1.5,"transition",U577&lt;3,"keyholeⅠ",3&lt;=U577,"keyhole Ⅱ"
)</f>
        <v>transition</v>
      </c>
      <c r="X577">
        <f t="shared" si="31"/>
        <v>2.6628067273228559</v>
      </c>
    </row>
    <row r="578" spans="1:24">
      <c r="A578" s="2" t="s">
        <v>60</v>
      </c>
      <c r="B578" s="4">
        <v>200</v>
      </c>
      <c r="C578" s="4">
        <v>600</v>
      </c>
      <c r="D578" s="4">
        <v>16.690000000000001</v>
      </c>
      <c r="E578" s="4">
        <v>36.6</v>
      </c>
      <c r="F578" s="4">
        <v>732.8</v>
      </c>
      <c r="G578" s="16" t="s">
        <v>101</v>
      </c>
      <c r="H578" s="4">
        <v>0.14000000000000001</v>
      </c>
      <c r="I578" s="4">
        <v>57</v>
      </c>
      <c r="J578" s="4">
        <v>3017</v>
      </c>
      <c r="K578" s="4">
        <v>5458</v>
      </c>
      <c r="L578" s="4">
        <v>0.7</v>
      </c>
      <c r="M578" s="4">
        <v>100.91</v>
      </c>
      <c r="N578" s="5">
        <v>46.34</v>
      </c>
      <c r="Q578" s="1">
        <f t="shared" si="29"/>
        <v>85.470085470085465</v>
      </c>
      <c r="R578" t="str" cm="1">
        <f t="array" ref="R578">_xlfn.IFS(Q578&lt;42.7, "low",
Q578&lt;85.4,"medium low",
Q578&lt;128,"medium high",
Q578&gt;=128,"high"
)</f>
        <v>medium high</v>
      </c>
      <c r="S578" t="str" cm="1">
        <f t="array" ref="S578">_xlfn.IFS(J578&lt;700,"low",J578&lt;1600,"medium low",J578&lt;2200,"medium high",J578&gt;=2200,"high")</f>
        <v>high</v>
      </c>
      <c r="T578" t="str" cm="1">
        <f t="array" ref="T578">_xlfn.IFS(
J578&lt;630,"Low",
J578&lt;1287,"Medium",
J578&lt;1495,"Intermediate",
J578&lt;1668,"Moderately",
J578&lt;1843,"Transition",
J578&lt;2477,"High",
J578&lt;2996,"Refractory I",
TRUE,"Refractory II"
)</f>
        <v>Refractory II</v>
      </c>
      <c r="U578">
        <f t="shared" si="30"/>
        <v>0.45922108809830547</v>
      </c>
      <c r="V578" t="str" cm="1">
        <f t="array" ref="V578">_xlfn.IFS(U578&lt;0.25,"shallow condution",
U578&lt;0.5,"transition",
U578&lt;1,"conduction",
U578&lt;1.5,"transition",U578&lt;3,"keyholeⅠ",3&lt;=U578,"keyhole Ⅱ"
)</f>
        <v>transition</v>
      </c>
      <c r="X578">
        <f t="shared" si="31"/>
        <v>2.1776003452740609</v>
      </c>
    </row>
    <row r="579" spans="1:24">
      <c r="A579" s="2" t="s">
        <v>60</v>
      </c>
      <c r="B579" s="4">
        <v>250</v>
      </c>
      <c r="C579" s="4">
        <v>600</v>
      </c>
      <c r="D579" s="4">
        <v>16.690000000000001</v>
      </c>
      <c r="E579" s="4">
        <v>36.6</v>
      </c>
      <c r="F579" s="4">
        <v>732.8</v>
      </c>
      <c r="G579" s="16" t="s">
        <v>101</v>
      </c>
      <c r="H579" s="4">
        <v>0.14000000000000001</v>
      </c>
      <c r="I579" s="4">
        <v>57</v>
      </c>
      <c r="J579" s="4">
        <v>3017</v>
      </c>
      <c r="K579" s="4">
        <v>5458</v>
      </c>
      <c r="L579" s="4">
        <v>0.7</v>
      </c>
      <c r="M579" s="4">
        <v>123.6</v>
      </c>
      <c r="N579" s="5">
        <v>97</v>
      </c>
      <c r="Q579" s="1">
        <f t="shared" si="29"/>
        <v>106.83760683760684</v>
      </c>
      <c r="R579" t="str" cm="1">
        <f t="array" ref="R579">_xlfn.IFS(Q579&lt;42.7, "low",
Q579&lt;85.4,"medium low",
Q579&lt;128,"medium high",
Q579&gt;=128,"high"
)</f>
        <v>medium high</v>
      </c>
      <c r="S579" t="str" cm="1">
        <f t="array" ref="S579">_xlfn.IFS(J579&lt;700,"low",J579&lt;1600,"medium low",J579&lt;2200,"medium high",J579&gt;=2200,"high")</f>
        <v>high</v>
      </c>
      <c r="T579" t="str" cm="1">
        <f t="array" ref="T579">_xlfn.IFS(
J579&lt;630,"Low",
J579&lt;1287,"Medium",
J579&lt;1495,"Intermediate",
J579&lt;1668,"Moderately",
J579&lt;1843,"Transition",
J579&lt;2477,"High",
J579&lt;2996,"Refractory I",
TRUE,"Refractory II"
)</f>
        <v>Refractory II</v>
      </c>
      <c r="U579">
        <f t="shared" si="30"/>
        <v>0.78478964401294504</v>
      </c>
      <c r="V579" t="str" cm="1">
        <f t="array" ref="V579">_xlfn.IFS(U579&lt;0.25,"shallow condution",
U579&lt;0.5,"transition",
U579&lt;1,"conduction",
U579&lt;1.5,"transition",U579&lt;3,"keyholeⅠ",3&lt;=U579,"keyhole Ⅱ"
)</f>
        <v>conduction</v>
      </c>
      <c r="X579">
        <f t="shared" si="31"/>
        <v>1.2742268041237113</v>
      </c>
    </row>
    <row r="580" spans="1:24">
      <c r="A580" s="2" t="s">
        <v>60</v>
      </c>
      <c r="B580" s="4">
        <v>300</v>
      </c>
      <c r="C580" s="4">
        <v>600</v>
      </c>
      <c r="D580" s="4">
        <v>16.690000000000001</v>
      </c>
      <c r="E580" s="4">
        <v>36.6</v>
      </c>
      <c r="F580" s="4">
        <v>732.8</v>
      </c>
      <c r="G580" s="16" t="s">
        <v>101</v>
      </c>
      <c r="H580" s="4">
        <v>0.14000000000000001</v>
      </c>
      <c r="I580" s="4">
        <v>57</v>
      </c>
      <c r="J580" s="4">
        <v>3017</v>
      </c>
      <c r="K580" s="4">
        <v>5458</v>
      </c>
      <c r="L580" s="4">
        <v>0.7</v>
      </c>
      <c r="M580" s="4">
        <v>170.76</v>
      </c>
      <c r="N580" s="5">
        <v>126.32</v>
      </c>
      <c r="Q580" s="1">
        <f t="shared" si="29"/>
        <v>128.2051282051282</v>
      </c>
      <c r="R580" t="str" cm="1">
        <f t="array" ref="R580">_xlfn.IFS(Q580&lt;42.7, "low",
Q580&lt;85.4,"medium low",
Q580&lt;128,"medium high",
Q580&gt;=128,"high"
)</f>
        <v>high</v>
      </c>
      <c r="S580" t="str" cm="1">
        <f t="array" ref="S580">_xlfn.IFS(J580&lt;700,"low",J580&lt;1600,"medium low",J580&lt;2200,"medium high",J580&gt;=2200,"high")</f>
        <v>high</v>
      </c>
      <c r="T580" t="str" cm="1">
        <f t="array" ref="T580">_xlfn.IFS(
J580&lt;630,"Low",
J580&lt;1287,"Medium",
J580&lt;1495,"Intermediate",
J580&lt;1668,"Moderately",
J580&lt;1843,"Transition",
J580&lt;2477,"High",
J580&lt;2996,"Refractory I",
TRUE,"Refractory II"
)</f>
        <v>Refractory II</v>
      </c>
      <c r="U580">
        <f t="shared" si="30"/>
        <v>0.73975169828999765</v>
      </c>
      <c r="V580" t="str" cm="1">
        <f t="array" ref="V580">_xlfn.IFS(U580&lt;0.25,"shallow condution",
U580&lt;0.5,"transition",
U580&lt;1,"conduction",
U580&lt;1.5,"transition",U580&lt;3,"keyholeⅠ",3&lt;=U580,"keyhole Ⅱ"
)</f>
        <v>conduction</v>
      </c>
      <c r="X580">
        <f t="shared" si="31"/>
        <v>1.3518049398353389</v>
      </c>
    </row>
    <row r="581" spans="1:24">
      <c r="A581" s="2" t="s">
        <v>60</v>
      </c>
      <c r="B581" s="4">
        <v>100</v>
      </c>
      <c r="C581" s="4">
        <v>900</v>
      </c>
      <c r="D581" s="4">
        <v>16.690000000000001</v>
      </c>
      <c r="E581" s="4">
        <v>36.6</v>
      </c>
      <c r="F581" s="4">
        <v>732.8</v>
      </c>
      <c r="G581" s="16" t="s">
        <v>101</v>
      </c>
      <c r="H581" s="4">
        <v>0.14000000000000001</v>
      </c>
      <c r="I581" s="4">
        <v>57</v>
      </c>
      <c r="J581" s="4">
        <v>3017</v>
      </c>
      <c r="K581" s="4">
        <v>5458</v>
      </c>
      <c r="L581" s="4">
        <v>0.7</v>
      </c>
      <c r="M581" s="4">
        <v>92.49</v>
      </c>
      <c r="N581" s="5">
        <v>10.49</v>
      </c>
      <c r="Q581" s="1">
        <f t="shared" si="29"/>
        <v>28.490028490028489</v>
      </c>
      <c r="R581" t="str" cm="1">
        <f t="array" ref="R581">_xlfn.IFS(Q581&lt;42.7, "low",
Q581&lt;85.4,"medium low",
Q581&lt;128,"medium high",
Q581&gt;=128,"high"
)</f>
        <v>low</v>
      </c>
      <c r="S581" t="str" cm="1">
        <f t="array" ref="S581">_xlfn.IFS(J581&lt;700,"low",J581&lt;1600,"medium low",J581&lt;2200,"medium high",J581&gt;=2200,"high")</f>
        <v>high</v>
      </c>
      <c r="T581" t="str" cm="1">
        <f t="array" ref="T581">_xlfn.IFS(
J581&lt;630,"Low",
J581&lt;1287,"Medium",
J581&lt;1495,"Intermediate",
J581&lt;1668,"Moderately",
J581&lt;1843,"Transition",
J581&lt;2477,"High",
J581&lt;2996,"Refractory I",
TRUE,"Refractory II"
)</f>
        <v>Refractory II</v>
      </c>
      <c r="U581">
        <f t="shared" si="30"/>
        <v>0.11341766677478647</v>
      </c>
      <c r="V581" t="str" cm="1">
        <f t="array" ref="V581">_xlfn.IFS(U581&lt;0.25,"shallow condution",
U581&lt;0.5,"transition",
U581&lt;1,"conduction",
U581&lt;1.5,"transition",U581&lt;3,"keyholeⅠ",3&lt;=U581,"keyhole Ⅱ"
)</f>
        <v>shallow condution</v>
      </c>
      <c r="X581">
        <f t="shared" si="31"/>
        <v>8.8169685414680643</v>
      </c>
    </row>
    <row r="582" spans="1:24">
      <c r="A582" s="2" t="s">
        <v>60</v>
      </c>
      <c r="B582" s="4">
        <v>150</v>
      </c>
      <c r="C582" s="4">
        <v>900</v>
      </c>
      <c r="D582" s="4">
        <v>16.690000000000001</v>
      </c>
      <c r="E582" s="4">
        <v>36.6</v>
      </c>
      <c r="F582" s="4">
        <v>732.8</v>
      </c>
      <c r="G582" s="16" t="s">
        <v>101</v>
      </c>
      <c r="H582" s="4">
        <v>0.14000000000000001</v>
      </c>
      <c r="I582" s="4">
        <v>57</v>
      </c>
      <c r="J582" s="4">
        <v>3017</v>
      </c>
      <c r="K582" s="4">
        <v>5458</v>
      </c>
      <c r="L582" s="4">
        <v>0.7</v>
      </c>
      <c r="M582" s="4">
        <v>77.98</v>
      </c>
      <c r="N582" s="5">
        <v>7</v>
      </c>
      <c r="Q582" s="1">
        <f t="shared" si="29"/>
        <v>42.735042735042732</v>
      </c>
      <c r="R582" t="str" cm="1">
        <f t="array" ref="R582">_xlfn.IFS(Q582&lt;42.7, "low",
Q582&lt;85.4,"medium low",
Q582&lt;128,"medium high",
Q582&gt;=128,"high"
)</f>
        <v>medium low</v>
      </c>
      <c r="S582" t="str" cm="1">
        <f t="array" ref="S582">_xlfn.IFS(J582&lt;700,"low",J582&lt;1600,"medium low",J582&lt;2200,"medium high",J582&gt;=2200,"high")</f>
        <v>high</v>
      </c>
      <c r="T582" t="str" cm="1">
        <f t="array" ref="T582">_xlfn.IFS(
J582&lt;630,"Low",
J582&lt;1287,"Medium",
J582&lt;1495,"Intermediate",
J582&lt;1668,"Moderately",
J582&lt;1843,"Transition",
J582&lt;2477,"High",
J582&lt;2996,"Refractory I",
TRUE,"Refractory II"
)</f>
        <v>Refractory II</v>
      </c>
      <c r="U582">
        <f t="shared" si="30"/>
        <v>8.9766606822262118E-2</v>
      </c>
      <c r="V582" t="str" cm="1">
        <f t="array" ref="V582">_xlfn.IFS(U582&lt;0.25,"shallow condution",
U582&lt;0.5,"transition",
U582&lt;1,"conduction",
U582&lt;1.5,"transition",U582&lt;3,"keyholeⅠ",3&lt;=U582,"keyhole Ⅱ"
)</f>
        <v>shallow condution</v>
      </c>
      <c r="X582">
        <f t="shared" si="31"/>
        <v>11.14</v>
      </c>
    </row>
    <row r="583" spans="1:24">
      <c r="A583" s="2" t="s">
        <v>60</v>
      </c>
      <c r="B583" s="4">
        <v>200</v>
      </c>
      <c r="C583" s="4">
        <v>900</v>
      </c>
      <c r="D583" s="4">
        <v>16.690000000000001</v>
      </c>
      <c r="E583" s="4">
        <v>36.6</v>
      </c>
      <c r="F583" s="4">
        <v>732.8</v>
      </c>
      <c r="G583" s="16" t="s">
        <v>101</v>
      </c>
      <c r="H583" s="4">
        <v>0.14000000000000001</v>
      </c>
      <c r="I583" s="4">
        <v>57</v>
      </c>
      <c r="J583" s="4">
        <v>3017</v>
      </c>
      <c r="K583" s="4">
        <v>5458</v>
      </c>
      <c r="L583" s="4">
        <v>0.7</v>
      </c>
      <c r="M583" s="4">
        <v>60.22</v>
      </c>
      <c r="N583" s="5">
        <v>9.36</v>
      </c>
      <c r="Q583" s="1">
        <f t="shared" si="29"/>
        <v>56.980056980056979</v>
      </c>
      <c r="R583" t="str" cm="1">
        <f t="array" ref="R583">_xlfn.IFS(Q583&lt;42.7, "low",
Q583&lt;85.4,"medium low",
Q583&lt;128,"medium high",
Q583&gt;=128,"high"
)</f>
        <v>medium low</v>
      </c>
      <c r="S583" t="str" cm="1">
        <f t="array" ref="S583">_xlfn.IFS(J583&lt;700,"low",J583&lt;1600,"medium low",J583&lt;2200,"medium high",J583&gt;=2200,"high")</f>
        <v>high</v>
      </c>
      <c r="T583" t="str" cm="1">
        <f t="array" ref="T583">_xlfn.IFS(
J583&lt;630,"Low",
J583&lt;1287,"Medium",
J583&lt;1495,"Intermediate",
J583&lt;1668,"Moderately",
J583&lt;1843,"Transition",
J583&lt;2477,"High",
J583&lt;2996,"Refractory I",
TRUE,"Refractory II"
)</f>
        <v>Refractory II</v>
      </c>
      <c r="U583">
        <f t="shared" si="30"/>
        <v>0.15543008967120558</v>
      </c>
      <c r="V583" t="str" cm="1">
        <f t="array" ref="V583">_xlfn.IFS(U583&lt;0.25,"shallow condution",
U583&lt;0.5,"transition",
U583&lt;1,"conduction",
U583&lt;1.5,"transition",U583&lt;3,"keyholeⅠ",3&lt;=U583,"keyhole Ⅱ"
)</f>
        <v>shallow condution</v>
      </c>
      <c r="X583">
        <f t="shared" si="31"/>
        <v>6.433760683760684</v>
      </c>
    </row>
    <row r="584" spans="1:24">
      <c r="A584" s="2" t="s">
        <v>60</v>
      </c>
      <c r="B584" s="4">
        <v>250</v>
      </c>
      <c r="C584" s="4">
        <v>900</v>
      </c>
      <c r="D584" s="4">
        <v>16.690000000000001</v>
      </c>
      <c r="E584" s="4">
        <v>36.6</v>
      </c>
      <c r="F584" s="4">
        <v>732.8</v>
      </c>
      <c r="G584" s="16" t="s">
        <v>101</v>
      </c>
      <c r="H584" s="4">
        <v>0.14000000000000001</v>
      </c>
      <c r="I584" s="4">
        <v>57</v>
      </c>
      <c r="J584" s="4">
        <v>3017</v>
      </c>
      <c r="K584" s="4">
        <v>5458</v>
      </c>
      <c r="L584" s="4">
        <v>0.7</v>
      </c>
      <c r="M584" s="4">
        <v>86.1</v>
      </c>
      <c r="N584" s="5">
        <v>36</v>
      </c>
      <c r="Q584" s="1">
        <f t="shared" si="29"/>
        <v>71.225071225071218</v>
      </c>
      <c r="R584" t="str" cm="1">
        <f t="array" ref="R584">_xlfn.IFS(Q584&lt;42.7, "low",
Q584&lt;85.4,"medium low",
Q584&lt;128,"medium high",
Q584&gt;=128,"high"
)</f>
        <v>medium low</v>
      </c>
      <c r="S584" t="str" cm="1">
        <f t="array" ref="S584">_xlfn.IFS(J584&lt;700,"low",J584&lt;1600,"medium low",J584&lt;2200,"medium high",J584&gt;=2200,"high")</f>
        <v>high</v>
      </c>
      <c r="T584" t="str" cm="1">
        <f t="array" ref="T584">_xlfn.IFS(
J584&lt;630,"Low",
J584&lt;1287,"Medium",
J584&lt;1495,"Intermediate",
J584&lt;1668,"Moderately",
J584&lt;1843,"Transition",
J584&lt;2477,"High",
J584&lt;2996,"Refractory I",
TRUE,"Refractory II"
)</f>
        <v>Refractory II</v>
      </c>
      <c r="U584">
        <f t="shared" si="30"/>
        <v>0.41811846689895471</v>
      </c>
      <c r="V584" t="str" cm="1">
        <f t="array" ref="V584">_xlfn.IFS(U584&lt;0.25,"shallow condution",
U584&lt;0.5,"transition",
U584&lt;1,"conduction",
U584&lt;1.5,"transition",U584&lt;3,"keyholeⅠ",3&lt;=U584,"keyhole Ⅱ"
)</f>
        <v>transition</v>
      </c>
      <c r="X584">
        <f t="shared" si="31"/>
        <v>2.3916666666666666</v>
      </c>
    </row>
    <row r="585" spans="1:24" ht="14.45" thickBot="1">
      <c r="A585" s="3" t="s">
        <v>60</v>
      </c>
      <c r="B585" s="7">
        <v>300</v>
      </c>
      <c r="C585" s="7">
        <v>900</v>
      </c>
      <c r="D585" s="7">
        <v>16.690000000000001</v>
      </c>
      <c r="E585" s="7">
        <v>36.6</v>
      </c>
      <c r="F585" s="7">
        <v>732.8</v>
      </c>
      <c r="G585" s="16" t="s">
        <v>101</v>
      </c>
      <c r="H585" s="7">
        <v>0.14000000000000001</v>
      </c>
      <c r="I585" s="7">
        <v>57</v>
      </c>
      <c r="J585" s="7">
        <v>3017</v>
      </c>
      <c r="K585" s="7">
        <v>5458</v>
      </c>
      <c r="L585" s="7">
        <v>0.7</v>
      </c>
      <c r="M585" s="7">
        <v>105</v>
      </c>
      <c r="N585" s="15">
        <v>58</v>
      </c>
      <c r="Q585" s="1">
        <f t="shared" si="29"/>
        <v>85.470085470085465</v>
      </c>
      <c r="R585" t="str" cm="1">
        <f t="array" ref="R585">_xlfn.IFS(Q585&lt;42.7, "low",
Q585&lt;85.4,"medium low",
Q585&lt;128,"medium high",
Q585&gt;=128,"high"
)</f>
        <v>medium high</v>
      </c>
      <c r="S585" t="str" cm="1">
        <f t="array" ref="S585">_xlfn.IFS(J585&lt;700,"low",J585&lt;1600,"medium low",J585&lt;2200,"medium high",J585&gt;=2200,"high")</f>
        <v>high</v>
      </c>
      <c r="T585" t="str" cm="1">
        <f t="array" ref="T585">_xlfn.IFS(
J585&lt;630,"Low",
J585&lt;1287,"Medium",
J585&lt;1495,"Intermediate",
J585&lt;1668,"Moderately",
J585&lt;1843,"Transition",
J585&lt;2477,"High",
J585&lt;2996,"Refractory I",
TRUE,"Refractory II"
)</f>
        <v>Refractory II</v>
      </c>
      <c r="U585">
        <f t="shared" si="30"/>
        <v>0.55238095238095242</v>
      </c>
      <c r="V585" t="str" cm="1">
        <f t="array" ref="V585">_xlfn.IFS(U585&lt;0.25,"shallow condution",
U585&lt;0.5,"transition",
U585&lt;1,"conduction",
U585&lt;1.5,"transition",U585&lt;3,"keyholeⅠ",3&lt;=U585,"keyhole Ⅱ"
)</f>
        <v>conduction</v>
      </c>
      <c r="X585">
        <f t="shared" si="31"/>
        <v>1.8103448275862069</v>
      </c>
    </row>
    <row r="586" spans="1:24">
      <c r="A586" s="19" t="s">
        <v>29</v>
      </c>
      <c r="B586" s="16">
        <v>200</v>
      </c>
      <c r="C586" s="16">
        <v>200</v>
      </c>
      <c r="D586" s="16">
        <v>19.25</v>
      </c>
      <c r="E586" s="16">
        <v>35.200000000000003</v>
      </c>
      <c r="F586" s="16">
        <v>858</v>
      </c>
      <c r="G586" s="16" t="s">
        <v>102</v>
      </c>
      <c r="H586" s="16">
        <v>0.13400000000000001</v>
      </c>
      <c r="I586" s="16">
        <v>174</v>
      </c>
      <c r="J586" s="16">
        <v>3422</v>
      </c>
      <c r="K586" s="16">
        <v>5555</v>
      </c>
      <c r="L586" s="16">
        <v>0.75</v>
      </c>
      <c r="M586" s="16">
        <v>298</v>
      </c>
      <c r="N586" s="17">
        <v>73</v>
      </c>
      <c r="Q586" s="1">
        <f t="shared" si="29"/>
        <v>256.41025641025641</v>
      </c>
      <c r="R586" t="str" cm="1">
        <f t="array" ref="R586">_xlfn.IFS(Q586&lt;42.7, "low",
Q586&lt;85.4,"medium low",
Q586&lt;128,"medium high",
Q586&gt;=128,"high"
)</f>
        <v>high</v>
      </c>
      <c r="S586" t="str" cm="1">
        <f t="array" ref="S586">_xlfn.IFS(J586&lt;700,"low",J586&lt;1600,"medium low",J586&lt;2200,"medium high",J586&gt;=2200,"high")</f>
        <v>high</v>
      </c>
      <c r="T586" t="str" cm="1">
        <f t="array" ref="T586">_xlfn.IFS(
J586&lt;630,"Low",
J586&lt;1287,"Medium",
J586&lt;1495,"Intermediate",
J586&lt;1668,"Moderately",
J586&lt;1843,"Transition",
J586&lt;2477,"High",
J586&lt;2996,"Refractory I",
TRUE,"Refractory II"
)</f>
        <v>Refractory II</v>
      </c>
      <c r="U586">
        <f t="shared" si="30"/>
        <v>0.24496644295302014</v>
      </c>
      <c r="V586" t="str" cm="1">
        <f t="array" ref="V586">_xlfn.IFS(U586&lt;0.25,"shallow condution",
U586&lt;0.5,"transition",
U586&lt;1,"conduction",
U586&lt;1.5,"transition",U586&lt;3,"keyholeⅠ",3&lt;=U586,"keyhole Ⅱ"
)</f>
        <v>shallow condution</v>
      </c>
      <c r="X586">
        <f t="shared" si="31"/>
        <v>4.0821917808219181</v>
      </c>
    </row>
    <row r="587" spans="1:24">
      <c r="A587" s="2" t="s">
        <v>29</v>
      </c>
      <c r="B587" s="4">
        <v>200</v>
      </c>
      <c r="C587" s="4">
        <v>400</v>
      </c>
      <c r="D587" s="4">
        <v>19.25</v>
      </c>
      <c r="E587" s="4">
        <v>35.200000000000003</v>
      </c>
      <c r="F587" s="4">
        <v>858</v>
      </c>
      <c r="G587" s="16" t="s">
        <v>102</v>
      </c>
      <c r="H587" s="4">
        <v>0.13400000000000001</v>
      </c>
      <c r="I587" s="4">
        <v>174</v>
      </c>
      <c r="J587" s="4">
        <v>3422</v>
      </c>
      <c r="K587" s="4">
        <v>5555</v>
      </c>
      <c r="L587" s="4">
        <v>0.75</v>
      </c>
      <c r="M587" s="4">
        <v>288</v>
      </c>
      <c r="N587" s="5">
        <v>63</v>
      </c>
      <c r="Q587" s="1">
        <f t="shared" si="29"/>
        <v>128.2051282051282</v>
      </c>
      <c r="R587" t="str" cm="1">
        <f t="array" ref="R587">_xlfn.IFS(Q587&lt;42.7, "low",
Q587&lt;85.4,"medium low",
Q587&lt;128,"medium high",
Q587&gt;=128,"high"
)</f>
        <v>high</v>
      </c>
      <c r="S587" t="str" cm="1">
        <f t="array" ref="S587">_xlfn.IFS(J587&lt;700,"low",J587&lt;1600,"medium low",J587&lt;2200,"medium high",J587&gt;=2200,"high")</f>
        <v>high</v>
      </c>
      <c r="T587" t="str" cm="1">
        <f t="array" ref="T587">_xlfn.IFS(
J587&lt;630,"Low",
J587&lt;1287,"Medium",
J587&lt;1495,"Intermediate",
J587&lt;1668,"Moderately",
J587&lt;1843,"Transition",
J587&lt;2477,"High",
J587&lt;2996,"Refractory I",
TRUE,"Refractory II"
)</f>
        <v>Refractory II</v>
      </c>
      <c r="U587">
        <f t="shared" si="30"/>
        <v>0.21875</v>
      </c>
      <c r="V587" t="str" cm="1">
        <f t="array" ref="V587">_xlfn.IFS(U587&lt;0.25,"shallow condution",
U587&lt;0.5,"transition",
U587&lt;1,"conduction",
U587&lt;1.5,"transition",U587&lt;3,"keyholeⅠ",3&lt;=U587,"keyhole Ⅱ"
)</f>
        <v>shallow condution</v>
      </c>
      <c r="X587">
        <f t="shared" si="31"/>
        <v>4.5714285714285712</v>
      </c>
    </row>
    <row r="588" spans="1:24">
      <c r="A588" s="2" t="s">
        <v>29</v>
      </c>
      <c r="B588" s="4">
        <v>200</v>
      </c>
      <c r="C588" s="4">
        <v>600</v>
      </c>
      <c r="D588" s="4">
        <v>19.25</v>
      </c>
      <c r="E588" s="4">
        <v>35.200000000000003</v>
      </c>
      <c r="F588" s="4">
        <v>858</v>
      </c>
      <c r="G588" s="16" t="s">
        <v>102</v>
      </c>
      <c r="H588" s="4">
        <v>0.13400000000000001</v>
      </c>
      <c r="I588" s="4">
        <v>174</v>
      </c>
      <c r="J588" s="4">
        <v>3422</v>
      </c>
      <c r="K588" s="4">
        <v>5555</v>
      </c>
      <c r="L588" s="4">
        <v>0.75</v>
      </c>
      <c r="M588" s="4">
        <v>192</v>
      </c>
      <c r="N588" s="5">
        <v>33</v>
      </c>
      <c r="Q588" s="1">
        <f t="shared" si="29"/>
        <v>85.470085470085465</v>
      </c>
      <c r="R588" t="str" cm="1">
        <f t="array" ref="R588">_xlfn.IFS(Q588&lt;42.7, "low",
Q588&lt;85.4,"medium low",
Q588&lt;128,"medium high",
Q588&gt;=128,"high"
)</f>
        <v>medium high</v>
      </c>
      <c r="S588" t="str" cm="1">
        <f t="array" ref="S588">_xlfn.IFS(J588&lt;700,"low",J588&lt;1600,"medium low",J588&lt;2200,"medium high",J588&gt;=2200,"high")</f>
        <v>high</v>
      </c>
      <c r="T588" t="str" cm="1">
        <f t="array" ref="T588">_xlfn.IFS(
J588&lt;630,"Low",
J588&lt;1287,"Medium",
J588&lt;1495,"Intermediate",
J588&lt;1668,"Moderately",
J588&lt;1843,"Transition",
J588&lt;2477,"High",
J588&lt;2996,"Refractory I",
TRUE,"Refractory II"
)</f>
        <v>Refractory II</v>
      </c>
      <c r="U588">
        <f t="shared" si="30"/>
        <v>0.171875</v>
      </c>
      <c r="V588" t="str" cm="1">
        <f t="array" ref="V588">_xlfn.IFS(U588&lt;0.25,"shallow condution",
U588&lt;0.5,"transition",
U588&lt;1,"conduction",
U588&lt;1.5,"transition",U588&lt;3,"keyholeⅠ",3&lt;=U588,"keyhole Ⅱ"
)</f>
        <v>shallow condution</v>
      </c>
      <c r="X588">
        <f t="shared" si="31"/>
        <v>5.8181818181818183</v>
      </c>
    </row>
    <row r="589" spans="1:24">
      <c r="A589" s="2" t="s">
        <v>29</v>
      </c>
      <c r="B589" s="4">
        <v>200</v>
      </c>
      <c r="C589" s="4">
        <v>800</v>
      </c>
      <c r="D589" s="4">
        <v>19.25</v>
      </c>
      <c r="E589" s="4">
        <v>35.200000000000003</v>
      </c>
      <c r="F589" s="4">
        <v>858</v>
      </c>
      <c r="G589" s="16" t="s">
        <v>102</v>
      </c>
      <c r="H589" s="4">
        <v>0.13400000000000001</v>
      </c>
      <c r="I589" s="4">
        <v>174</v>
      </c>
      <c r="J589" s="4">
        <v>3422</v>
      </c>
      <c r="K589" s="4">
        <v>5555</v>
      </c>
      <c r="L589" s="4">
        <v>0.75</v>
      </c>
      <c r="M589" s="4">
        <v>120</v>
      </c>
      <c r="N589" s="5">
        <v>31</v>
      </c>
      <c r="Q589" s="1">
        <f t="shared" si="29"/>
        <v>64.102564102564102</v>
      </c>
      <c r="R589" t="str" cm="1">
        <f t="array" ref="R589">_xlfn.IFS(Q589&lt;42.7, "low",
Q589&lt;85.4,"medium low",
Q589&lt;128,"medium high",
Q589&gt;=128,"high"
)</f>
        <v>medium low</v>
      </c>
      <c r="S589" t="str" cm="1">
        <f t="array" ref="S589">_xlfn.IFS(J589&lt;700,"low",J589&lt;1600,"medium low",J589&lt;2200,"medium high",J589&gt;=2200,"high")</f>
        <v>high</v>
      </c>
      <c r="T589" t="str" cm="1">
        <f t="array" ref="T589">_xlfn.IFS(
J589&lt;630,"Low",
J589&lt;1287,"Medium",
J589&lt;1495,"Intermediate",
J589&lt;1668,"Moderately",
J589&lt;1843,"Transition",
J589&lt;2477,"High",
J589&lt;2996,"Refractory I",
TRUE,"Refractory II"
)</f>
        <v>Refractory II</v>
      </c>
      <c r="U589">
        <f t="shared" si="30"/>
        <v>0.25833333333333336</v>
      </c>
      <c r="V589" t="str" cm="1">
        <f t="array" ref="V589">_xlfn.IFS(U589&lt;0.25,"shallow condution",
U589&lt;0.5,"transition",
U589&lt;1,"conduction",
U589&lt;1.5,"transition",U589&lt;3,"keyholeⅠ",3&lt;=U589,"keyhole Ⅱ"
)</f>
        <v>transition</v>
      </c>
      <c r="X589">
        <f t="shared" si="31"/>
        <v>3.870967741935484</v>
      </c>
    </row>
    <row r="590" spans="1:24">
      <c r="A590" s="2" t="s">
        <v>29</v>
      </c>
      <c r="B590" s="4">
        <v>200</v>
      </c>
      <c r="C590" s="4">
        <v>1200</v>
      </c>
      <c r="D590" s="4">
        <v>19.25</v>
      </c>
      <c r="E590" s="4">
        <v>35.200000000000003</v>
      </c>
      <c r="F590" s="4">
        <v>858</v>
      </c>
      <c r="G590" s="16" t="s">
        <v>102</v>
      </c>
      <c r="H590" s="4">
        <v>0.13400000000000001</v>
      </c>
      <c r="I590" s="4">
        <v>174</v>
      </c>
      <c r="J590" s="4">
        <v>3422</v>
      </c>
      <c r="K590" s="4">
        <v>5555</v>
      </c>
      <c r="L590" s="4">
        <v>0.75</v>
      </c>
      <c r="M590" s="4">
        <v>115</v>
      </c>
      <c r="N590" s="5">
        <v>29</v>
      </c>
      <c r="Q590" s="1">
        <f t="shared" si="29"/>
        <v>42.735042735042732</v>
      </c>
      <c r="R590" t="str" cm="1">
        <f t="array" ref="R590">_xlfn.IFS(Q590&lt;42.7, "low",
Q590&lt;85.4,"medium low",
Q590&lt;128,"medium high",
Q590&gt;=128,"high"
)</f>
        <v>medium low</v>
      </c>
      <c r="S590" t="str" cm="1">
        <f t="array" ref="S590">_xlfn.IFS(J590&lt;700,"low",J590&lt;1600,"medium low",J590&lt;2200,"medium high",J590&gt;=2200,"high")</f>
        <v>high</v>
      </c>
      <c r="T590" t="str" cm="1">
        <f t="array" ref="T590">_xlfn.IFS(
J590&lt;630,"Low",
J590&lt;1287,"Medium",
J590&lt;1495,"Intermediate",
J590&lt;1668,"Moderately",
J590&lt;1843,"Transition",
J590&lt;2477,"High",
J590&lt;2996,"Refractory I",
TRUE,"Refractory II"
)</f>
        <v>Refractory II</v>
      </c>
      <c r="U590">
        <f t="shared" si="30"/>
        <v>0.25217391304347825</v>
      </c>
      <c r="V590" t="str" cm="1">
        <f t="array" ref="V590">_xlfn.IFS(U590&lt;0.25,"shallow condution",
U590&lt;0.5,"transition",
U590&lt;1,"conduction",
U590&lt;1.5,"transition",U590&lt;3,"keyholeⅠ",3&lt;=U590,"keyhole Ⅱ"
)</f>
        <v>transition</v>
      </c>
      <c r="X590">
        <f t="shared" si="31"/>
        <v>3.9655172413793105</v>
      </c>
    </row>
    <row r="591" spans="1:24">
      <c r="A591" s="2" t="s">
        <v>29</v>
      </c>
      <c r="B591" s="4">
        <v>200</v>
      </c>
      <c r="C591" s="4">
        <v>1600</v>
      </c>
      <c r="D591" s="4">
        <v>19.25</v>
      </c>
      <c r="E591" s="4">
        <v>35.200000000000003</v>
      </c>
      <c r="F591" s="4">
        <v>858</v>
      </c>
      <c r="G591" s="16" t="s">
        <v>102</v>
      </c>
      <c r="H591" s="4">
        <v>0.13400000000000001</v>
      </c>
      <c r="I591" s="4">
        <v>174</v>
      </c>
      <c r="J591" s="4">
        <v>3422</v>
      </c>
      <c r="K591" s="4">
        <v>5555</v>
      </c>
      <c r="L591" s="4">
        <v>0.75</v>
      </c>
      <c r="M591" s="4">
        <v>94</v>
      </c>
      <c r="N591" s="5">
        <v>13.7</v>
      </c>
      <c r="Q591" s="1">
        <f t="shared" si="29"/>
        <v>32.051282051282051</v>
      </c>
      <c r="R591" t="str" cm="1">
        <f t="array" ref="R591">_xlfn.IFS(Q591&lt;42.7, "low",
Q591&lt;85.4,"medium low",
Q591&lt;128,"medium high",
Q591&gt;=128,"high"
)</f>
        <v>low</v>
      </c>
      <c r="S591" t="str" cm="1">
        <f t="array" ref="S591">_xlfn.IFS(J591&lt;700,"low",J591&lt;1600,"medium low",J591&lt;2200,"medium high",J591&gt;=2200,"high")</f>
        <v>high</v>
      </c>
      <c r="T591" t="str" cm="1">
        <f t="array" ref="T591">_xlfn.IFS(
J591&lt;630,"Low",
J591&lt;1287,"Medium",
J591&lt;1495,"Intermediate",
J591&lt;1668,"Moderately",
J591&lt;1843,"Transition",
J591&lt;2477,"High",
J591&lt;2996,"Refractory I",
TRUE,"Refractory II"
)</f>
        <v>Refractory II</v>
      </c>
      <c r="U591">
        <f t="shared" si="30"/>
        <v>0.14574468085106382</v>
      </c>
      <c r="V591" t="str" cm="1">
        <f t="array" ref="V591">_xlfn.IFS(U591&lt;0.25,"shallow condution",
U591&lt;0.5,"transition",
U591&lt;1,"conduction",
U591&lt;1.5,"transition",U591&lt;3,"keyholeⅠ",3&lt;=U591,"keyhole Ⅱ"
)</f>
        <v>shallow condution</v>
      </c>
      <c r="X591">
        <f t="shared" si="31"/>
        <v>6.8613138686131387</v>
      </c>
    </row>
    <row r="592" spans="1:24">
      <c r="A592" s="2" t="s">
        <v>29</v>
      </c>
      <c r="B592" s="4">
        <v>200</v>
      </c>
      <c r="C592" s="4">
        <v>2000</v>
      </c>
      <c r="D592" s="4">
        <v>19.25</v>
      </c>
      <c r="E592" s="4">
        <v>35.200000000000003</v>
      </c>
      <c r="F592" s="4">
        <v>858</v>
      </c>
      <c r="G592" s="16" t="s">
        <v>102</v>
      </c>
      <c r="H592" s="4">
        <v>0.13400000000000001</v>
      </c>
      <c r="I592" s="4">
        <v>174</v>
      </c>
      <c r="J592" s="4">
        <v>3422</v>
      </c>
      <c r="K592" s="4">
        <v>5555</v>
      </c>
      <c r="L592" s="4">
        <v>0.75</v>
      </c>
      <c r="M592" s="4">
        <v>73</v>
      </c>
      <c r="N592" s="5">
        <v>14</v>
      </c>
      <c r="Q592" s="1">
        <f t="shared" si="29"/>
        <v>25.641025641025642</v>
      </c>
      <c r="R592" t="str" cm="1">
        <f t="array" ref="R592">_xlfn.IFS(Q592&lt;42.7, "low",
Q592&lt;85.4,"medium low",
Q592&lt;128,"medium high",
Q592&gt;=128,"high"
)</f>
        <v>low</v>
      </c>
      <c r="S592" t="str" cm="1">
        <f t="array" ref="S592">_xlfn.IFS(J592&lt;700,"low",J592&lt;1600,"medium low",J592&lt;2200,"medium high",J592&gt;=2200,"high")</f>
        <v>high</v>
      </c>
      <c r="T592" t="str" cm="1">
        <f t="array" ref="T592">_xlfn.IFS(
J592&lt;630,"Low",
J592&lt;1287,"Medium",
J592&lt;1495,"Intermediate",
J592&lt;1668,"Moderately",
J592&lt;1843,"Transition",
J592&lt;2477,"High",
J592&lt;2996,"Refractory I",
TRUE,"Refractory II"
)</f>
        <v>Refractory II</v>
      </c>
      <c r="U592">
        <f t="shared" si="30"/>
        <v>0.19178082191780821</v>
      </c>
      <c r="V592" t="str" cm="1">
        <f t="array" ref="V592">_xlfn.IFS(U592&lt;0.25,"shallow condution",
U592&lt;0.5,"transition",
U592&lt;1,"conduction",
U592&lt;1.5,"transition",U592&lt;3,"keyholeⅠ",3&lt;=U592,"keyhole Ⅱ"
)</f>
        <v>shallow condution</v>
      </c>
      <c r="X592">
        <f t="shared" si="31"/>
        <v>5.2142857142857144</v>
      </c>
    </row>
    <row r="593" spans="1:24">
      <c r="A593" s="2" t="s">
        <v>29</v>
      </c>
      <c r="B593" s="4">
        <v>200</v>
      </c>
      <c r="C593" s="4">
        <v>2400</v>
      </c>
      <c r="D593" s="4">
        <v>19.25</v>
      </c>
      <c r="E593" s="4">
        <v>35.200000000000003</v>
      </c>
      <c r="F593" s="4">
        <v>858</v>
      </c>
      <c r="G593" s="16" t="s">
        <v>102</v>
      </c>
      <c r="H593" s="4">
        <v>0.13400000000000001</v>
      </c>
      <c r="I593" s="4">
        <v>174</v>
      </c>
      <c r="J593" s="4">
        <v>3422</v>
      </c>
      <c r="K593" s="4">
        <v>5555</v>
      </c>
      <c r="L593" s="4">
        <v>0.75</v>
      </c>
      <c r="M593" s="4">
        <v>62</v>
      </c>
      <c r="N593" s="5">
        <v>9.5</v>
      </c>
      <c r="Q593" s="1">
        <f t="shared" si="29"/>
        <v>21.367521367521366</v>
      </c>
      <c r="R593" t="str" cm="1">
        <f t="array" ref="R593">_xlfn.IFS(Q593&lt;42.7, "low",
Q593&lt;85.4,"medium low",
Q593&lt;128,"medium high",
Q593&gt;=128,"high"
)</f>
        <v>low</v>
      </c>
      <c r="S593" t="str" cm="1">
        <f t="array" ref="S593">_xlfn.IFS(J593&lt;700,"low",J593&lt;1600,"medium low",J593&lt;2200,"medium high",J593&gt;=2200,"high")</f>
        <v>high</v>
      </c>
      <c r="T593" t="str" cm="1">
        <f t="array" ref="T593">_xlfn.IFS(
J593&lt;630,"Low",
J593&lt;1287,"Medium",
J593&lt;1495,"Intermediate",
J593&lt;1668,"Moderately",
J593&lt;1843,"Transition",
J593&lt;2477,"High",
J593&lt;2996,"Refractory I",
TRUE,"Refractory II"
)</f>
        <v>Refractory II</v>
      </c>
      <c r="U593">
        <f t="shared" si="30"/>
        <v>0.15322580645161291</v>
      </c>
      <c r="V593" t="str" cm="1">
        <f t="array" ref="V593">_xlfn.IFS(U593&lt;0.25,"shallow condution",
U593&lt;0.5,"transition",
U593&lt;1,"conduction",
U593&lt;1.5,"transition",U593&lt;3,"keyholeⅠ",3&lt;=U593,"keyhole Ⅱ"
)</f>
        <v>shallow condution</v>
      </c>
      <c r="X593">
        <f t="shared" si="31"/>
        <v>6.5263157894736841</v>
      </c>
    </row>
    <row r="594" spans="1:24">
      <c r="A594" s="2" t="s">
        <v>29</v>
      </c>
      <c r="B594" s="4">
        <v>350</v>
      </c>
      <c r="C594" s="4">
        <v>400</v>
      </c>
      <c r="D594" s="4">
        <v>19.25</v>
      </c>
      <c r="E594" s="4">
        <v>35.200000000000003</v>
      </c>
      <c r="F594" s="4">
        <v>858</v>
      </c>
      <c r="G594" s="16" t="s">
        <v>102</v>
      </c>
      <c r="H594" s="4">
        <v>0.13400000000000001</v>
      </c>
      <c r="I594" s="4">
        <v>174</v>
      </c>
      <c r="J594" s="4">
        <v>3422</v>
      </c>
      <c r="K594" s="4">
        <v>5555</v>
      </c>
      <c r="L594" s="4">
        <v>0.75</v>
      </c>
      <c r="M594" s="4">
        <v>160</v>
      </c>
      <c r="N594" s="5">
        <v>28.8</v>
      </c>
      <c r="Q594" s="1">
        <f t="shared" si="29"/>
        <v>224.35897435897436</v>
      </c>
      <c r="R594" t="str" cm="1">
        <f t="array" ref="R594">_xlfn.IFS(Q594&lt;42.7, "low",
Q594&lt;85.4,"medium low",
Q594&lt;128,"medium high",
Q594&gt;=128,"high"
)</f>
        <v>high</v>
      </c>
      <c r="S594" t="str" cm="1">
        <f t="array" ref="S594">_xlfn.IFS(J594&lt;700,"low",J594&lt;1600,"medium low",J594&lt;2200,"medium high",J594&gt;=2200,"high")</f>
        <v>high</v>
      </c>
      <c r="T594" t="str" cm="1">
        <f t="array" ref="T594">_xlfn.IFS(
J594&lt;630,"Low",
J594&lt;1287,"Medium",
J594&lt;1495,"Intermediate",
J594&lt;1668,"Moderately",
J594&lt;1843,"Transition",
J594&lt;2477,"High",
J594&lt;2996,"Refractory I",
TRUE,"Refractory II"
)</f>
        <v>Refractory II</v>
      </c>
      <c r="U594">
        <f t="shared" si="30"/>
        <v>0.18</v>
      </c>
      <c r="V594" t="str" cm="1">
        <f t="array" ref="V594">_xlfn.IFS(U594&lt;0.25,"shallow condution",
U594&lt;0.5,"transition",
U594&lt;1,"conduction",
U594&lt;1.5,"transition",U594&lt;3,"keyholeⅠ",3&lt;=U594,"keyhole Ⅱ"
)</f>
        <v>shallow condution</v>
      </c>
      <c r="X594">
        <f t="shared" si="31"/>
        <v>5.5555555555555554</v>
      </c>
    </row>
    <row r="595" spans="1:24">
      <c r="A595" s="2" t="s">
        <v>29</v>
      </c>
      <c r="B595" s="4">
        <v>350</v>
      </c>
      <c r="C595" s="4">
        <v>600</v>
      </c>
      <c r="D595" s="4">
        <v>19.25</v>
      </c>
      <c r="E595" s="4">
        <v>35.200000000000003</v>
      </c>
      <c r="F595" s="4">
        <v>858</v>
      </c>
      <c r="G595" s="16" t="s">
        <v>102</v>
      </c>
      <c r="H595" s="4">
        <v>0.13400000000000001</v>
      </c>
      <c r="I595" s="4">
        <v>174</v>
      </c>
      <c r="J595" s="4">
        <v>3422</v>
      </c>
      <c r="K595" s="4">
        <v>5555</v>
      </c>
      <c r="L595" s="4">
        <v>0.75</v>
      </c>
      <c r="M595" s="4">
        <v>150</v>
      </c>
      <c r="N595" s="5">
        <v>24</v>
      </c>
      <c r="Q595" s="1">
        <f t="shared" si="29"/>
        <v>149.57264957264957</v>
      </c>
      <c r="R595" t="str" cm="1">
        <f t="array" ref="R595">_xlfn.IFS(Q595&lt;42.7, "low",
Q595&lt;85.4,"medium low",
Q595&lt;128,"medium high",
Q595&gt;=128,"high"
)</f>
        <v>high</v>
      </c>
      <c r="S595" t="str" cm="1">
        <f t="array" ref="S595">_xlfn.IFS(J595&lt;700,"low",J595&lt;1600,"medium low",J595&lt;2200,"medium high",J595&gt;=2200,"high")</f>
        <v>high</v>
      </c>
      <c r="T595" t="str" cm="1">
        <f t="array" ref="T595">_xlfn.IFS(
J595&lt;630,"Low",
J595&lt;1287,"Medium",
J595&lt;1495,"Intermediate",
J595&lt;1668,"Moderately",
J595&lt;1843,"Transition",
J595&lt;2477,"High",
J595&lt;2996,"Refractory I",
TRUE,"Refractory II"
)</f>
        <v>Refractory II</v>
      </c>
      <c r="U595">
        <f t="shared" si="30"/>
        <v>0.16</v>
      </c>
      <c r="V595" t="str" cm="1">
        <f t="array" ref="V595">_xlfn.IFS(U595&lt;0.25,"shallow condution",
U595&lt;0.5,"transition",
U595&lt;1,"conduction",
U595&lt;1.5,"transition",U595&lt;3,"keyholeⅠ",3&lt;=U595,"keyhole Ⅱ"
)</f>
        <v>shallow condution</v>
      </c>
      <c r="X595">
        <f t="shared" si="31"/>
        <v>6.25</v>
      </c>
    </row>
    <row r="596" spans="1:24">
      <c r="A596" s="2" t="s">
        <v>29</v>
      </c>
      <c r="B596" s="4">
        <v>350</v>
      </c>
      <c r="C596" s="4">
        <v>800</v>
      </c>
      <c r="D596" s="4">
        <v>19.25</v>
      </c>
      <c r="E596" s="4">
        <v>35.200000000000003</v>
      </c>
      <c r="F596" s="4">
        <v>858</v>
      </c>
      <c r="G596" s="16" t="s">
        <v>102</v>
      </c>
      <c r="H596" s="4">
        <v>0.13400000000000001</v>
      </c>
      <c r="I596" s="4">
        <v>174</v>
      </c>
      <c r="J596" s="4">
        <v>3422</v>
      </c>
      <c r="K596" s="4">
        <v>5555</v>
      </c>
      <c r="L596" s="4">
        <v>0.75</v>
      </c>
      <c r="M596" s="4">
        <v>138</v>
      </c>
      <c r="N596" s="5">
        <v>20</v>
      </c>
      <c r="Q596" s="1">
        <f t="shared" si="29"/>
        <v>112.17948717948718</v>
      </c>
      <c r="R596" t="str" cm="1">
        <f t="array" ref="R596">_xlfn.IFS(Q596&lt;42.7, "low",
Q596&lt;85.4,"medium low",
Q596&lt;128,"medium high",
Q596&gt;=128,"high"
)</f>
        <v>medium high</v>
      </c>
      <c r="S596" t="str" cm="1">
        <f t="array" ref="S596">_xlfn.IFS(J596&lt;700,"low",J596&lt;1600,"medium low",J596&lt;2200,"medium high",J596&gt;=2200,"high")</f>
        <v>high</v>
      </c>
      <c r="T596" t="str" cm="1">
        <f t="array" ref="T596">_xlfn.IFS(
J596&lt;630,"Low",
J596&lt;1287,"Medium",
J596&lt;1495,"Intermediate",
J596&lt;1668,"Moderately",
J596&lt;1843,"Transition",
J596&lt;2477,"High",
J596&lt;2996,"Refractory I",
TRUE,"Refractory II"
)</f>
        <v>Refractory II</v>
      </c>
      <c r="U596">
        <f t="shared" si="30"/>
        <v>0.14492753623188406</v>
      </c>
      <c r="V596" t="str" cm="1">
        <f t="array" ref="V596">_xlfn.IFS(U596&lt;0.25,"shallow condution",
U596&lt;0.5,"transition",
U596&lt;1,"conduction",
U596&lt;1.5,"transition",U596&lt;3,"keyholeⅠ",3&lt;=U596,"keyhole Ⅱ"
)</f>
        <v>shallow condution</v>
      </c>
      <c r="X596">
        <f t="shared" si="31"/>
        <v>6.9</v>
      </c>
    </row>
    <row r="597" spans="1:24">
      <c r="A597" s="2" t="s">
        <v>29</v>
      </c>
      <c r="B597" s="4">
        <v>350</v>
      </c>
      <c r="C597" s="4">
        <v>1000</v>
      </c>
      <c r="D597" s="4">
        <v>19.25</v>
      </c>
      <c r="E597" s="4">
        <v>35.200000000000003</v>
      </c>
      <c r="F597" s="4">
        <v>858</v>
      </c>
      <c r="G597" s="16" t="s">
        <v>102</v>
      </c>
      <c r="H597" s="4">
        <v>0.13400000000000001</v>
      </c>
      <c r="I597" s="4">
        <v>174</v>
      </c>
      <c r="J597" s="4">
        <v>3422</v>
      </c>
      <c r="K597" s="4">
        <v>5555</v>
      </c>
      <c r="L597" s="4">
        <v>0.75</v>
      </c>
      <c r="M597" s="4">
        <v>126</v>
      </c>
      <c r="N597" s="5">
        <v>22</v>
      </c>
      <c r="Q597" s="1">
        <f t="shared" si="29"/>
        <v>89.743589743589737</v>
      </c>
      <c r="R597" t="str" cm="1">
        <f t="array" ref="R597">_xlfn.IFS(Q597&lt;42.7, "low",
Q597&lt;85.4,"medium low",
Q597&lt;128,"medium high",
Q597&gt;=128,"high"
)</f>
        <v>medium high</v>
      </c>
      <c r="S597" t="str" cm="1">
        <f t="array" ref="S597">_xlfn.IFS(J597&lt;700,"low",J597&lt;1600,"medium low",J597&lt;2200,"medium high",J597&gt;=2200,"high")</f>
        <v>high</v>
      </c>
      <c r="T597" t="str" cm="1">
        <f t="array" ref="T597">_xlfn.IFS(
J597&lt;630,"Low",
J597&lt;1287,"Medium",
J597&lt;1495,"Intermediate",
J597&lt;1668,"Moderately",
J597&lt;1843,"Transition",
J597&lt;2477,"High",
J597&lt;2996,"Refractory I",
TRUE,"Refractory II"
)</f>
        <v>Refractory II</v>
      </c>
      <c r="U597">
        <f t="shared" si="30"/>
        <v>0.17460317460317459</v>
      </c>
      <c r="V597" t="str" cm="1">
        <f t="array" ref="V597">_xlfn.IFS(U597&lt;0.25,"shallow condution",
U597&lt;0.5,"transition",
U597&lt;1,"conduction",
U597&lt;1.5,"transition",U597&lt;3,"keyholeⅠ",3&lt;=U597,"keyhole Ⅱ"
)</f>
        <v>shallow condution</v>
      </c>
      <c r="X597">
        <f t="shared" si="31"/>
        <v>5.7272727272727275</v>
      </c>
    </row>
    <row r="598" spans="1:24">
      <c r="A598" s="2" t="s">
        <v>29</v>
      </c>
      <c r="B598" s="4">
        <v>350</v>
      </c>
      <c r="C598" s="4">
        <v>1200</v>
      </c>
      <c r="D598" s="4">
        <v>19.25</v>
      </c>
      <c r="E598" s="4">
        <v>35.200000000000003</v>
      </c>
      <c r="F598" s="4">
        <v>858</v>
      </c>
      <c r="G598" s="16" t="s">
        <v>102</v>
      </c>
      <c r="H598" s="4">
        <v>0.13400000000000001</v>
      </c>
      <c r="I598" s="4">
        <v>174</v>
      </c>
      <c r="J598" s="4">
        <v>3422</v>
      </c>
      <c r="K598" s="4">
        <v>5555</v>
      </c>
      <c r="L598" s="4">
        <v>0.75</v>
      </c>
      <c r="M598" s="4">
        <v>109.8</v>
      </c>
      <c r="N598" s="5">
        <v>21</v>
      </c>
      <c r="Q598" s="1">
        <f t="shared" si="29"/>
        <v>74.786324786324784</v>
      </c>
      <c r="R598" t="str" cm="1">
        <f t="array" ref="R598">_xlfn.IFS(Q598&lt;42.7, "low",
Q598&lt;85.4,"medium low",
Q598&lt;128,"medium high",
Q598&gt;=128,"high"
)</f>
        <v>medium low</v>
      </c>
      <c r="S598" t="str" cm="1">
        <f t="array" ref="S598">_xlfn.IFS(J598&lt;700,"low",J598&lt;1600,"medium low",J598&lt;2200,"medium high",J598&gt;=2200,"high")</f>
        <v>high</v>
      </c>
      <c r="T598" t="str" cm="1">
        <f t="array" ref="T598">_xlfn.IFS(
J598&lt;630,"Low",
J598&lt;1287,"Medium",
J598&lt;1495,"Intermediate",
J598&lt;1668,"Moderately",
J598&lt;1843,"Transition",
J598&lt;2477,"High",
J598&lt;2996,"Refractory I",
TRUE,"Refractory II"
)</f>
        <v>Refractory II</v>
      </c>
      <c r="U598">
        <f t="shared" si="30"/>
        <v>0.19125683060109291</v>
      </c>
      <c r="V598" t="str" cm="1">
        <f t="array" ref="V598">_xlfn.IFS(U598&lt;0.25,"shallow condution",
U598&lt;0.5,"transition",
U598&lt;1,"conduction",
U598&lt;1.5,"transition",U598&lt;3,"keyholeⅠ",3&lt;=U598,"keyhole Ⅱ"
)</f>
        <v>shallow condution</v>
      </c>
      <c r="X598">
        <f t="shared" si="31"/>
        <v>5.2285714285714286</v>
      </c>
    </row>
    <row r="599" spans="1:24">
      <c r="A599" s="2" t="s">
        <v>29</v>
      </c>
      <c r="B599" s="4">
        <v>350</v>
      </c>
      <c r="C599" s="4">
        <v>1600</v>
      </c>
      <c r="D599" s="4">
        <v>19.25</v>
      </c>
      <c r="E599" s="4">
        <v>35.200000000000003</v>
      </c>
      <c r="F599" s="4">
        <v>858</v>
      </c>
      <c r="G599" s="16" t="s">
        <v>102</v>
      </c>
      <c r="H599" s="4">
        <v>0.13400000000000001</v>
      </c>
      <c r="I599" s="4">
        <v>174</v>
      </c>
      <c r="J599" s="4">
        <v>3422</v>
      </c>
      <c r="K599" s="4">
        <v>5555</v>
      </c>
      <c r="L599" s="4">
        <v>0.75</v>
      </c>
      <c r="M599" s="4">
        <v>87</v>
      </c>
      <c r="N599" s="5">
        <v>26</v>
      </c>
      <c r="Q599" s="1">
        <f t="shared" si="29"/>
        <v>56.089743589743591</v>
      </c>
      <c r="R599" t="str" cm="1">
        <f t="array" ref="R599">_xlfn.IFS(Q599&lt;42.7, "low",
Q599&lt;85.4,"medium low",
Q599&lt;128,"medium high",
Q599&gt;=128,"high"
)</f>
        <v>medium low</v>
      </c>
      <c r="S599" t="str" cm="1">
        <f t="array" ref="S599">_xlfn.IFS(J599&lt;700,"low",J599&lt;1600,"medium low",J599&lt;2200,"medium high",J599&gt;=2200,"high")</f>
        <v>high</v>
      </c>
      <c r="T599" t="str" cm="1">
        <f t="array" ref="T599">_xlfn.IFS(
J599&lt;630,"Low",
J599&lt;1287,"Medium",
J599&lt;1495,"Intermediate",
J599&lt;1668,"Moderately",
J599&lt;1843,"Transition",
J599&lt;2477,"High",
J599&lt;2996,"Refractory I",
TRUE,"Refractory II"
)</f>
        <v>Refractory II</v>
      </c>
      <c r="U599">
        <f t="shared" si="30"/>
        <v>0.2988505747126437</v>
      </c>
      <c r="V599" t="str" cm="1">
        <f t="array" ref="V599">_xlfn.IFS(U599&lt;0.25,"shallow condution",
U599&lt;0.5,"transition",
U599&lt;1,"conduction",
U599&lt;1.5,"transition",U599&lt;3,"keyholeⅠ",3&lt;=U599,"keyhole Ⅱ"
)</f>
        <v>transition</v>
      </c>
      <c r="X599">
        <f t="shared" si="31"/>
        <v>3.3461538461538463</v>
      </c>
    </row>
    <row r="600" spans="1:24">
      <c r="A600" s="2" t="s">
        <v>29</v>
      </c>
      <c r="B600" s="4">
        <v>350</v>
      </c>
      <c r="C600" s="4">
        <v>2000</v>
      </c>
      <c r="D600" s="4">
        <v>19.25</v>
      </c>
      <c r="E600" s="4">
        <v>35.200000000000003</v>
      </c>
      <c r="F600" s="4">
        <v>858</v>
      </c>
      <c r="G600" s="16" t="s">
        <v>102</v>
      </c>
      <c r="H600" s="4">
        <v>0.13400000000000001</v>
      </c>
      <c r="I600" s="4">
        <v>174</v>
      </c>
      <c r="J600" s="4">
        <v>3422</v>
      </c>
      <c r="K600" s="4">
        <v>5555</v>
      </c>
      <c r="L600" s="4">
        <v>0.75</v>
      </c>
      <c r="M600" s="4">
        <v>98</v>
      </c>
      <c r="N600" s="5">
        <v>21</v>
      </c>
      <c r="Q600" s="1">
        <f t="shared" si="29"/>
        <v>44.871794871794869</v>
      </c>
      <c r="R600" t="str" cm="1">
        <f t="array" ref="R600">_xlfn.IFS(Q600&lt;42.7, "low",
Q600&lt;85.4,"medium low",
Q600&lt;128,"medium high",
Q600&gt;=128,"high"
)</f>
        <v>medium low</v>
      </c>
      <c r="S600" t="str" cm="1">
        <f t="array" ref="S600">_xlfn.IFS(J600&lt;700,"low",J600&lt;1600,"medium low",J600&lt;2200,"medium high",J600&gt;=2200,"high")</f>
        <v>high</v>
      </c>
      <c r="T600" t="str" cm="1">
        <f t="array" ref="T600">_xlfn.IFS(
J600&lt;630,"Low",
J600&lt;1287,"Medium",
J600&lt;1495,"Intermediate",
J600&lt;1668,"Moderately",
J600&lt;1843,"Transition",
J600&lt;2477,"High",
J600&lt;2996,"Refractory I",
TRUE,"Refractory II"
)</f>
        <v>Refractory II</v>
      </c>
      <c r="U600">
        <f t="shared" si="30"/>
        <v>0.21428571428571427</v>
      </c>
      <c r="V600" t="str" cm="1">
        <f t="array" ref="V600">_xlfn.IFS(U600&lt;0.25,"shallow condution",
U600&lt;0.5,"transition",
U600&lt;1,"conduction",
U600&lt;1.5,"transition",U600&lt;3,"keyholeⅠ",3&lt;=U600,"keyhole Ⅱ"
)</f>
        <v>shallow condution</v>
      </c>
      <c r="X600">
        <f t="shared" si="31"/>
        <v>4.666666666666667</v>
      </c>
    </row>
    <row r="601" spans="1:24">
      <c r="A601" s="2" t="s">
        <v>29</v>
      </c>
      <c r="B601" s="4">
        <v>350</v>
      </c>
      <c r="C601" s="4">
        <v>2400</v>
      </c>
      <c r="D601" s="4">
        <v>19.25</v>
      </c>
      <c r="E601" s="4">
        <v>35.200000000000003</v>
      </c>
      <c r="F601" s="4">
        <v>858</v>
      </c>
      <c r="G601" s="16" t="s">
        <v>102</v>
      </c>
      <c r="H601" s="4">
        <v>0.13400000000000001</v>
      </c>
      <c r="I601" s="4">
        <v>174</v>
      </c>
      <c r="J601" s="4">
        <v>3422</v>
      </c>
      <c r="K601" s="4">
        <v>5555</v>
      </c>
      <c r="L601" s="4">
        <v>0.75</v>
      </c>
      <c r="M601" s="4">
        <v>102</v>
      </c>
      <c r="N601" s="5">
        <v>13.9</v>
      </c>
      <c r="Q601" s="1">
        <f t="shared" si="29"/>
        <v>37.393162393162392</v>
      </c>
      <c r="R601" t="str" cm="1">
        <f t="array" ref="R601">_xlfn.IFS(Q601&lt;42.7, "low",
Q601&lt;85.4,"medium low",
Q601&lt;128,"medium high",
Q601&gt;=128,"high"
)</f>
        <v>low</v>
      </c>
      <c r="S601" t="str" cm="1">
        <f t="array" ref="S601">_xlfn.IFS(J601&lt;700,"low",J601&lt;1600,"medium low",J601&lt;2200,"medium high",J601&gt;=2200,"high")</f>
        <v>high</v>
      </c>
      <c r="T601" t="str" cm="1">
        <f t="array" ref="T601">_xlfn.IFS(
J601&lt;630,"Low",
J601&lt;1287,"Medium",
J601&lt;1495,"Intermediate",
J601&lt;1668,"Moderately",
J601&lt;1843,"Transition",
J601&lt;2477,"High",
J601&lt;2996,"Refractory I",
TRUE,"Refractory II"
)</f>
        <v>Refractory II</v>
      </c>
      <c r="U601">
        <f t="shared" si="30"/>
        <v>0.13627450980392158</v>
      </c>
      <c r="V601" t="str" cm="1">
        <f t="array" ref="V601">_xlfn.IFS(U601&lt;0.25,"shallow condution",
U601&lt;0.5,"transition",
U601&lt;1,"conduction",
U601&lt;1.5,"transition",U601&lt;3,"keyholeⅠ",3&lt;=U601,"keyhole Ⅱ"
)</f>
        <v>shallow condution</v>
      </c>
      <c r="X601">
        <f t="shared" si="31"/>
        <v>7.3381294964028774</v>
      </c>
    </row>
    <row r="602" spans="1:24">
      <c r="A602" s="2" t="s">
        <v>29</v>
      </c>
      <c r="B602" s="4">
        <v>100</v>
      </c>
      <c r="C602" s="4">
        <v>300</v>
      </c>
      <c r="D602" s="4">
        <v>19.25</v>
      </c>
      <c r="E602" s="4">
        <v>35.200000000000003</v>
      </c>
      <c r="F602" s="4">
        <v>858</v>
      </c>
      <c r="G602" s="16" t="s">
        <v>102</v>
      </c>
      <c r="H602" s="4">
        <v>0.13400000000000001</v>
      </c>
      <c r="I602" s="4">
        <v>174</v>
      </c>
      <c r="J602" s="4">
        <v>3422</v>
      </c>
      <c r="K602" s="4">
        <v>5555</v>
      </c>
      <c r="L602" s="4">
        <v>0.75</v>
      </c>
      <c r="M602" s="4">
        <v>112.48</v>
      </c>
      <c r="N602" s="5">
        <v>39.35</v>
      </c>
      <c r="Q602" s="1">
        <f t="shared" si="29"/>
        <v>85.470085470085465</v>
      </c>
      <c r="R602" t="str" cm="1">
        <f t="array" ref="R602">_xlfn.IFS(Q602&lt;42.7, "low",
Q602&lt;85.4,"medium low",
Q602&lt;128,"medium high",
Q602&gt;=128,"high"
)</f>
        <v>medium high</v>
      </c>
      <c r="S602" t="str" cm="1">
        <f t="array" ref="S602">_xlfn.IFS(J602&lt;700,"low",J602&lt;1600,"medium low",J602&lt;2200,"medium high",J602&gt;=2200,"high")</f>
        <v>high</v>
      </c>
      <c r="T602" t="str" cm="1">
        <f t="array" ref="T602">_xlfn.IFS(
J602&lt;630,"Low",
J602&lt;1287,"Medium",
J602&lt;1495,"Intermediate",
J602&lt;1668,"Moderately",
J602&lt;1843,"Transition",
J602&lt;2477,"High",
J602&lt;2996,"Refractory I",
TRUE,"Refractory II"
)</f>
        <v>Refractory II</v>
      </c>
      <c r="U602">
        <f t="shared" si="30"/>
        <v>0.34983997155049784</v>
      </c>
      <c r="V602" t="str" cm="1">
        <f t="array" ref="V602">_xlfn.IFS(U602&lt;0.25,"shallow condution",
U602&lt;0.5,"transition",
U602&lt;1,"conduction",
U602&lt;1.5,"transition",U602&lt;3,"keyholeⅠ",3&lt;=U602,"keyhole Ⅱ"
)</f>
        <v>transition</v>
      </c>
      <c r="X602">
        <f t="shared" si="31"/>
        <v>2.8584498094027952</v>
      </c>
    </row>
    <row r="603" spans="1:24">
      <c r="A603" s="2" t="s">
        <v>29</v>
      </c>
      <c r="B603" s="4">
        <v>150</v>
      </c>
      <c r="C603" s="4">
        <v>300</v>
      </c>
      <c r="D603" s="4">
        <v>19.25</v>
      </c>
      <c r="E603" s="4">
        <v>35.200000000000003</v>
      </c>
      <c r="F603" s="4">
        <v>858</v>
      </c>
      <c r="G603" s="16" t="s">
        <v>102</v>
      </c>
      <c r="H603" s="4">
        <v>0.13400000000000001</v>
      </c>
      <c r="I603" s="4">
        <v>174</v>
      </c>
      <c r="J603" s="4">
        <v>3422</v>
      </c>
      <c r="K603" s="4">
        <v>5555</v>
      </c>
      <c r="L603" s="4">
        <v>0.75</v>
      </c>
      <c r="M603" s="4">
        <v>202.24</v>
      </c>
      <c r="N603" s="5">
        <v>103.27</v>
      </c>
      <c r="Q603" s="1">
        <f t="shared" si="29"/>
        <v>128.2051282051282</v>
      </c>
      <c r="R603" t="str" cm="1">
        <f t="array" ref="R603">_xlfn.IFS(Q603&lt;42.7, "low",
Q603&lt;85.4,"medium low",
Q603&lt;128,"medium high",
Q603&gt;=128,"high"
)</f>
        <v>high</v>
      </c>
      <c r="S603" t="str" cm="1">
        <f t="array" ref="S603">_xlfn.IFS(J603&lt;700,"low",J603&lt;1600,"medium low",J603&lt;2200,"medium high",J603&gt;=2200,"high")</f>
        <v>high</v>
      </c>
      <c r="T603" t="str" cm="1">
        <f t="array" ref="T603">_xlfn.IFS(
J603&lt;630,"Low",
J603&lt;1287,"Medium",
J603&lt;1495,"Intermediate",
J603&lt;1668,"Moderately",
J603&lt;1843,"Transition",
J603&lt;2477,"High",
J603&lt;2996,"Refractory I",
TRUE,"Refractory II"
)</f>
        <v>Refractory II</v>
      </c>
      <c r="U603">
        <f t="shared" si="30"/>
        <v>0.51063093354430378</v>
      </c>
      <c r="V603" t="str" cm="1">
        <f t="array" ref="V603">_xlfn.IFS(U603&lt;0.25,"shallow condution",
U603&lt;0.5,"transition",
U603&lt;1,"conduction",
U603&lt;1.5,"transition",U603&lt;3,"keyholeⅠ",3&lt;=U603,"keyhole Ⅱ"
)</f>
        <v>conduction</v>
      </c>
      <c r="X603">
        <f t="shared" si="31"/>
        <v>1.9583615764500826</v>
      </c>
    </row>
    <row r="604" spans="1:24">
      <c r="A604" s="2" t="s">
        <v>29</v>
      </c>
      <c r="B604" s="4">
        <v>200</v>
      </c>
      <c r="C604" s="4">
        <v>300</v>
      </c>
      <c r="D604" s="4">
        <v>19.25</v>
      </c>
      <c r="E604" s="4">
        <v>35.200000000000003</v>
      </c>
      <c r="F604" s="4">
        <v>858</v>
      </c>
      <c r="G604" s="16" t="s">
        <v>102</v>
      </c>
      <c r="H604" s="4">
        <v>0.13400000000000001</v>
      </c>
      <c r="I604" s="4">
        <v>174</v>
      </c>
      <c r="J604" s="4">
        <v>3422</v>
      </c>
      <c r="K604" s="4">
        <v>5555</v>
      </c>
      <c r="L604" s="4">
        <v>0.75</v>
      </c>
      <c r="M604" s="4">
        <v>210.25</v>
      </c>
      <c r="N604" s="5">
        <v>83.36</v>
      </c>
      <c r="Q604" s="1">
        <f t="shared" si="29"/>
        <v>170.94017094017093</v>
      </c>
      <c r="R604" t="str" cm="1">
        <f t="array" ref="R604">_xlfn.IFS(Q604&lt;42.7, "low",
Q604&lt;85.4,"medium low",
Q604&lt;128,"medium high",
Q604&gt;=128,"high"
)</f>
        <v>high</v>
      </c>
      <c r="S604" t="str" cm="1">
        <f t="array" ref="S604">_xlfn.IFS(J604&lt;700,"low",J604&lt;1600,"medium low",J604&lt;2200,"medium high",J604&gt;=2200,"high")</f>
        <v>high</v>
      </c>
      <c r="T604" t="str" cm="1">
        <f t="array" ref="T604">_xlfn.IFS(
J604&lt;630,"Low",
J604&lt;1287,"Medium",
J604&lt;1495,"Intermediate",
J604&lt;1668,"Moderately",
J604&lt;1843,"Transition",
J604&lt;2477,"High",
J604&lt;2996,"Refractory I",
TRUE,"Refractory II"
)</f>
        <v>Refractory II</v>
      </c>
      <c r="U604">
        <f t="shared" si="30"/>
        <v>0.39648038049940548</v>
      </c>
      <c r="V604" t="str" cm="1">
        <f t="array" ref="V604">_xlfn.IFS(U604&lt;0.25,"shallow condution",
U604&lt;0.5,"transition",
U604&lt;1,"conduction",
U604&lt;1.5,"transition",U604&lt;3,"keyholeⅠ",3&lt;=U604,"keyhole Ⅱ"
)</f>
        <v>transition</v>
      </c>
      <c r="X604">
        <f t="shared" si="31"/>
        <v>2.5221928982725528</v>
      </c>
    </row>
    <row r="605" spans="1:24">
      <c r="A605" s="2" t="s">
        <v>29</v>
      </c>
      <c r="B605" s="4">
        <v>250</v>
      </c>
      <c r="C605" s="4">
        <v>300</v>
      </c>
      <c r="D605" s="4">
        <v>19.25</v>
      </c>
      <c r="E605" s="4">
        <v>35.200000000000003</v>
      </c>
      <c r="F605" s="4">
        <v>858</v>
      </c>
      <c r="G605" s="16" t="s">
        <v>102</v>
      </c>
      <c r="H605" s="4">
        <v>0.13400000000000001</v>
      </c>
      <c r="I605" s="4">
        <v>174</v>
      </c>
      <c r="J605" s="4">
        <v>3422</v>
      </c>
      <c r="K605" s="4">
        <v>5555</v>
      </c>
      <c r="L605" s="4">
        <v>0.75</v>
      </c>
      <c r="M605" s="4">
        <v>275.89999999999998</v>
      </c>
      <c r="N605" s="5">
        <v>190.5</v>
      </c>
      <c r="Q605" s="1">
        <f t="shared" si="29"/>
        <v>213.67521367521368</v>
      </c>
      <c r="R605" t="str" cm="1">
        <f t="array" ref="R605">_xlfn.IFS(Q605&lt;42.7, "low",
Q605&lt;85.4,"medium low",
Q605&lt;128,"medium high",
Q605&gt;=128,"high"
)</f>
        <v>high</v>
      </c>
      <c r="S605" t="str" cm="1">
        <f t="array" ref="S605">_xlfn.IFS(J605&lt;700,"low",J605&lt;1600,"medium low",J605&lt;2200,"medium high",J605&gt;=2200,"high")</f>
        <v>high</v>
      </c>
      <c r="T605" t="str" cm="1">
        <f t="array" ref="T605">_xlfn.IFS(
J605&lt;630,"Low",
J605&lt;1287,"Medium",
J605&lt;1495,"Intermediate",
J605&lt;1668,"Moderately",
J605&lt;1843,"Transition",
J605&lt;2477,"High",
J605&lt;2996,"Refractory I",
TRUE,"Refractory II"
)</f>
        <v>Refractory II</v>
      </c>
      <c r="U605">
        <f t="shared" si="30"/>
        <v>0.69046756071040238</v>
      </c>
      <c r="V605" t="str" cm="1">
        <f t="array" ref="V605">_xlfn.IFS(U605&lt;0.25,"shallow condution",
U605&lt;0.5,"transition",
U605&lt;1,"conduction",
U605&lt;1.5,"transition",U605&lt;3,"keyholeⅠ",3&lt;=U605,"keyhole Ⅱ"
)</f>
        <v>conduction</v>
      </c>
      <c r="X605">
        <f t="shared" si="31"/>
        <v>1.448293963254593</v>
      </c>
    </row>
    <row r="606" spans="1:24">
      <c r="A606" s="2" t="s">
        <v>29</v>
      </c>
      <c r="B606" s="4">
        <v>300</v>
      </c>
      <c r="C606" s="4">
        <v>300</v>
      </c>
      <c r="D606" s="4">
        <v>19.25</v>
      </c>
      <c r="E606" s="4">
        <v>35.200000000000003</v>
      </c>
      <c r="F606" s="4">
        <v>858</v>
      </c>
      <c r="G606" s="16" t="s">
        <v>102</v>
      </c>
      <c r="H606" s="4">
        <v>0.13400000000000001</v>
      </c>
      <c r="I606" s="4">
        <v>174</v>
      </c>
      <c r="J606" s="4">
        <v>3422</v>
      </c>
      <c r="K606" s="4">
        <v>5555</v>
      </c>
      <c r="L606" s="4">
        <v>0.75</v>
      </c>
      <c r="M606" s="4">
        <v>274.7</v>
      </c>
      <c r="N606" s="5">
        <v>185.22</v>
      </c>
      <c r="Q606" s="1">
        <f t="shared" si="29"/>
        <v>256.41025641025641</v>
      </c>
      <c r="R606" t="str" cm="1">
        <f t="array" ref="R606">_xlfn.IFS(Q606&lt;42.7, "low",
Q606&lt;85.4,"medium low",
Q606&lt;128,"medium high",
Q606&gt;=128,"high"
)</f>
        <v>high</v>
      </c>
      <c r="S606" t="str" cm="1">
        <f t="array" ref="S606">_xlfn.IFS(J606&lt;700,"low",J606&lt;1600,"medium low",J606&lt;2200,"medium high",J606&gt;=2200,"high")</f>
        <v>high</v>
      </c>
      <c r="T606" t="str" cm="1">
        <f t="array" ref="T606">_xlfn.IFS(
J606&lt;630,"Low",
J606&lt;1287,"Medium",
J606&lt;1495,"Intermediate",
J606&lt;1668,"Moderately",
J606&lt;1843,"Transition",
J606&lt;2477,"High",
J606&lt;2996,"Refractory I",
TRUE,"Refractory II"
)</f>
        <v>Refractory II</v>
      </c>
      <c r="U606">
        <f t="shared" si="30"/>
        <v>0.6742628321805606</v>
      </c>
      <c r="V606" t="str" cm="1">
        <f t="array" ref="V606">_xlfn.IFS(U606&lt;0.25,"shallow condution",
U606&lt;0.5,"transition",
U606&lt;1,"conduction",
U606&lt;1.5,"transition",U606&lt;3,"keyholeⅠ",3&lt;=U606,"keyhole Ⅱ"
)</f>
        <v>conduction</v>
      </c>
      <c r="X606">
        <f t="shared" si="31"/>
        <v>1.4831011769787279</v>
      </c>
    </row>
    <row r="607" spans="1:24">
      <c r="A607" s="2" t="s">
        <v>29</v>
      </c>
      <c r="B607" s="4">
        <v>100</v>
      </c>
      <c r="C607" s="4">
        <v>600</v>
      </c>
      <c r="D607" s="4">
        <v>19.25</v>
      </c>
      <c r="E607" s="4">
        <v>35.200000000000003</v>
      </c>
      <c r="F607" s="4">
        <v>858</v>
      </c>
      <c r="G607" s="16" t="s">
        <v>102</v>
      </c>
      <c r="H607" s="4">
        <v>0.13400000000000001</v>
      </c>
      <c r="I607" s="4">
        <v>174</v>
      </c>
      <c r="J607" s="4">
        <v>3422</v>
      </c>
      <c r="K607" s="4">
        <v>5555</v>
      </c>
      <c r="L607" s="4">
        <v>0.75</v>
      </c>
      <c r="M607" s="4">
        <v>60.63</v>
      </c>
      <c r="N607" s="5">
        <v>21.48</v>
      </c>
      <c r="Q607" s="1">
        <f t="shared" si="29"/>
        <v>42.735042735042732</v>
      </c>
      <c r="R607" t="str" cm="1">
        <f t="array" ref="R607">_xlfn.IFS(Q607&lt;42.7, "low",
Q607&lt;85.4,"medium low",
Q607&lt;128,"medium high",
Q607&gt;=128,"high"
)</f>
        <v>medium low</v>
      </c>
      <c r="S607" t="str" cm="1">
        <f t="array" ref="S607">_xlfn.IFS(J607&lt;700,"low",J607&lt;1600,"medium low",J607&lt;2200,"medium high",J607&gt;=2200,"high")</f>
        <v>high</v>
      </c>
      <c r="T607" t="str" cm="1">
        <f t="array" ref="T607">_xlfn.IFS(
J607&lt;630,"Low",
J607&lt;1287,"Medium",
J607&lt;1495,"Intermediate",
J607&lt;1668,"Moderately",
J607&lt;1843,"Transition",
J607&lt;2477,"High",
J607&lt;2996,"Refractory I",
TRUE,"Refractory II"
)</f>
        <v>Refractory II</v>
      </c>
      <c r="U607">
        <f t="shared" si="30"/>
        <v>0.35428005937654627</v>
      </c>
      <c r="V607" t="str" cm="1">
        <f t="array" ref="V607">_xlfn.IFS(U607&lt;0.25,"shallow condution",
U607&lt;0.5,"transition",
U607&lt;1,"conduction",
U607&lt;1.5,"transition",U607&lt;3,"keyholeⅠ",3&lt;=U607,"keyhole Ⅱ"
)</f>
        <v>transition</v>
      </c>
      <c r="X607">
        <f t="shared" si="31"/>
        <v>2.8226256983240225</v>
      </c>
    </row>
    <row r="608" spans="1:24">
      <c r="A608" s="2" t="s">
        <v>29</v>
      </c>
      <c r="B608" s="4">
        <v>150</v>
      </c>
      <c r="C608" s="4">
        <v>600</v>
      </c>
      <c r="D608" s="4">
        <v>19.25</v>
      </c>
      <c r="E608" s="4">
        <v>35.200000000000003</v>
      </c>
      <c r="F608" s="4">
        <v>858</v>
      </c>
      <c r="G608" s="16" t="s">
        <v>102</v>
      </c>
      <c r="H608" s="4">
        <v>0.13400000000000001</v>
      </c>
      <c r="I608" s="4">
        <v>174</v>
      </c>
      <c r="J608" s="4">
        <v>3422</v>
      </c>
      <c r="K608" s="4">
        <v>5555</v>
      </c>
      <c r="L608" s="4">
        <v>0.75</v>
      </c>
      <c r="M608" s="4">
        <v>77.89</v>
      </c>
      <c r="N608" s="5">
        <v>23.57</v>
      </c>
      <c r="Q608" s="1">
        <f t="shared" si="29"/>
        <v>64.102564102564102</v>
      </c>
      <c r="R608" t="str" cm="1">
        <f t="array" ref="R608">_xlfn.IFS(Q608&lt;42.7, "low",
Q608&lt;85.4,"medium low",
Q608&lt;128,"medium high",
Q608&gt;=128,"high"
)</f>
        <v>medium low</v>
      </c>
      <c r="S608" t="str" cm="1">
        <f t="array" ref="S608">_xlfn.IFS(J608&lt;700,"low",J608&lt;1600,"medium low",J608&lt;2200,"medium high",J608&gt;=2200,"high")</f>
        <v>high</v>
      </c>
      <c r="T608" t="str" cm="1">
        <f t="array" ref="T608">_xlfn.IFS(
J608&lt;630,"Low",
J608&lt;1287,"Medium",
J608&lt;1495,"Intermediate",
J608&lt;1668,"Moderately",
J608&lt;1843,"Transition",
J608&lt;2477,"High",
J608&lt;2996,"Refractory I",
TRUE,"Refractory II"
)</f>
        <v>Refractory II</v>
      </c>
      <c r="U608">
        <f t="shared" si="30"/>
        <v>0.30260623956862243</v>
      </c>
      <c r="V608" t="str" cm="1">
        <f t="array" ref="V608">_xlfn.IFS(U608&lt;0.25,"shallow condution",
U608&lt;0.5,"transition",
U608&lt;1,"conduction",
U608&lt;1.5,"transition",U608&lt;3,"keyholeⅠ",3&lt;=U608,"keyhole Ⅱ"
)</f>
        <v>transition</v>
      </c>
      <c r="X608">
        <f t="shared" si="31"/>
        <v>3.3046245226983455</v>
      </c>
    </row>
    <row r="609" spans="1:24">
      <c r="A609" s="2" t="s">
        <v>29</v>
      </c>
      <c r="B609" s="4">
        <v>200</v>
      </c>
      <c r="C609" s="4">
        <v>600</v>
      </c>
      <c r="D609" s="4">
        <v>19.25</v>
      </c>
      <c r="E609" s="4">
        <v>35.200000000000003</v>
      </c>
      <c r="F609" s="4">
        <v>858</v>
      </c>
      <c r="G609" s="16" t="s">
        <v>102</v>
      </c>
      <c r="H609" s="4">
        <v>0.13400000000000001</v>
      </c>
      <c r="I609" s="4">
        <v>174</v>
      </c>
      <c r="J609" s="4">
        <v>3422</v>
      </c>
      <c r="K609" s="4">
        <v>5555</v>
      </c>
      <c r="L609" s="4">
        <v>0.75</v>
      </c>
      <c r="M609" s="4">
        <v>113.31</v>
      </c>
      <c r="N609" s="5">
        <v>36.26</v>
      </c>
      <c r="Q609" s="1">
        <f t="shared" si="29"/>
        <v>85.470085470085465</v>
      </c>
      <c r="R609" t="str" cm="1">
        <f t="array" ref="R609">_xlfn.IFS(Q609&lt;42.7, "low",
Q609&lt;85.4,"medium low",
Q609&lt;128,"medium high",
Q609&gt;=128,"high"
)</f>
        <v>medium high</v>
      </c>
      <c r="S609" t="str" cm="1">
        <f t="array" ref="S609">_xlfn.IFS(J609&lt;700,"low",J609&lt;1600,"medium low",J609&lt;2200,"medium high",J609&gt;=2200,"high")</f>
        <v>high</v>
      </c>
      <c r="T609" t="str" cm="1">
        <f t="array" ref="T609">_xlfn.IFS(
J609&lt;630,"Low",
J609&lt;1287,"Medium",
J609&lt;1495,"Intermediate",
J609&lt;1668,"Moderately",
J609&lt;1843,"Transition",
J609&lt;2477,"High",
J609&lt;2996,"Refractory I",
TRUE,"Refractory II"
)</f>
        <v>Refractory II</v>
      </c>
      <c r="U609">
        <f t="shared" si="30"/>
        <v>0.32000706027711584</v>
      </c>
      <c r="V609" t="str" cm="1">
        <f t="array" ref="V609">_xlfn.IFS(U609&lt;0.25,"shallow condution",
U609&lt;0.5,"transition",
U609&lt;1,"conduction",
U609&lt;1.5,"transition",U609&lt;3,"keyholeⅠ",3&lt;=U609,"keyhole Ⅱ"
)</f>
        <v>transition</v>
      </c>
      <c r="X609">
        <f t="shared" si="31"/>
        <v>3.1249310535024821</v>
      </c>
    </row>
    <row r="610" spans="1:24">
      <c r="A610" s="2" t="s">
        <v>29</v>
      </c>
      <c r="B610" s="4">
        <v>250</v>
      </c>
      <c r="C610" s="4">
        <v>600</v>
      </c>
      <c r="D610" s="4">
        <v>19.25</v>
      </c>
      <c r="E610" s="4">
        <v>35.200000000000003</v>
      </c>
      <c r="F610" s="4">
        <v>858</v>
      </c>
      <c r="G610" s="16" t="s">
        <v>102</v>
      </c>
      <c r="H610" s="4">
        <v>0.13400000000000001</v>
      </c>
      <c r="I610" s="4">
        <v>174</v>
      </c>
      <c r="J610" s="4">
        <v>3422</v>
      </c>
      <c r="K610" s="4">
        <v>5555</v>
      </c>
      <c r="L610" s="4">
        <v>0.75</v>
      </c>
      <c r="M610" s="4">
        <v>138</v>
      </c>
      <c r="N610" s="5">
        <v>86.61</v>
      </c>
      <c r="Q610" s="1">
        <f t="shared" si="29"/>
        <v>106.83760683760684</v>
      </c>
      <c r="R610" t="str" cm="1">
        <f t="array" ref="R610">_xlfn.IFS(Q610&lt;42.7, "low",
Q610&lt;85.4,"medium low",
Q610&lt;128,"medium high",
Q610&gt;=128,"high"
)</f>
        <v>medium high</v>
      </c>
      <c r="S610" t="str" cm="1">
        <f t="array" ref="S610">_xlfn.IFS(J610&lt;700,"low",J610&lt;1600,"medium low",J610&lt;2200,"medium high",J610&gt;=2200,"high")</f>
        <v>high</v>
      </c>
      <c r="T610" t="str" cm="1">
        <f t="array" ref="T610">_xlfn.IFS(
J610&lt;630,"Low",
J610&lt;1287,"Medium",
J610&lt;1495,"Intermediate",
J610&lt;1668,"Moderately",
J610&lt;1843,"Transition",
J610&lt;2477,"High",
J610&lt;2996,"Refractory I",
TRUE,"Refractory II"
)</f>
        <v>Refractory II</v>
      </c>
      <c r="U610">
        <f t="shared" si="30"/>
        <v>0.62760869565217392</v>
      </c>
      <c r="V610" t="str" cm="1">
        <f t="array" ref="V610">_xlfn.IFS(U610&lt;0.25,"shallow condution",
U610&lt;0.5,"transition",
U610&lt;1,"conduction",
U610&lt;1.5,"transition",U610&lt;3,"keyholeⅠ",3&lt;=U610,"keyhole Ⅱ"
)</f>
        <v>conduction</v>
      </c>
      <c r="X610">
        <f t="shared" si="31"/>
        <v>1.5933494977485279</v>
      </c>
    </row>
    <row r="611" spans="1:24">
      <c r="A611" s="2" t="s">
        <v>29</v>
      </c>
      <c r="B611" s="4">
        <v>300</v>
      </c>
      <c r="C611" s="4">
        <v>600</v>
      </c>
      <c r="D611" s="4">
        <v>19.25</v>
      </c>
      <c r="E611" s="4">
        <v>35.200000000000003</v>
      </c>
      <c r="F611" s="4">
        <v>858</v>
      </c>
      <c r="G611" s="16" t="s">
        <v>102</v>
      </c>
      <c r="H611" s="4">
        <v>0.13400000000000001</v>
      </c>
      <c r="I611" s="4">
        <v>174</v>
      </c>
      <c r="J611" s="4">
        <v>3422</v>
      </c>
      <c r="K611" s="4">
        <v>5555</v>
      </c>
      <c r="L611" s="4">
        <v>0.75</v>
      </c>
      <c r="M611" s="4">
        <v>253.25</v>
      </c>
      <c r="N611" s="5">
        <v>174.15</v>
      </c>
      <c r="Q611" s="1">
        <f t="shared" si="29"/>
        <v>128.2051282051282</v>
      </c>
      <c r="R611" t="str" cm="1">
        <f t="array" ref="R611">_xlfn.IFS(Q611&lt;42.7, "low",
Q611&lt;85.4,"medium low",
Q611&lt;128,"medium high",
Q611&gt;=128,"high"
)</f>
        <v>high</v>
      </c>
      <c r="S611" t="str" cm="1">
        <f t="array" ref="S611">_xlfn.IFS(J611&lt;700,"low",J611&lt;1600,"medium low",J611&lt;2200,"medium high",J611&gt;=2200,"high")</f>
        <v>high</v>
      </c>
      <c r="T611" t="str" cm="1">
        <f t="array" ref="T611">_xlfn.IFS(
J611&lt;630,"Low",
J611&lt;1287,"Medium",
J611&lt;1495,"Intermediate",
J611&lt;1668,"Moderately",
J611&lt;1843,"Transition",
J611&lt;2477,"High",
J611&lt;2996,"Refractory I",
TRUE,"Refractory II"
)</f>
        <v>Refractory II</v>
      </c>
      <c r="U611">
        <f t="shared" si="30"/>
        <v>0.6876604146100691</v>
      </c>
      <c r="V611" t="str" cm="1">
        <f t="array" ref="V611">_xlfn.IFS(U611&lt;0.25,"shallow condution",
U611&lt;0.5,"transition",
U611&lt;1,"conduction",
U611&lt;1.5,"transition",U611&lt;3,"keyholeⅠ",3&lt;=U611,"keyhole Ⅱ"
)</f>
        <v>conduction</v>
      </c>
      <c r="X611">
        <f t="shared" si="31"/>
        <v>1.4542061441286247</v>
      </c>
    </row>
    <row r="612" spans="1:24">
      <c r="A612" s="2" t="s">
        <v>29</v>
      </c>
      <c r="B612" s="4">
        <v>100</v>
      </c>
      <c r="C612" s="4">
        <v>900</v>
      </c>
      <c r="D612" s="4">
        <v>19.25</v>
      </c>
      <c r="E612" s="4">
        <v>35.200000000000003</v>
      </c>
      <c r="F612" s="4">
        <v>858</v>
      </c>
      <c r="G612" s="16" t="s">
        <v>102</v>
      </c>
      <c r="H612" s="4">
        <v>0.13400000000000001</v>
      </c>
      <c r="I612" s="4">
        <v>174</v>
      </c>
      <c r="J612" s="4">
        <v>3422</v>
      </c>
      <c r="K612" s="4">
        <v>5555</v>
      </c>
      <c r="L612" s="4">
        <v>0.75</v>
      </c>
      <c r="M612" s="4">
        <v>46.57</v>
      </c>
      <c r="N612" s="5">
        <v>17.32</v>
      </c>
      <c r="Q612" s="1">
        <f t="shared" si="29"/>
        <v>28.490028490028489</v>
      </c>
      <c r="R612" t="str" cm="1">
        <f t="array" ref="R612">_xlfn.IFS(Q612&lt;42.7, "low",
Q612&lt;85.4,"medium low",
Q612&lt;128,"medium high",
Q612&gt;=128,"high"
)</f>
        <v>low</v>
      </c>
      <c r="S612" t="str" cm="1">
        <f t="array" ref="S612">_xlfn.IFS(J612&lt;700,"low",J612&lt;1600,"medium low",J612&lt;2200,"medium high",J612&gt;=2200,"high")</f>
        <v>high</v>
      </c>
      <c r="T612" t="str" cm="1">
        <f t="array" ref="T612">_xlfn.IFS(
J612&lt;630,"Low",
J612&lt;1287,"Medium",
J612&lt;1495,"Intermediate",
J612&lt;1668,"Moderately",
J612&lt;1843,"Transition",
J612&lt;2477,"High",
J612&lt;2996,"Refractory I",
TRUE,"Refractory II"
)</f>
        <v>Refractory II</v>
      </c>
      <c r="U612">
        <f t="shared" si="30"/>
        <v>0.3719132488726648</v>
      </c>
      <c r="V612" t="str" cm="1">
        <f t="array" ref="V612">_xlfn.IFS(U612&lt;0.25,"shallow condution",
U612&lt;0.5,"transition",
U612&lt;1,"conduction",
U612&lt;1.5,"transition",U612&lt;3,"keyholeⅠ",3&lt;=U612,"keyhole Ⅱ"
)</f>
        <v>transition</v>
      </c>
      <c r="X612">
        <f t="shared" si="31"/>
        <v>2.6887990762124709</v>
      </c>
    </row>
    <row r="613" spans="1:24">
      <c r="A613" s="2" t="s">
        <v>29</v>
      </c>
      <c r="B613" s="4">
        <v>150</v>
      </c>
      <c r="C613" s="4">
        <v>900</v>
      </c>
      <c r="D613" s="4">
        <v>19.25</v>
      </c>
      <c r="E613" s="4">
        <v>35.200000000000003</v>
      </c>
      <c r="F613" s="4">
        <v>858</v>
      </c>
      <c r="G613" s="16" t="s">
        <v>102</v>
      </c>
      <c r="H613" s="4">
        <v>0.13400000000000001</v>
      </c>
      <c r="I613" s="4">
        <v>174</v>
      </c>
      <c r="J613" s="4">
        <v>3422</v>
      </c>
      <c r="K613" s="4">
        <v>5555</v>
      </c>
      <c r="L613" s="4">
        <v>0.75</v>
      </c>
      <c r="M613" s="4">
        <v>60.49</v>
      </c>
      <c r="N613" s="5">
        <v>22.48</v>
      </c>
      <c r="Q613" s="1">
        <f t="shared" si="29"/>
        <v>42.735042735042732</v>
      </c>
      <c r="R613" t="str" cm="1">
        <f t="array" ref="R613">_xlfn.IFS(Q613&lt;42.7, "low",
Q613&lt;85.4,"medium low",
Q613&lt;128,"medium high",
Q613&gt;=128,"high"
)</f>
        <v>medium low</v>
      </c>
      <c r="S613" t="str" cm="1">
        <f t="array" ref="S613">_xlfn.IFS(J613&lt;700,"low",J613&lt;1600,"medium low",J613&lt;2200,"medium high",J613&gt;=2200,"high")</f>
        <v>high</v>
      </c>
      <c r="T613" t="str" cm="1">
        <f t="array" ref="T613">_xlfn.IFS(
J613&lt;630,"Low",
J613&lt;1287,"Medium",
J613&lt;1495,"Intermediate",
J613&lt;1668,"Moderately",
J613&lt;1843,"Transition",
J613&lt;2477,"High",
J613&lt;2996,"Refractory I",
TRUE,"Refractory II"
)</f>
        <v>Refractory II</v>
      </c>
      <c r="U613">
        <f t="shared" si="30"/>
        <v>0.37163167465696811</v>
      </c>
      <c r="V613" t="str" cm="1">
        <f t="array" ref="V613">_xlfn.IFS(U613&lt;0.25,"shallow condution",
U613&lt;0.5,"transition",
U613&lt;1,"conduction",
U613&lt;1.5,"transition",U613&lt;3,"keyholeⅠ",3&lt;=U613,"keyhole Ⅱ"
)</f>
        <v>transition</v>
      </c>
      <c r="X613">
        <f t="shared" si="31"/>
        <v>2.6908362989323842</v>
      </c>
    </row>
    <row r="614" spans="1:24">
      <c r="A614" s="2" t="s">
        <v>29</v>
      </c>
      <c r="B614" s="4">
        <v>200</v>
      </c>
      <c r="C614" s="4">
        <v>900</v>
      </c>
      <c r="D614" s="4">
        <v>19.25</v>
      </c>
      <c r="E614" s="4">
        <v>35.200000000000003</v>
      </c>
      <c r="F614" s="4">
        <v>858</v>
      </c>
      <c r="G614" s="16" t="s">
        <v>102</v>
      </c>
      <c r="H614" s="4">
        <v>0.13400000000000001</v>
      </c>
      <c r="I614" s="4">
        <v>174</v>
      </c>
      <c r="J614" s="4">
        <v>3422</v>
      </c>
      <c r="K614" s="4">
        <v>5555</v>
      </c>
      <c r="L614" s="4">
        <v>0.75</v>
      </c>
      <c r="M614" s="4">
        <v>66.67</v>
      </c>
      <c r="N614" s="5">
        <v>34.9</v>
      </c>
      <c r="Q614" s="1">
        <f t="shared" si="29"/>
        <v>56.980056980056979</v>
      </c>
      <c r="R614" t="str" cm="1">
        <f t="array" ref="R614">_xlfn.IFS(Q614&lt;42.7, "low",
Q614&lt;85.4,"medium low",
Q614&lt;128,"medium high",
Q614&gt;=128,"high"
)</f>
        <v>medium low</v>
      </c>
      <c r="S614" t="str" cm="1">
        <f t="array" ref="S614">_xlfn.IFS(J614&lt;700,"low",J614&lt;1600,"medium low",J614&lt;2200,"medium high",J614&gt;=2200,"high")</f>
        <v>high</v>
      </c>
      <c r="T614" t="str" cm="1">
        <f t="array" ref="T614">_xlfn.IFS(
J614&lt;630,"Low",
J614&lt;1287,"Medium",
J614&lt;1495,"Intermediate",
J614&lt;1668,"Moderately",
J614&lt;1843,"Transition",
J614&lt;2477,"High",
J614&lt;2996,"Refractory I",
TRUE,"Refractory II"
)</f>
        <v>Refractory II</v>
      </c>
      <c r="U614">
        <f t="shared" si="30"/>
        <v>0.52347382630868455</v>
      </c>
      <c r="V614" t="str" cm="1">
        <f t="array" ref="V614">_xlfn.IFS(U614&lt;0.25,"shallow condution",
U614&lt;0.5,"transition",
U614&lt;1,"conduction",
U614&lt;1.5,"transition",U614&lt;3,"keyholeⅠ",3&lt;=U614,"keyhole Ⅱ"
)</f>
        <v>conduction</v>
      </c>
      <c r="X614">
        <f t="shared" si="31"/>
        <v>1.9103151862464185</v>
      </c>
    </row>
    <row r="615" spans="1:24">
      <c r="A615" s="2" t="s">
        <v>29</v>
      </c>
      <c r="B615" s="4">
        <v>250</v>
      </c>
      <c r="C615" s="4">
        <v>900</v>
      </c>
      <c r="D615" s="4">
        <v>19.25</v>
      </c>
      <c r="E615" s="4">
        <v>35.200000000000003</v>
      </c>
      <c r="F615" s="4">
        <v>858</v>
      </c>
      <c r="G615" s="16" t="s">
        <v>102</v>
      </c>
      <c r="H615" s="4">
        <v>0.13400000000000001</v>
      </c>
      <c r="I615" s="4">
        <v>174</v>
      </c>
      <c r="J615" s="4">
        <v>3422</v>
      </c>
      <c r="K615" s="4">
        <v>5555</v>
      </c>
      <c r="L615" s="4">
        <v>0.75</v>
      </c>
      <c r="M615" s="4">
        <v>89.59</v>
      </c>
      <c r="N615" s="5">
        <v>39.32</v>
      </c>
      <c r="Q615" s="1">
        <f t="shared" si="29"/>
        <v>71.225071225071218</v>
      </c>
      <c r="R615" t="str" cm="1">
        <f t="array" ref="R615">_xlfn.IFS(Q615&lt;42.7, "low",
Q615&lt;85.4,"medium low",
Q615&lt;128,"medium high",
Q615&gt;=128,"high"
)</f>
        <v>medium low</v>
      </c>
      <c r="S615" t="str" cm="1">
        <f t="array" ref="S615">_xlfn.IFS(J615&lt;700,"low",J615&lt;1600,"medium low",J615&lt;2200,"medium high",J615&gt;=2200,"high")</f>
        <v>high</v>
      </c>
      <c r="T615" t="str" cm="1">
        <f t="array" ref="T615">_xlfn.IFS(
J615&lt;630,"Low",
J615&lt;1287,"Medium",
J615&lt;1495,"Intermediate",
J615&lt;1668,"Moderately",
J615&lt;1843,"Transition",
J615&lt;2477,"High",
J615&lt;2996,"Refractory I",
TRUE,"Refractory II"
)</f>
        <v>Refractory II</v>
      </c>
      <c r="U615">
        <f t="shared" si="30"/>
        <v>0.43888826877999776</v>
      </c>
      <c r="V615" t="str" cm="1">
        <f t="array" ref="V615">_xlfn.IFS(U615&lt;0.25,"shallow condution",
U615&lt;0.5,"transition",
U615&lt;1,"conduction",
U615&lt;1.5,"transition",U615&lt;3,"keyholeⅠ",3&lt;=U615,"keyhole Ⅱ"
)</f>
        <v>transition</v>
      </c>
      <c r="X615">
        <f t="shared" si="31"/>
        <v>2.2784842319430316</v>
      </c>
    </row>
    <row r="616" spans="1:24" ht="14.45" thickBot="1">
      <c r="A616" s="3" t="s">
        <v>29</v>
      </c>
      <c r="B616" s="7">
        <v>300</v>
      </c>
      <c r="C616" s="7">
        <v>900</v>
      </c>
      <c r="D616" s="7">
        <v>19.25</v>
      </c>
      <c r="E616" s="7">
        <v>35.200000000000003</v>
      </c>
      <c r="F616" s="7">
        <v>858</v>
      </c>
      <c r="G616" s="16" t="s">
        <v>102</v>
      </c>
      <c r="H616" s="7">
        <v>0.13400000000000001</v>
      </c>
      <c r="I616" s="7">
        <v>174</v>
      </c>
      <c r="J616" s="7">
        <v>3422</v>
      </c>
      <c r="K616" s="7">
        <v>5555</v>
      </c>
      <c r="L616" s="7">
        <v>0.75</v>
      </c>
      <c r="M616" s="7">
        <v>85.74</v>
      </c>
      <c r="N616" s="15">
        <v>50.81</v>
      </c>
      <c r="Q616" s="1">
        <f t="shared" si="29"/>
        <v>85.470085470085465</v>
      </c>
      <c r="R616" t="str" cm="1">
        <f t="array" ref="R616">_xlfn.IFS(Q616&lt;42.7, "low",
Q616&lt;85.4,"medium low",
Q616&lt;128,"medium high",
Q616&gt;=128,"high"
)</f>
        <v>medium high</v>
      </c>
      <c r="S616" t="str" cm="1">
        <f t="array" ref="S616">_xlfn.IFS(J616&lt;700,"low",J616&lt;1600,"medium low",J616&lt;2200,"medium high",J616&gt;=2200,"high")</f>
        <v>high</v>
      </c>
      <c r="T616" t="str" cm="1">
        <f t="array" ref="T616">_xlfn.IFS(
J616&lt;630,"Low",
J616&lt;1287,"Medium",
J616&lt;1495,"Intermediate",
J616&lt;1668,"Moderately",
J616&lt;1843,"Transition",
J616&lt;2477,"High",
J616&lt;2996,"Refractory I",
TRUE,"Refractory II"
)</f>
        <v>Refractory II</v>
      </c>
      <c r="U616">
        <f t="shared" si="30"/>
        <v>0.59260555166783302</v>
      </c>
      <c r="V616" t="str" cm="1">
        <f t="array" ref="V616">_xlfn.IFS(U616&lt;0.25,"shallow condution",
U616&lt;0.5,"transition",
U616&lt;1,"conduction",
U616&lt;1.5,"transition",U616&lt;3,"keyholeⅠ",3&lt;=U616,"keyhole Ⅱ"
)</f>
        <v>conduction</v>
      </c>
      <c r="X616">
        <f t="shared" si="31"/>
        <v>1.6874630978153904</v>
      </c>
    </row>
    <row r="617" spans="1:24">
      <c r="A617" s="19" t="s">
        <v>62</v>
      </c>
      <c r="B617" s="16">
        <v>200</v>
      </c>
      <c r="C617" s="16">
        <v>200</v>
      </c>
      <c r="D617" s="16">
        <v>2.3290000000000002</v>
      </c>
      <c r="E617" s="16">
        <v>50.2</v>
      </c>
      <c r="F617" s="16">
        <v>1300</v>
      </c>
      <c r="G617" s="16" t="s">
        <v>103</v>
      </c>
      <c r="H617" s="16">
        <v>0.70499999999999996</v>
      </c>
      <c r="I617" s="16">
        <v>148</v>
      </c>
      <c r="J617" s="16">
        <v>1414</v>
      </c>
      <c r="K617" s="16">
        <v>2900</v>
      </c>
      <c r="L617" s="16">
        <v>0.3</v>
      </c>
      <c r="M617" s="16">
        <v>545</v>
      </c>
      <c r="N617" s="17">
        <v>478</v>
      </c>
      <c r="Q617" s="1">
        <f t="shared" si="29"/>
        <v>256.41025641025641</v>
      </c>
      <c r="R617" t="str" cm="1">
        <f t="array" ref="R617">_xlfn.IFS(Q617&lt;42.7, "low",
Q617&lt;85.4,"medium low",
Q617&lt;128,"medium high",
Q617&gt;=128,"high"
)</f>
        <v>high</v>
      </c>
      <c r="S617" t="str" cm="1">
        <f t="array" ref="S617">_xlfn.IFS(J617&lt;700,"low",J617&lt;1600,"medium low",J617&lt;2200,"medium high",J617&gt;=2200,"high")</f>
        <v>medium low</v>
      </c>
      <c r="T617" t="str" cm="1">
        <f t="array" ref="T617">_xlfn.IFS(
J617&lt;630,"Low",
J617&lt;1287,"Medium",
J617&lt;1495,"Intermediate",
J617&lt;1668,"Moderately",
J617&lt;1843,"Transition",
J617&lt;2477,"High",
J617&lt;2996,"Refractory I",
TRUE,"Refractory II"
)</f>
        <v>Intermediate</v>
      </c>
      <c r="U617">
        <f t="shared" si="30"/>
        <v>0.87706422018348629</v>
      </c>
      <c r="V617" t="str" cm="1">
        <f t="array" ref="V617">_xlfn.IFS(U617&lt;0.25,"shallow condution",
U617&lt;0.5,"transition",
U617&lt;1,"conduction",
U617&lt;1.5,"transition",U617&lt;3,"keyholeⅠ",3&lt;=U617,"keyhole Ⅱ"
)</f>
        <v>conduction</v>
      </c>
      <c r="X617">
        <f t="shared" si="31"/>
        <v>1.1401673640167365</v>
      </c>
    </row>
    <row r="618" spans="1:24">
      <c r="A618" s="2" t="s">
        <v>62</v>
      </c>
      <c r="B618" s="4">
        <v>200</v>
      </c>
      <c r="C618" s="4">
        <v>400</v>
      </c>
      <c r="D618" s="4">
        <v>2.3290000000000002</v>
      </c>
      <c r="E618" s="4">
        <v>50.2</v>
      </c>
      <c r="F618" s="4">
        <v>1300</v>
      </c>
      <c r="G618" s="16" t="s">
        <v>103</v>
      </c>
      <c r="H618" s="4">
        <v>0.70499999999999996</v>
      </c>
      <c r="I618" s="4">
        <v>148</v>
      </c>
      <c r="J618" s="4">
        <v>1414</v>
      </c>
      <c r="K618" s="4">
        <v>2900</v>
      </c>
      <c r="L618" s="4">
        <v>0.3</v>
      </c>
      <c r="M618" s="4">
        <v>379</v>
      </c>
      <c r="N618" s="5">
        <v>354</v>
      </c>
      <c r="Q618" s="1">
        <f t="shared" si="29"/>
        <v>128.2051282051282</v>
      </c>
      <c r="R618" t="str" cm="1">
        <f t="array" ref="R618">_xlfn.IFS(Q618&lt;42.7, "low",
Q618&lt;85.4,"medium low",
Q618&lt;128,"medium high",
Q618&gt;=128,"high"
)</f>
        <v>high</v>
      </c>
      <c r="S618" t="str" cm="1">
        <f t="array" ref="S618">_xlfn.IFS(J618&lt;700,"low",J618&lt;1600,"medium low",J618&lt;2200,"medium high",J618&gt;=2200,"high")</f>
        <v>medium low</v>
      </c>
      <c r="T618" t="str" cm="1">
        <f t="array" ref="T618">_xlfn.IFS(
J618&lt;630,"Low",
J618&lt;1287,"Medium",
J618&lt;1495,"Intermediate",
J618&lt;1668,"Moderately",
J618&lt;1843,"Transition",
J618&lt;2477,"High",
J618&lt;2996,"Refractory I",
TRUE,"Refractory II"
)</f>
        <v>Intermediate</v>
      </c>
      <c r="U618">
        <f t="shared" si="30"/>
        <v>0.93403693931398413</v>
      </c>
      <c r="V618" t="str" cm="1">
        <f t="array" ref="V618">_xlfn.IFS(U618&lt;0.25,"shallow condution",
U618&lt;0.5,"transition",
U618&lt;1,"conduction",
U618&lt;1.5,"transition",U618&lt;3,"keyholeⅠ",3&lt;=U618,"keyhole Ⅱ"
)</f>
        <v>conduction</v>
      </c>
      <c r="X618">
        <f t="shared" si="31"/>
        <v>1.0706214689265536</v>
      </c>
    </row>
    <row r="619" spans="1:24">
      <c r="A619" s="2" t="s">
        <v>62</v>
      </c>
      <c r="B619" s="4">
        <v>200</v>
      </c>
      <c r="C619" s="4">
        <v>600</v>
      </c>
      <c r="D619" s="4">
        <v>2.3290000000000002</v>
      </c>
      <c r="E619" s="4">
        <v>50.2</v>
      </c>
      <c r="F619" s="4">
        <v>1300</v>
      </c>
      <c r="G619" s="16" t="s">
        <v>103</v>
      </c>
      <c r="H619" s="4">
        <v>0.70499999999999996</v>
      </c>
      <c r="I619" s="4">
        <v>148</v>
      </c>
      <c r="J619" s="4">
        <v>1414</v>
      </c>
      <c r="K619" s="4">
        <v>2900</v>
      </c>
      <c r="L619" s="4">
        <v>0.3</v>
      </c>
      <c r="M619" s="4">
        <v>264.69</v>
      </c>
      <c r="N619" s="5">
        <v>288.89999999999998</v>
      </c>
      <c r="Q619" s="1">
        <f t="shared" si="29"/>
        <v>85.470085470085465</v>
      </c>
      <c r="R619" t="str" cm="1">
        <f t="array" ref="R619">_xlfn.IFS(Q619&lt;42.7, "low",
Q619&lt;85.4,"medium low",
Q619&lt;128,"medium high",
Q619&gt;=128,"high"
)</f>
        <v>medium high</v>
      </c>
      <c r="S619" t="str" cm="1">
        <f t="array" ref="S619">_xlfn.IFS(J619&lt;700,"low",J619&lt;1600,"medium low",J619&lt;2200,"medium high",J619&gt;=2200,"high")</f>
        <v>medium low</v>
      </c>
      <c r="T619" t="str" cm="1">
        <f t="array" ref="T619">_xlfn.IFS(
J619&lt;630,"Low",
J619&lt;1287,"Medium",
J619&lt;1495,"Intermediate",
J619&lt;1668,"Moderately",
J619&lt;1843,"Transition",
J619&lt;2477,"High",
J619&lt;2996,"Refractory I",
TRUE,"Refractory II"
)</f>
        <v>Intermediate</v>
      </c>
      <c r="U619">
        <f t="shared" si="30"/>
        <v>1.0914654879292758</v>
      </c>
      <c r="V619" t="str" cm="1">
        <f t="array" ref="V619">_xlfn.IFS(U619&lt;0.25,"shallow condution",
U619&lt;0.5,"transition",
U619&lt;1,"conduction",
U619&lt;1.5,"transition",U619&lt;3,"keyholeⅠ",3&lt;=U619,"keyhole Ⅱ"
)</f>
        <v>transition</v>
      </c>
      <c r="X619">
        <f t="shared" si="31"/>
        <v>0.91619937694704057</v>
      </c>
    </row>
    <row r="620" spans="1:24">
      <c r="A620" s="2" t="s">
        <v>62</v>
      </c>
      <c r="B620" s="4">
        <v>200</v>
      </c>
      <c r="C620" s="4">
        <v>800</v>
      </c>
      <c r="D620" s="4">
        <v>2.3290000000000002</v>
      </c>
      <c r="E620" s="4">
        <v>50.2</v>
      </c>
      <c r="F620" s="4">
        <v>1300</v>
      </c>
      <c r="G620" s="16" t="s">
        <v>103</v>
      </c>
      <c r="H620" s="4">
        <v>0.70499999999999996</v>
      </c>
      <c r="I620" s="4">
        <v>148</v>
      </c>
      <c r="J620" s="4">
        <v>1414</v>
      </c>
      <c r="K620" s="4">
        <v>2900</v>
      </c>
      <c r="L620" s="4">
        <v>0.3</v>
      </c>
      <c r="M620" s="4">
        <v>203.6</v>
      </c>
      <c r="N620" s="5">
        <v>183.56</v>
      </c>
      <c r="Q620" s="1">
        <f t="shared" si="29"/>
        <v>64.102564102564102</v>
      </c>
      <c r="R620" t="str" cm="1">
        <f t="array" ref="R620">_xlfn.IFS(Q620&lt;42.7, "low",
Q620&lt;85.4,"medium low",
Q620&lt;128,"medium high",
Q620&gt;=128,"high"
)</f>
        <v>medium low</v>
      </c>
      <c r="S620" t="str" cm="1">
        <f t="array" ref="S620">_xlfn.IFS(J620&lt;700,"low",J620&lt;1600,"medium low",J620&lt;2200,"medium high",J620&gt;=2200,"high")</f>
        <v>medium low</v>
      </c>
      <c r="T620" t="str" cm="1">
        <f t="array" ref="T620">_xlfn.IFS(
J620&lt;630,"Low",
J620&lt;1287,"Medium",
J620&lt;1495,"Intermediate",
J620&lt;1668,"Moderately",
J620&lt;1843,"Transition",
J620&lt;2477,"High",
J620&lt;2996,"Refractory I",
TRUE,"Refractory II"
)</f>
        <v>Intermediate</v>
      </c>
      <c r="U620">
        <f t="shared" si="30"/>
        <v>0.90157170923379182</v>
      </c>
      <c r="V620" t="str" cm="1">
        <f t="array" ref="V620">_xlfn.IFS(U620&lt;0.25,"shallow condution",
U620&lt;0.5,"transition",
U620&lt;1,"conduction",
U620&lt;1.5,"transition",U620&lt;3,"keyholeⅠ",3&lt;=U620,"keyhole Ⅱ"
)</f>
        <v>conduction</v>
      </c>
      <c r="X620">
        <f t="shared" si="31"/>
        <v>1.1091741120069731</v>
      </c>
    </row>
    <row r="621" spans="1:24">
      <c r="A621" s="2" t="s">
        <v>62</v>
      </c>
      <c r="B621" s="4">
        <v>200</v>
      </c>
      <c r="C621" s="4">
        <v>1200</v>
      </c>
      <c r="D621" s="4">
        <v>2.3290000000000002</v>
      </c>
      <c r="E621" s="4">
        <v>50.2</v>
      </c>
      <c r="F621" s="4">
        <v>1300</v>
      </c>
      <c r="G621" s="16" t="s">
        <v>103</v>
      </c>
      <c r="H621" s="4">
        <v>0.70499999999999996</v>
      </c>
      <c r="I621" s="4">
        <v>148</v>
      </c>
      <c r="J621" s="4">
        <v>1414</v>
      </c>
      <c r="K621" s="4">
        <v>2900</v>
      </c>
      <c r="L621" s="4">
        <v>0.3</v>
      </c>
      <c r="M621" s="4">
        <v>195</v>
      </c>
      <c r="N621" s="5">
        <v>138.9</v>
      </c>
      <c r="Q621" s="1">
        <f t="shared" si="29"/>
        <v>42.735042735042732</v>
      </c>
      <c r="R621" t="str" cm="1">
        <f t="array" ref="R621">_xlfn.IFS(Q621&lt;42.7, "low",
Q621&lt;85.4,"medium low",
Q621&lt;128,"medium high",
Q621&gt;=128,"high"
)</f>
        <v>medium low</v>
      </c>
      <c r="S621" t="str" cm="1">
        <f t="array" ref="S621">_xlfn.IFS(J621&lt;700,"low",J621&lt;1600,"medium low",J621&lt;2200,"medium high",J621&gt;=2200,"high")</f>
        <v>medium low</v>
      </c>
      <c r="T621" t="str" cm="1">
        <f t="array" ref="T621">_xlfn.IFS(
J621&lt;630,"Low",
J621&lt;1287,"Medium",
J621&lt;1495,"Intermediate",
J621&lt;1668,"Moderately",
J621&lt;1843,"Transition",
J621&lt;2477,"High",
J621&lt;2996,"Refractory I",
TRUE,"Refractory II"
)</f>
        <v>Intermediate</v>
      </c>
      <c r="U621">
        <f t="shared" si="30"/>
        <v>0.71230769230769231</v>
      </c>
      <c r="V621" t="str" cm="1">
        <f t="array" ref="V621">_xlfn.IFS(U621&lt;0.25,"shallow condution",
U621&lt;0.5,"transition",
U621&lt;1,"conduction",
U621&lt;1.5,"transition",U621&lt;3,"keyholeⅠ",3&lt;=U621,"keyhole Ⅱ"
)</f>
        <v>conduction</v>
      </c>
      <c r="X621">
        <f t="shared" si="31"/>
        <v>1.4038876889848813</v>
      </c>
    </row>
    <row r="622" spans="1:24">
      <c r="A622" s="2" t="s">
        <v>62</v>
      </c>
      <c r="B622" s="4">
        <v>200</v>
      </c>
      <c r="C622" s="4">
        <v>1600</v>
      </c>
      <c r="D622" s="4">
        <v>2.3290000000000002</v>
      </c>
      <c r="E622" s="4">
        <v>50.2</v>
      </c>
      <c r="F622" s="4">
        <v>1300</v>
      </c>
      <c r="G622" s="16" t="s">
        <v>103</v>
      </c>
      <c r="H622" s="4">
        <v>0.70499999999999996</v>
      </c>
      <c r="I622" s="4">
        <v>148</v>
      </c>
      <c r="J622" s="4">
        <v>1414</v>
      </c>
      <c r="K622" s="4">
        <v>2900</v>
      </c>
      <c r="L622" s="4">
        <v>0.3</v>
      </c>
      <c r="M622" s="4">
        <v>188.97</v>
      </c>
      <c r="N622" s="5">
        <v>79.2</v>
      </c>
      <c r="Q622" s="1">
        <f t="shared" si="29"/>
        <v>32.051282051282051</v>
      </c>
      <c r="R622" t="str" cm="1">
        <f t="array" ref="R622">_xlfn.IFS(Q622&lt;42.7, "low",
Q622&lt;85.4,"medium low",
Q622&lt;128,"medium high",
Q622&gt;=128,"high"
)</f>
        <v>low</v>
      </c>
      <c r="S622" t="str" cm="1">
        <f t="array" ref="S622">_xlfn.IFS(J622&lt;700,"low",J622&lt;1600,"medium low",J622&lt;2200,"medium high",J622&gt;=2200,"high")</f>
        <v>medium low</v>
      </c>
      <c r="T622" t="str" cm="1">
        <f t="array" ref="T622">_xlfn.IFS(
J622&lt;630,"Low",
J622&lt;1287,"Medium",
J622&lt;1495,"Intermediate",
J622&lt;1668,"Moderately",
J622&lt;1843,"Transition",
J622&lt;2477,"High",
J622&lt;2996,"Refractory I",
TRUE,"Refractory II"
)</f>
        <v>Intermediate</v>
      </c>
      <c r="U622">
        <f t="shared" si="30"/>
        <v>0.41911414510239725</v>
      </c>
      <c r="V622" t="str" cm="1">
        <f t="array" ref="V622">_xlfn.IFS(U622&lt;0.25,"shallow condution",
U622&lt;0.5,"transition",
U622&lt;1,"conduction",
U622&lt;1.5,"transition",U622&lt;3,"keyholeⅠ",3&lt;=U622,"keyhole Ⅱ"
)</f>
        <v>transition</v>
      </c>
      <c r="X622">
        <f t="shared" si="31"/>
        <v>2.3859848484848483</v>
      </c>
    </row>
    <row r="623" spans="1:24">
      <c r="A623" s="2" t="s">
        <v>62</v>
      </c>
      <c r="B623" s="4">
        <v>200</v>
      </c>
      <c r="C623" s="4">
        <v>2000</v>
      </c>
      <c r="D623" s="4">
        <v>2.3290000000000002</v>
      </c>
      <c r="E623" s="4">
        <v>50.2</v>
      </c>
      <c r="F623" s="4">
        <v>1300</v>
      </c>
      <c r="G623" s="16" t="s">
        <v>103</v>
      </c>
      <c r="H623" s="4">
        <v>0.70499999999999996</v>
      </c>
      <c r="I623" s="4">
        <v>148</v>
      </c>
      <c r="J623" s="4">
        <v>1414</v>
      </c>
      <c r="K623" s="4">
        <v>2900</v>
      </c>
      <c r="L623" s="4">
        <v>0.3</v>
      </c>
      <c r="M623" s="4">
        <v>145</v>
      </c>
      <c r="N623" s="5">
        <v>50.6</v>
      </c>
      <c r="Q623" s="1">
        <f t="shared" si="29"/>
        <v>25.641025641025642</v>
      </c>
      <c r="R623" t="str" cm="1">
        <f t="array" ref="R623">_xlfn.IFS(Q623&lt;42.7, "low",
Q623&lt;85.4,"medium low",
Q623&lt;128,"medium high",
Q623&gt;=128,"high"
)</f>
        <v>low</v>
      </c>
      <c r="S623" t="str" cm="1">
        <f t="array" ref="S623">_xlfn.IFS(J623&lt;700,"low",J623&lt;1600,"medium low",J623&lt;2200,"medium high",J623&gt;=2200,"high")</f>
        <v>medium low</v>
      </c>
      <c r="T623" t="str" cm="1">
        <f t="array" ref="T623">_xlfn.IFS(
J623&lt;630,"Low",
J623&lt;1287,"Medium",
J623&lt;1495,"Intermediate",
J623&lt;1668,"Moderately",
J623&lt;1843,"Transition",
J623&lt;2477,"High",
J623&lt;2996,"Refractory I",
TRUE,"Refractory II"
)</f>
        <v>Intermediate</v>
      </c>
      <c r="U623">
        <f t="shared" si="30"/>
        <v>0.34896551724137931</v>
      </c>
      <c r="V623" t="str" cm="1">
        <f t="array" ref="V623">_xlfn.IFS(U623&lt;0.25,"shallow condution",
U623&lt;0.5,"transition",
U623&lt;1,"conduction",
U623&lt;1.5,"transition",U623&lt;3,"keyholeⅠ",3&lt;=U623,"keyhole Ⅱ"
)</f>
        <v>transition</v>
      </c>
      <c r="X623">
        <f t="shared" si="31"/>
        <v>2.8656126482213438</v>
      </c>
    </row>
    <row r="624" spans="1:24">
      <c r="A624" s="2" t="s">
        <v>62</v>
      </c>
      <c r="B624" s="4">
        <v>200</v>
      </c>
      <c r="C624" s="4">
        <v>2400</v>
      </c>
      <c r="D624" s="4">
        <v>2.3290000000000002</v>
      </c>
      <c r="E624" s="4">
        <v>50.2</v>
      </c>
      <c r="F624" s="4">
        <v>1300</v>
      </c>
      <c r="G624" s="16" t="s">
        <v>103</v>
      </c>
      <c r="H624" s="4">
        <v>0.70499999999999996</v>
      </c>
      <c r="I624" s="4">
        <v>148</v>
      </c>
      <c r="J624" s="4">
        <v>1414</v>
      </c>
      <c r="K624" s="4">
        <v>2900</v>
      </c>
      <c r="L624" s="4">
        <v>0.3</v>
      </c>
      <c r="M624" s="4">
        <v>91.26</v>
      </c>
      <c r="N624" s="5">
        <v>34.520000000000003</v>
      </c>
      <c r="Q624" s="1">
        <f t="shared" si="29"/>
        <v>21.367521367521366</v>
      </c>
      <c r="R624" t="str" cm="1">
        <f t="array" ref="R624">_xlfn.IFS(Q624&lt;42.7, "low",
Q624&lt;85.4,"medium low",
Q624&lt;128,"medium high",
Q624&gt;=128,"high"
)</f>
        <v>low</v>
      </c>
      <c r="S624" t="str" cm="1">
        <f t="array" ref="S624">_xlfn.IFS(J624&lt;700,"low",J624&lt;1600,"medium low",J624&lt;2200,"medium high",J624&gt;=2200,"high")</f>
        <v>medium low</v>
      </c>
      <c r="T624" t="str" cm="1">
        <f t="array" ref="T624">_xlfn.IFS(
J624&lt;630,"Low",
J624&lt;1287,"Medium",
J624&lt;1495,"Intermediate",
J624&lt;1668,"Moderately",
J624&lt;1843,"Transition",
J624&lt;2477,"High",
J624&lt;2996,"Refractory I",
TRUE,"Refractory II"
)</f>
        <v>Intermediate</v>
      </c>
      <c r="U624">
        <f t="shared" si="30"/>
        <v>0.3782599167214552</v>
      </c>
      <c r="V624" t="str" cm="1">
        <f t="array" ref="V624">_xlfn.IFS(U624&lt;0.25,"shallow condution",
U624&lt;0.5,"transition",
U624&lt;1,"conduction",
U624&lt;1.5,"transition",U624&lt;3,"keyholeⅠ",3&lt;=U624,"keyhole Ⅱ"
)</f>
        <v>transition</v>
      </c>
      <c r="X624">
        <f t="shared" si="31"/>
        <v>2.6436848203939745</v>
      </c>
    </row>
    <row r="625" spans="1:24">
      <c r="A625" s="2" t="s">
        <v>62</v>
      </c>
      <c r="B625" s="4">
        <v>350</v>
      </c>
      <c r="C625" s="4">
        <v>400</v>
      </c>
      <c r="D625" s="4">
        <v>2.3290000000000002</v>
      </c>
      <c r="E625" s="4">
        <v>50.2</v>
      </c>
      <c r="F625" s="4">
        <v>1300</v>
      </c>
      <c r="G625" s="16" t="s">
        <v>103</v>
      </c>
      <c r="H625" s="4">
        <v>0.70499999999999996</v>
      </c>
      <c r="I625" s="4">
        <v>148</v>
      </c>
      <c r="J625" s="4">
        <v>1414</v>
      </c>
      <c r="K625" s="4">
        <v>2900</v>
      </c>
      <c r="L625" s="4">
        <v>0.3</v>
      </c>
      <c r="M625" s="4">
        <v>338.48</v>
      </c>
      <c r="N625" s="5">
        <v>407</v>
      </c>
      <c r="Q625" s="1">
        <f t="shared" si="29"/>
        <v>224.35897435897436</v>
      </c>
      <c r="R625" t="str" cm="1">
        <f t="array" ref="R625">_xlfn.IFS(Q625&lt;42.7, "low",
Q625&lt;85.4,"medium low",
Q625&lt;128,"medium high",
Q625&gt;=128,"high"
)</f>
        <v>high</v>
      </c>
      <c r="S625" t="str" cm="1">
        <f t="array" ref="S625">_xlfn.IFS(J625&lt;700,"low",J625&lt;1600,"medium low",J625&lt;2200,"medium high",J625&gt;=2200,"high")</f>
        <v>medium low</v>
      </c>
      <c r="T625" t="str" cm="1">
        <f t="array" ref="T625">_xlfn.IFS(
J625&lt;630,"Low",
J625&lt;1287,"Medium",
J625&lt;1495,"Intermediate",
J625&lt;1668,"Moderately",
J625&lt;1843,"Transition",
J625&lt;2477,"High",
J625&lt;2996,"Refractory I",
TRUE,"Refractory II"
)</f>
        <v>Intermediate</v>
      </c>
      <c r="U625">
        <f t="shared" si="30"/>
        <v>1.2024344126683999</v>
      </c>
      <c r="V625" t="str" cm="1">
        <f t="array" ref="V625">_xlfn.IFS(U625&lt;0.25,"shallow condution",
U625&lt;0.5,"transition",
U625&lt;1,"conduction",
U625&lt;1.5,"transition",U625&lt;3,"keyholeⅠ",3&lt;=U625,"keyhole Ⅱ"
)</f>
        <v>transition</v>
      </c>
      <c r="X625">
        <f t="shared" si="31"/>
        <v>0.83164619164619169</v>
      </c>
    </row>
    <row r="626" spans="1:24">
      <c r="A626" s="2" t="s">
        <v>62</v>
      </c>
      <c r="B626" s="4">
        <v>350</v>
      </c>
      <c r="C626" s="4">
        <v>600</v>
      </c>
      <c r="D626" s="4">
        <v>2.3290000000000002</v>
      </c>
      <c r="E626" s="4">
        <v>50.2</v>
      </c>
      <c r="F626" s="4">
        <v>1300</v>
      </c>
      <c r="G626" s="16" t="s">
        <v>103</v>
      </c>
      <c r="H626" s="4">
        <v>0.70499999999999996</v>
      </c>
      <c r="I626" s="4">
        <v>148</v>
      </c>
      <c r="J626" s="4">
        <v>1414</v>
      </c>
      <c r="K626" s="4">
        <v>2900</v>
      </c>
      <c r="L626" s="4">
        <v>0.3</v>
      </c>
      <c r="M626" s="4">
        <v>282.26</v>
      </c>
      <c r="N626" s="5">
        <v>263.95999999999998</v>
      </c>
      <c r="Q626" s="1">
        <f t="shared" si="29"/>
        <v>149.57264957264957</v>
      </c>
      <c r="R626" t="str" cm="1">
        <f t="array" ref="R626">_xlfn.IFS(Q626&lt;42.7, "low",
Q626&lt;85.4,"medium low",
Q626&lt;128,"medium high",
Q626&gt;=128,"high"
)</f>
        <v>high</v>
      </c>
      <c r="S626" t="str" cm="1">
        <f t="array" ref="S626">_xlfn.IFS(J626&lt;700,"low",J626&lt;1600,"medium low",J626&lt;2200,"medium high",J626&gt;=2200,"high")</f>
        <v>medium low</v>
      </c>
      <c r="T626" t="str" cm="1">
        <f t="array" ref="T626">_xlfn.IFS(
J626&lt;630,"Low",
J626&lt;1287,"Medium",
J626&lt;1495,"Intermediate",
J626&lt;1668,"Moderately",
J626&lt;1843,"Transition",
J626&lt;2477,"High",
J626&lt;2996,"Refractory I",
TRUE,"Refractory II"
)</f>
        <v>Intermediate</v>
      </c>
      <c r="U626">
        <f t="shared" si="30"/>
        <v>0.93516615886062493</v>
      </c>
      <c r="V626" t="str" cm="1">
        <f t="array" ref="V626">_xlfn.IFS(U626&lt;0.25,"shallow condution",
U626&lt;0.5,"transition",
U626&lt;1,"conduction",
U626&lt;1.5,"transition",U626&lt;3,"keyholeⅠ",3&lt;=U626,"keyhole Ⅱ"
)</f>
        <v>conduction</v>
      </c>
      <c r="X626">
        <f t="shared" si="31"/>
        <v>1.0693286861645703</v>
      </c>
    </row>
    <row r="627" spans="1:24">
      <c r="A627" s="2" t="s">
        <v>62</v>
      </c>
      <c r="B627" s="4">
        <v>350</v>
      </c>
      <c r="C627" s="4">
        <v>800</v>
      </c>
      <c r="D627" s="4">
        <v>2.3290000000000002</v>
      </c>
      <c r="E627" s="4">
        <v>50.2</v>
      </c>
      <c r="F627" s="4">
        <v>1300</v>
      </c>
      <c r="G627" s="16" t="s">
        <v>103</v>
      </c>
      <c r="H627" s="4">
        <v>0.70499999999999996</v>
      </c>
      <c r="I627" s="4">
        <v>148</v>
      </c>
      <c r="J627" s="4">
        <v>1414</v>
      </c>
      <c r="K627" s="4">
        <v>2900</v>
      </c>
      <c r="L627" s="4">
        <v>0.3</v>
      </c>
      <c r="M627" s="4">
        <v>203.3</v>
      </c>
      <c r="N627" s="5">
        <v>225.89</v>
      </c>
      <c r="Q627" s="1">
        <f t="shared" si="29"/>
        <v>112.17948717948718</v>
      </c>
      <c r="R627" t="str" cm="1">
        <f t="array" ref="R627">_xlfn.IFS(Q627&lt;42.7, "low",
Q627&lt;85.4,"medium low",
Q627&lt;128,"medium high",
Q627&gt;=128,"high"
)</f>
        <v>medium high</v>
      </c>
      <c r="S627" t="str" cm="1">
        <f t="array" ref="S627">_xlfn.IFS(J627&lt;700,"low",J627&lt;1600,"medium low",J627&lt;2200,"medium high",J627&gt;=2200,"high")</f>
        <v>medium low</v>
      </c>
      <c r="T627" t="str" cm="1">
        <f t="array" ref="T627">_xlfn.IFS(
J627&lt;630,"Low",
J627&lt;1287,"Medium",
J627&lt;1495,"Intermediate",
J627&lt;1668,"Moderately",
J627&lt;1843,"Transition",
J627&lt;2477,"High",
J627&lt;2996,"Refractory I",
TRUE,"Refractory II"
)</f>
        <v>Intermediate</v>
      </c>
      <c r="U627">
        <f t="shared" si="30"/>
        <v>1.1111165764879487</v>
      </c>
      <c r="V627" t="str" cm="1">
        <f t="array" ref="V627">_xlfn.IFS(U627&lt;0.25,"shallow condution",
U627&lt;0.5,"transition",
U627&lt;1,"conduction",
U627&lt;1.5,"transition",U627&lt;3,"keyholeⅠ",3&lt;=U627,"keyhole Ⅱ"
)</f>
        <v>transition</v>
      </c>
      <c r="X627">
        <f t="shared" si="31"/>
        <v>0.89999557306653688</v>
      </c>
    </row>
    <row r="628" spans="1:24">
      <c r="A628" s="2" t="s">
        <v>62</v>
      </c>
      <c r="B628" s="4">
        <v>350</v>
      </c>
      <c r="C628" s="4">
        <v>1000</v>
      </c>
      <c r="D628" s="4">
        <v>2.3290000000000002</v>
      </c>
      <c r="E628" s="4">
        <v>50.2</v>
      </c>
      <c r="F628" s="4">
        <v>1300</v>
      </c>
      <c r="G628" s="16" t="s">
        <v>103</v>
      </c>
      <c r="H628" s="4">
        <v>0.70499999999999996</v>
      </c>
      <c r="I628" s="4">
        <v>148</v>
      </c>
      <c r="J628" s="4">
        <v>1414</v>
      </c>
      <c r="K628" s="4">
        <v>2900</v>
      </c>
      <c r="L628" s="4">
        <v>0.3</v>
      </c>
      <c r="M628" s="4">
        <v>214.85</v>
      </c>
      <c r="N628" s="5">
        <v>112.22</v>
      </c>
      <c r="Q628" s="1">
        <f t="shared" si="29"/>
        <v>89.743589743589737</v>
      </c>
      <c r="R628" t="str" cm="1">
        <f t="array" ref="R628">_xlfn.IFS(Q628&lt;42.7, "low",
Q628&lt;85.4,"medium low",
Q628&lt;128,"medium high",
Q628&gt;=128,"high"
)</f>
        <v>medium high</v>
      </c>
      <c r="S628" t="str" cm="1">
        <f t="array" ref="S628">_xlfn.IFS(J628&lt;700,"low",J628&lt;1600,"medium low",J628&lt;2200,"medium high",J628&gt;=2200,"high")</f>
        <v>medium low</v>
      </c>
      <c r="T628" t="str" cm="1">
        <f t="array" ref="T628">_xlfn.IFS(
J628&lt;630,"Low",
J628&lt;1287,"Medium",
J628&lt;1495,"Intermediate",
J628&lt;1668,"Moderately",
J628&lt;1843,"Transition",
J628&lt;2477,"High",
J628&lt;2996,"Refractory I",
TRUE,"Refractory II"
)</f>
        <v>Intermediate</v>
      </c>
      <c r="U628">
        <f t="shared" si="30"/>
        <v>0.52231789620665581</v>
      </c>
      <c r="V628" t="str" cm="1">
        <f t="array" ref="V628">_xlfn.IFS(U628&lt;0.25,"shallow condution",
U628&lt;0.5,"transition",
U628&lt;1,"conduction",
U628&lt;1.5,"transition",U628&lt;3,"keyholeⅠ",3&lt;=U628,"keyhole Ⅱ"
)</f>
        <v>conduction</v>
      </c>
      <c r="X628">
        <f t="shared" si="31"/>
        <v>1.9145428622348957</v>
      </c>
    </row>
    <row r="629" spans="1:24">
      <c r="A629" s="2" t="s">
        <v>62</v>
      </c>
      <c r="B629" s="4">
        <v>350</v>
      </c>
      <c r="C629" s="4">
        <v>1200</v>
      </c>
      <c r="D629" s="4">
        <v>2.3290000000000002</v>
      </c>
      <c r="E629" s="4">
        <v>50.2</v>
      </c>
      <c r="F629" s="4">
        <v>1300</v>
      </c>
      <c r="G629" s="16" t="s">
        <v>103</v>
      </c>
      <c r="H629" s="4">
        <v>0.70499999999999996</v>
      </c>
      <c r="I629" s="4">
        <v>148</v>
      </c>
      <c r="J629" s="4">
        <v>1414</v>
      </c>
      <c r="K629" s="4">
        <v>2900</v>
      </c>
      <c r="L629" s="4">
        <v>0.3</v>
      </c>
      <c r="M629" s="4">
        <v>230.6</v>
      </c>
      <c r="N629" s="5">
        <v>129.9</v>
      </c>
      <c r="Q629" s="1">
        <f t="shared" si="29"/>
        <v>74.786324786324784</v>
      </c>
      <c r="R629" t="str" cm="1">
        <f t="array" ref="R629">_xlfn.IFS(Q629&lt;42.7, "low",
Q629&lt;85.4,"medium low",
Q629&lt;128,"medium high",
Q629&gt;=128,"high"
)</f>
        <v>medium low</v>
      </c>
      <c r="S629" t="str" cm="1">
        <f t="array" ref="S629">_xlfn.IFS(J629&lt;700,"low",J629&lt;1600,"medium low",J629&lt;2200,"medium high",J629&gt;=2200,"high")</f>
        <v>medium low</v>
      </c>
      <c r="T629" t="str" cm="1">
        <f t="array" ref="T629">_xlfn.IFS(
J629&lt;630,"Low",
J629&lt;1287,"Medium",
J629&lt;1495,"Intermediate",
J629&lt;1668,"Moderately",
J629&lt;1843,"Transition",
J629&lt;2477,"High",
J629&lt;2996,"Refractory I",
TRUE,"Refractory II"
)</f>
        <v>Intermediate</v>
      </c>
      <c r="U629">
        <f t="shared" si="30"/>
        <v>0.56331309627059845</v>
      </c>
      <c r="V629" t="str" cm="1">
        <f t="array" ref="V629">_xlfn.IFS(U629&lt;0.25,"shallow condution",
U629&lt;0.5,"transition",
U629&lt;1,"conduction",
U629&lt;1.5,"transition",U629&lt;3,"keyholeⅠ",3&lt;=U629,"keyhole Ⅱ"
)</f>
        <v>conduction</v>
      </c>
      <c r="X629">
        <f t="shared" si="31"/>
        <v>1.775211701308699</v>
      </c>
    </row>
    <row r="630" spans="1:24">
      <c r="A630" s="2" t="s">
        <v>62</v>
      </c>
      <c r="B630" s="4">
        <v>350</v>
      </c>
      <c r="C630" s="4">
        <v>1600</v>
      </c>
      <c r="D630" s="4">
        <v>2.3290000000000002</v>
      </c>
      <c r="E630" s="4">
        <v>50.2</v>
      </c>
      <c r="F630" s="4">
        <v>1300</v>
      </c>
      <c r="G630" s="16" t="s">
        <v>103</v>
      </c>
      <c r="H630" s="4">
        <v>0.70499999999999996</v>
      </c>
      <c r="I630" s="4">
        <v>148</v>
      </c>
      <c r="J630" s="4">
        <v>1414</v>
      </c>
      <c r="K630" s="4">
        <v>2900</v>
      </c>
      <c r="L630" s="4">
        <v>0.3</v>
      </c>
      <c r="M630" s="4">
        <v>161.19999999999999</v>
      </c>
      <c r="N630" s="5">
        <v>95.2</v>
      </c>
      <c r="Q630" s="1">
        <f t="shared" si="29"/>
        <v>56.089743589743591</v>
      </c>
      <c r="R630" t="str" cm="1">
        <f t="array" ref="R630">_xlfn.IFS(Q630&lt;42.7, "low",
Q630&lt;85.4,"medium low",
Q630&lt;128,"medium high",
Q630&gt;=128,"high"
)</f>
        <v>medium low</v>
      </c>
      <c r="S630" t="str" cm="1">
        <f t="array" ref="S630">_xlfn.IFS(J630&lt;700,"low",J630&lt;1600,"medium low",J630&lt;2200,"medium high",J630&gt;=2200,"high")</f>
        <v>medium low</v>
      </c>
      <c r="T630" t="str" cm="1">
        <f t="array" ref="T630">_xlfn.IFS(
J630&lt;630,"Low",
J630&lt;1287,"Medium",
J630&lt;1495,"Intermediate",
J630&lt;1668,"Moderately",
J630&lt;1843,"Transition",
J630&lt;2477,"High",
J630&lt;2996,"Refractory I",
TRUE,"Refractory II"
)</f>
        <v>Intermediate</v>
      </c>
      <c r="U630">
        <f t="shared" si="30"/>
        <v>0.59057071960297769</v>
      </c>
      <c r="V630" t="str" cm="1">
        <f t="array" ref="V630">_xlfn.IFS(U630&lt;0.25,"shallow condution",
U630&lt;0.5,"transition",
U630&lt;1,"conduction",
U630&lt;1.5,"transition",U630&lt;3,"keyholeⅠ",3&lt;=U630,"keyhole Ⅱ"
)</f>
        <v>conduction</v>
      </c>
      <c r="X630">
        <f t="shared" si="31"/>
        <v>1.6932773109243695</v>
      </c>
    </row>
    <row r="631" spans="1:24">
      <c r="A631" s="2" t="s">
        <v>62</v>
      </c>
      <c r="B631" s="4">
        <v>350</v>
      </c>
      <c r="C631" s="4">
        <v>2000</v>
      </c>
      <c r="D631" s="4">
        <v>2.3290000000000002</v>
      </c>
      <c r="E631" s="4">
        <v>50.2</v>
      </c>
      <c r="F631" s="4">
        <v>1300</v>
      </c>
      <c r="G631" s="16" t="s">
        <v>103</v>
      </c>
      <c r="H631" s="4">
        <v>0.70499999999999996</v>
      </c>
      <c r="I631" s="4">
        <v>148</v>
      </c>
      <c r="J631" s="4">
        <v>1414</v>
      </c>
      <c r="K631" s="4">
        <v>2900</v>
      </c>
      <c r="L631" s="4">
        <v>0.3</v>
      </c>
      <c r="M631" s="4">
        <v>134</v>
      </c>
      <c r="N631" s="5">
        <v>55.79</v>
      </c>
      <c r="Q631" s="1">
        <f t="shared" si="29"/>
        <v>44.871794871794869</v>
      </c>
      <c r="R631" t="str" cm="1">
        <f t="array" ref="R631">_xlfn.IFS(Q631&lt;42.7, "low",
Q631&lt;85.4,"medium low",
Q631&lt;128,"medium high",
Q631&gt;=128,"high"
)</f>
        <v>medium low</v>
      </c>
      <c r="S631" t="str" cm="1">
        <f t="array" ref="S631">_xlfn.IFS(J631&lt;700,"low",J631&lt;1600,"medium low",J631&lt;2200,"medium high",J631&gt;=2200,"high")</f>
        <v>medium low</v>
      </c>
      <c r="T631" t="str" cm="1">
        <f t="array" ref="T631">_xlfn.IFS(
J631&lt;630,"Low",
J631&lt;1287,"Medium",
J631&lt;1495,"Intermediate",
J631&lt;1668,"Moderately",
J631&lt;1843,"Transition",
J631&lt;2477,"High",
J631&lt;2996,"Refractory I",
TRUE,"Refractory II"
)</f>
        <v>Intermediate</v>
      </c>
      <c r="U631">
        <f t="shared" si="30"/>
        <v>0.41634328358208955</v>
      </c>
      <c r="V631" t="str" cm="1">
        <f t="array" ref="V631">_xlfn.IFS(U631&lt;0.25,"shallow condution",
U631&lt;0.5,"transition",
U631&lt;1,"conduction",
U631&lt;1.5,"transition",U631&lt;3,"keyholeⅠ",3&lt;=U631,"keyhole Ⅱ"
)</f>
        <v>transition</v>
      </c>
      <c r="X631">
        <f t="shared" si="31"/>
        <v>2.4018641333572326</v>
      </c>
    </row>
    <row r="632" spans="1:24">
      <c r="A632" s="2" t="s">
        <v>62</v>
      </c>
      <c r="B632" s="4">
        <v>350</v>
      </c>
      <c r="C632" s="4">
        <v>2400</v>
      </c>
      <c r="D632" s="4">
        <v>2.3290000000000002</v>
      </c>
      <c r="E632" s="4">
        <v>50.2</v>
      </c>
      <c r="F632" s="4">
        <v>1300</v>
      </c>
      <c r="G632" s="16" t="s">
        <v>103</v>
      </c>
      <c r="H632" s="4">
        <v>0.70499999999999996</v>
      </c>
      <c r="I632" s="4">
        <v>148</v>
      </c>
      <c r="J632" s="4">
        <v>1414</v>
      </c>
      <c r="K632" s="4">
        <v>2900</v>
      </c>
      <c r="L632" s="4">
        <v>0.3</v>
      </c>
      <c r="M632" s="4">
        <v>119.64</v>
      </c>
      <c r="N632" s="5">
        <v>51.17</v>
      </c>
      <c r="Q632" s="1">
        <f t="shared" si="29"/>
        <v>37.393162393162392</v>
      </c>
      <c r="R632" t="str" cm="1">
        <f t="array" ref="R632">_xlfn.IFS(Q632&lt;42.7, "low",
Q632&lt;85.4,"medium low",
Q632&lt;128,"medium high",
Q632&gt;=128,"high"
)</f>
        <v>low</v>
      </c>
      <c r="S632" t="str" cm="1">
        <f t="array" ref="S632">_xlfn.IFS(J632&lt;700,"low",J632&lt;1600,"medium low",J632&lt;2200,"medium high",J632&gt;=2200,"high")</f>
        <v>medium low</v>
      </c>
      <c r="T632" t="str" cm="1">
        <f t="array" ref="T632">_xlfn.IFS(
J632&lt;630,"Low",
J632&lt;1287,"Medium",
J632&lt;1495,"Intermediate",
J632&lt;1668,"Moderately",
J632&lt;1843,"Transition",
J632&lt;2477,"High",
J632&lt;2996,"Refractory I",
TRUE,"Refractory II"
)</f>
        <v>Intermediate</v>
      </c>
      <c r="U632">
        <f t="shared" si="30"/>
        <v>0.42769976596456039</v>
      </c>
      <c r="V632" t="str" cm="1">
        <f t="array" ref="V632">_xlfn.IFS(U632&lt;0.25,"shallow condution",
U632&lt;0.5,"transition",
U632&lt;1,"conduction",
U632&lt;1.5,"transition",U632&lt;3,"keyholeⅠ",3&lt;=U632,"keyhole Ⅱ"
)</f>
        <v>transition</v>
      </c>
      <c r="X632">
        <f t="shared" si="31"/>
        <v>2.3380887238616377</v>
      </c>
    </row>
    <row r="633" spans="1:24">
      <c r="A633" s="2" t="s">
        <v>62</v>
      </c>
      <c r="B633" s="4">
        <v>100</v>
      </c>
      <c r="C633" s="4">
        <v>300</v>
      </c>
      <c r="D633" s="4">
        <v>2.3290000000000002</v>
      </c>
      <c r="E633" s="4">
        <v>50.2</v>
      </c>
      <c r="F633" s="4">
        <v>1300</v>
      </c>
      <c r="G633" s="16" t="s">
        <v>103</v>
      </c>
      <c r="H633" s="4">
        <v>0.70499999999999996</v>
      </c>
      <c r="I633" s="4">
        <v>148</v>
      </c>
      <c r="J633" s="4">
        <v>1414</v>
      </c>
      <c r="K633" s="4">
        <v>2900</v>
      </c>
      <c r="L633" s="4">
        <v>0.3</v>
      </c>
      <c r="M633" s="4">
        <v>172.5</v>
      </c>
      <c r="N633" s="5">
        <v>63.9</v>
      </c>
      <c r="Q633" s="1">
        <f t="shared" si="29"/>
        <v>85.470085470085465</v>
      </c>
      <c r="R633" t="str" cm="1">
        <f t="array" ref="R633">_xlfn.IFS(Q633&lt;42.7, "low",
Q633&lt;85.4,"medium low",
Q633&lt;128,"medium high",
Q633&gt;=128,"high"
)</f>
        <v>medium high</v>
      </c>
      <c r="S633" t="str" cm="1">
        <f t="array" ref="S633">_xlfn.IFS(J633&lt;700,"low",J633&lt;1600,"medium low",J633&lt;2200,"medium high",J633&gt;=2200,"high")</f>
        <v>medium low</v>
      </c>
      <c r="T633" t="str" cm="1">
        <f t="array" ref="T633">_xlfn.IFS(
J633&lt;630,"Low",
J633&lt;1287,"Medium",
J633&lt;1495,"Intermediate",
J633&lt;1668,"Moderately",
J633&lt;1843,"Transition",
J633&lt;2477,"High",
J633&lt;2996,"Refractory I",
TRUE,"Refractory II"
)</f>
        <v>Intermediate</v>
      </c>
      <c r="U633">
        <f t="shared" si="30"/>
        <v>0.37043478260869567</v>
      </c>
      <c r="V633" t="str" cm="1">
        <f t="array" ref="V633">_xlfn.IFS(U633&lt;0.25,"shallow condution",
U633&lt;0.5,"transition",
U633&lt;1,"conduction",
U633&lt;1.5,"transition",U633&lt;3,"keyholeⅠ",3&lt;=U633,"keyhole Ⅱ"
)</f>
        <v>transition</v>
      </c>
      <c r="X633">
        <f t="shared" si="31"/>
        <v>2.699530516431925</v>
      </c>
    </row>
    <row r="634" spans="1:24">
      <c r="A634" s="2" t="s">
        <v>62</v>
      </c>
      <c r="B634" s="4">
        <v>150</v>
      </c>
      <c r="C634" s="4">
        <v>300</v>
      </c>
      <c r="D634" s="4">
        <v>2.3290000000000002</v>
      </c>
      <c r="E634" s="4">
        <v>50.2</v>
      </c>
      <c r="F634" s="4">
        <v>1300</v>
      </c>
      <c r="G634" s="16" t="s">
        <v>103</v>
      </c>
      <c r="H634" s="4">
        <v>0.70499999999999996</v>
      </c>
      <c r="I634" s="4">
        <v>148</v>
      </c>
      <c r="J634" s="4">
        <v>1414</v>
      </c>
      <c r="K634" s="4">
        <v>2900</v>
      </c>
      <c r="L634" s="4">
        <v>0.3</v>
      </c>
      <c r="M634" s="4">
        <v>268.27999999999997</v>
      </c>
      <c r="N634" s="5">
        <v>197.33</v>
      </c>
      <c r="Q634" s="1">
        <f t="shared" si="29"/>
        <v>128.2051282051282</v>
      </c>
      <c r="R634" t="str" cm="1">
        <f t="array" ref="R634">_xlfn.IFS(Q634&lt;42.7, "low",
Q634&lt;85.4,"medium low",
Q634&lt;128,"medium high",
Q634&gt;=128,"high"
)</f>
        <v>high</v>
      </c>
      <c r="S634" t="str" cm="1">
        <f t="array" ref="S634">_xlfn.IFS(J634&lt;700,"low",J634&lt;1600,"medium low",J634&lt;2200,"medium high",J634&gt;=2200,"high")</f>
        <v>medium low</v>
      </c>
      <c r="T634" t="str" cm="1">
        <f t="array" ref="T634">_xlfn.IFS(
J634&lt;630,"Low",
J634&lt;1287,"Medium",
J634&lt;1495,"Intermediate",
J634&lt;1668,"Moderately",
J634&lt;1843,"Transition",
J634&lt;2477,"High",
J634&lt;2996,"Refractory I",
TRUE,"Refractory II"
)</f>
        <v>Intermediate</v>
      </c>
      <c r="U634">
        <f t="shared" si="30"/>
        <v>0.73553749813627567</v>
      </c>
      <c r="V634" t="str" cm="1">
        <f t="array" ref="V634">_xlfn.IFS(U634&lt;0.25,"shallow condution",
U634&lt;0.5,"transition",
U634&lt;1,"conduction",
U634&lt;1.5,"transition",U634&lt;3,"keyholeⅠ",3&lt;=U634,"keyhole Ⅱ"
)</f>
        <v>conduction</v>
      </c>
      <c r="X634">
        <f t="shared" si="31"/>
        <v>1.3595499923985199</v>
      </c>
    </row>
    <row r="635" spans="1:24">
      <c r="A635" s="2" t="s">
        <v>62</v>
      </c>
      <c r="B635" s="4">
        <v>200</v>
      </c>
      <c r="C635" s="4">
        <v>300</v>
      </c>
      <c r="D635" s="4">
        <v>2.3290000000000002</v>
      </c>
      <c r="E635" s="4">
        <v>50.2</v>
      </c>
      <c r="F635" s="4">
        <v>1300</v>
      </c>
      <c r="G635" s="16" t="s">
        <v>103</v>
      </c>
      <c r="H635" s="4">
        <v>0.70499999999999996</v>
      </c>
      <c r="I635" s="4">
        <v>148</v>
      </c>
      <c r="J635" s="4">
        <v>1414</v>
      </c>
      <c r="K635" s="4">
        <v>2900</v>
      </c>
      <c r="L635" s="4">
        <v>0.3</v>
      </c>
      <c r="M635" s="4">
        <v>286.89999999999998</v>
      </c>
      <c r="N635" s="5">
        <v>295.66000000000003</v>
      </c>
      <c r="Q635" s="1">
        <f t="shared" si="29"/>
        <v>170.94017094017093</v>
      </c>
      <c r="R635" t="str" cm="1">
        <f t="array" ref="R635">_xlfn.IFS(Q635&lt;42.7, "low",
Q635&lt;85.4,"medium low",
Q635&lt;128,"medium high",
Q635&gt;=128,"high"
)</f>
        <v>high</v>
      </c>
      <c r="S635" t="str" cm="1">
        <f t="array" ref="S635">_xlfn.IFS(J635&lt;700,"low",J635&lt;1600,"medium low",J635&lt;2200,"medium high",J635&gt;=2200,"high")</f>
        <v>medium low</v>
      </c>
      <c r="T635" t="str" cm="1">
        <f t="array" ref="T635">_xlfn.IFS(
J635&lt;630,"Low",
J635&lt;1287,"Medium",
J635&lt;1495,"Intermediate",
J635&lt;1668,"Moderately",
J635&lt;1843,"Transition",
J635&lt;2477,"High",
J635&lt;2996,"Refractory I",
TRUE,"Refractory II"
)</f>
        <v>Intermediate</v>
      </c>
      <c r="U635">
        <f t="shared" si="30"/>
        <v>1.0305332868595332</v>
      </c>
      <c r="V635" t="str" cm="1">
        <f t="array" ref="V635">_xlfn.IFS(U635&lt;0.25,"shallow condution",
U635&lt;0.5,"transition",
U635&lt;1,"conduction",
U635&lt;1.5,"transition",U635&lt;3,"keyholeⅠ",3&lt;=U635,"keyhole Ⅱ"
)</f>
        <v>transition</v>
      </c>
      <c r="X635">
        <f t="shared" si="31"/>
        <v>0.97037137252249184</v>
      </c>
    </row>
    <row r="636" spans="1:24">
      <c r="A636" s="2" t="s">
        <v>62</v>
      </c>
      <c r="B636" s="4">
        <v>250</v>
      </c>
      <c r="C636" s="4">
        <v>300</v>
      </c>
      <c r="D636" s="4">
        <v>2.3290000000000002</v>
      </c>
      <c r="E636" s="4">
        <v>50.2</v>
      </c>
      <c r="F636" s="4">
        <v>1300</v>
      </c>
      <c r="G636" s="16" t="s">
        <v>103</v>
      </c>
      <c r="H636" s="4">
        <v>0.70499999999999996</v>
      </c>
      <c r="I636" s="4">
        <v>148</v>
      </c>
      <c r="J636" s="4">
        <v>1414</v>
      </c>
      <c r="K636" s="4">
        <v>2900</v>
      </c>
      <c r="L636" s="4">
        <v>0.3</v>
      </c>
      <c r="M636" s="4">
        <v>291.77999999999997</v>
      </c>
      <c r="N636" s="5">
        <v>376.95</v>
      </c>
      <c r="Q636" s="1">
        <f t="shared" si="29"/>
        <v>213.67521367521368</v>
      </c>
      <c r="R636" t="str" cm="1">
        <f t="array" ref="R636">_xlfn.IFS(Q636&lt;42.7, "low",
Q636&lt;85.4,"medium low",
Q636&lt;128,"medium high",
Q636&gt;=128,"high"
)</f>
        <v>high</v>
      </c>
      <c r="S636" t="str" cm="1">
        <f t="array" ref="S636">_xlfn.IFS(J636&lt;700,"low",J636&lt;1600,"medium low",J636&lt;2200,"medium high",J636&gt;=2200,"high")</f>
        <v>medium low</v>
      </c>
      <c r="T636" t="str" cm="1">
        <f t="array" ref="T636">_xlfn.IFS(
J636&lt;630,"Low",
J636&lt;1287,"Medium",
J636&lt;1495,"Intermediate",
J636&lt;1668,"Moderately",
J636&lt;1843,"Transition",
J636&lt;2477,"High",
J636&lt;2996,"Refractory I",
TRUE,"Refractory II"
)</f>
        <v>Intermediate</v>
      </c>
      <c r="U636">
        <f t="shared" si="30"/>
        <v>1.2918980053464939</v>
      </c>
      <c r="V636" t="str" cm="1">
        <f t="array" ref="V636">_xlfn.IFS(U636&lt;0.25,"shallow condution",
U636&lt;0.5,"transition",
U636&lt;1,"conduction",
U636&lt;1.5,"transition",U636&lt;3,"keyholeⅠ",3&lt;=U636,"keyhole Ⅱ"
)</f>
        <v>transition</v>
      </c>
      <c r="X636">
        <f t="shared" si="31"/>
        <v>0.7740549144448865</v>
      </c>
    </row>
    <row r="637" spans="1:24">
      <c r="A637" s="2" t="s">
        <v>62</v>
      </c>
      <c r="B637" s="4">
        <v>300</v>
      </c>
      <c r="C637" s="4">
        <v>300</v>
      </c>
      <c r="D637" s="4">
        <v>2.3290000000000002</v>
      </c>
      <c r="E637" s="4">
        <v>50.2</v>
      </c>
      <c r="F637" s="4">
        <v>1300</v>
      </c>
      <c r="G637" s="16" t="s">
        <v>103</v>
      </c>
      <c r="H637" s="4">
        <v>0.70499999999999996</v>
      </c>
      <c r="I637" s="4">
        <v>148</v>
      </c>
      <c r="J637" s="4">
        <v>1414</v>
      </c>
      <c r="K637" s="4">
        <v>2900</v>
      </c>
      <c r="L637" s="4">
        <v>0.3</v>
      </c>
      <c r="M637" s="4">
        <v>319.11</v>
      </c>
      <c r="N637" s="5">
        <v>483</v>
      </c>
      <c r="Q637" s="1">
        <f t="shared" si="29"/>
        <v>256.41025641025641</v>
      </c>
      <c r="R637" t="str" cm="1">
        <f t="array" ref="R637">_xlfn.IFS(Q637&lt;42.7, "low",
Q637&lt;85.4,"medium low",
Q637&lt;128,"medium high",
Q637&gt;=128,"high"
)</f>
        <v>high</v>
      </c>
      <c r="S637" t="str" cm="1">
        <f t="array" ref="S637">_xlfn.IFS(J637&lt;700,"low",J637&lt;1600,"medium low",J637&lt;2200,"medium high",J637&gt;=2200,"high")</f>
        <v>medium low</v>
      </c>
      <c r="T637" t="str" cm="1">
        <f t="array" ref="T637">_xlfn.IFS(
J637&lt;630,"Low",
J637&lt;1287,"Medium",
J637&lt;1495,"Intermediate",
J637&lt;1668,"Moderately",
J637&lt;1843,"Transition",
J637&lt;2477,"High",
J637&lt;2996,"Refractory I",
TRUE,"Refractory II"
)</f>
        <v>Intermediate</v>
      </c>
      <c r="U637">
        <f t="shared" si="30"/>
        <v>1.5135846573281939</v>
      </c>
      <c r="V637" t="str" cm="1">
        <f t="array" ref="V637">_xlfn.IFS(U637&lt;0.25,"shallow condution",
U637&lt;0.5,"transition",
U637&lt;1,"conduction",
U637&lt;1.5,"transition",U637&lt;3,"keyholeⅠ",3&lt;=U637,"keyhole Ⅱ"
)</f>
        <v>keyholeⅠ</v>
      </c>
      <c r="X637">
        <f t="shared" si="31"/>
        <v>0.66068322981366467</v>
      </c>
    </row>
    <row r="638" spans="1:24">
      <c r="A638" s="2" t="s">
        <v>62</v>
      </c>
      <c r="B638" s="4">
        <v>100</v>
      </c>
      <c r="C638" s="4">
        <v>600</v>
      </c>
      <c r="D638" s="4">
        <v>2.3290000000000002</v>
      </c>
      <c r="E638" s="4">
        <v>50.2</v>
      </c>
      <c r="F638" s="4">
        <v>1300</v>
      </c>
      <c r="G638" s="16" t="s">
        <v>103</v>
      </c>
      <c r="H638" s="4">
        <v>0.70499999999999996</v>
      </c>
      <c r="I638" s="4">
        <v>148</v>
      </c>
      <c r="J638" s="4">
        <v>1414</v>
      </c>
      <c r="K638" s="4">
        <v>2900</v>
      </c>
      <c r="L638" s="4">
        <v>0.3</v>
      </c>
      <c r="M638" s="4">
        <v>83.24</v>
      </c>
      <c r="N638" s="5">
        <v>36.54</v>
      </c>
      <c r="Q638" s="1">
        <f t="shared" ref="Q638:Q647" si="32">B638*10^6/(C638*130*30)</f>
        <v>42.735042735042732</v>
      </c>
      <c r="R638" t="str" cm="1">
        <f t="array" ref="R638">_xlfn.IFS(Q638&lt;42.7, "low",
Q638&lt;85.4,"medium low",
Q638&lt;128,"medium high",
Q638&gt;=128,"high"
)</f>
        <v>medium low</v>
      </c>
      <c r="S638" t="str" cm="1">
        <f t="array" ref="S638">_xlfn.IFS(J638&lt;700,"low",J638&lt;1600,"medium low",J638&lt;2200,"medium high",J638&gt;=2200,"high")</f>
        <v>medium low</v>
      </c>
      <c r="T638" t="str" cm="1">
        <f t="array" ref="T638">_xlfn.IFS(
J638&lt;630,"Low",
J638&lt;1287,"Medium",
J638&lt;1495,"Intermediate",
J638&lt;1668,"Moderately",
J638&lt;1843,"Transition",
J638&lt;2477,"High",
J638&lt;2996,"Refractory I",
TRUE,"Refractory II"
)</f>
        <v>Intermediate</v>
      </c>
      <c r="U638">
        <f t="shared" ref="U638:U647" si="33">N638/M638</f>
        <v>0.43897164824603557</v>
      </c>
      <c r="V638" t="str" cm="1">
        <f t="array" ref="V638">_xlfn.IFS(U638&lt;0.25,"shallow condution",
U638&lt;0.5,"transition",
U638&lt;1,"conduction",
U638&lt;1.5,"transition",U638&lt;3,"keyholeⅠ",3&lt;=U638,"keyhole Ⅱ"
)</f>
        <v>transition</v>
      </c>
      <c r="X638">
        <f t="shared" ref="X638:X647" si="34">M638/N638</f>
        <v>2.2780514504652434</v>
      </c>
    </row>
    <row r="639" spans="1:24">
      <c r="A639" s="2" t="s">
        <v>62</v>
      </c>
      <c r="B639" s="4">
        <v>150</v>
      </c>
      <c r="C639" s="4">
        <v>600</v>
      </c>
      <c r="D639" s="4">
        <v>2.3290000000000002</v>
      </c>
      <c r="E639" s="4">
        <v>50.2</v>
      </c>
      <c r="F639" s="4">
        <v>1300</v>
      </c>
      <c r="G639" s="16" t="s">
        <v>103</v>
      </c>
      <c r="H639" s="4">
        <v>0.70499999999999996</v>
      </c>
      <c r="I639" s="4">
        <v>148</v>
      </c>
      <c r="J639" s="4">
        <v>1414</v>
      </c>
      <c r="K639" s="4">
        <v>2900</v>
      </c>
      <c r="L639" s="4">
        <v>0.3</v>
      </c>
      <c r="M639" s="4">
        <v>142</v>
      </c>
      <c r="N639" s="5">
        <v>119.45</v>
      </c>
      <c r="Q639" s="1">
        <f t="shared" si="32"/>
        <v>64.102564102564102</v>
      </c>
      <c r="R639" t="str" cm="1">
        <f t="array" ref="R639">_xlfn.IFS(Q639&lt;42.7, "low",
Q639&lt;85.4,"medium low",
Q639&lt;128,"medium high",
Q639&gt;=128,"high"
)</f>
        <v>medium low</v>
      </c>
      <c r="S639" t="str" cm="1">
        <f t="array" ref="S639">_xlfn.IFS(J639&lt;700,"low",J639&lt;1600,"medium low",J639&lt;2200,"medium high",J639&gt;=2200,"high")</f>
        <v>medium low</v>
      </c>
      <c r="T639" t="str" cm="1">
        <f t="array" ref="T639">_xlfn.IFS(
J639&lt;630,"Low",
J639&lt;1287,"Medium",
J639&lt;1495,"Intermediate",
J639&lt;1668,"Moderately",
J639&lt;1843,"Transition",
J639&lt;2477,"High",
J639&lt;2996,"Refractory I",
TRUE,"Refractory II"
)</f>
        <v>Intermediate</v>
      </c>
      <c r="U639">
        <f t="shared" si="33"/>
        <v>0.84119718309859159</v>
      </c>
      <c r="V639" t="str" cm="1">
        <f t="array" ref="V639">_xlfn.IFS(U639&lt;0.25,"shallow condution",
U639&lt;0.5,"transition",
U639&lt;1,"conduction",
U639&lt;1.5,"transition",U639&lt;3,"keyholeⅠ",3&lt;=U639,"keyhole Ⅱ"
)</f>
        <v>conduction</v>
      </c>
      <c r="X639">
        <f t="shared" si="34"/>
        <v>1.1887819171201339</v>
      </c>
    </row>
    <row r="640" spans="1:24">
      <c r="A640" s="2" t="s">
        <v>62</v>
      </c>
      <c r="B640" s="4">
        <v>200</v>
      </c>
      <c r="C640" s="4">
        <v>600</v>
      </c>
      <c r="D640" s="4">
        <v>2.3290000000000002</v>
      </c>
      <c r="E640" s="4">
        <v>50.2</v>
      </c>
      <c r="F640" s="4">
        <v>1300</v>
      </c>
      <c r="G640" s="16" t="s">
        <v>103</v>
      </c>
      <c r="H640" s="4">
        <v>0.70499999999999996</v>
      </c>
      <c r="I640" s="4">
        <v>148</v>
      </c>
      <c r="J640" s="4">
        <v>1414</v>
      </c>
      <c r="K640" s="4">
        <v>2900</v>
      </c>
      <c r="L640" s="4">
        <v>0.3</v>
      </c>
      <c r="M640" s="4">
        <v>167.35</v>
      </c>
      <c r="N640" s="5">
        <v>180.22</v>
      </c>
      <c r="Q640" s="1">
        <f t="shared" si="32"/>
        <v>85.470085470085465</v>
      </c>
      <c r="R640" t="str" cm="1">
        <f t="array" ref="R640">_xlfn.IFS(Q640&lt;42.7, "low",
Q640&lt;85.4,"medium low",
Q640&lt;128,"medium high",
Q640&gt;=128,"high"
)</f>
        <v>medium high</v>
      </c>
      <c r="S640" t="str" cm="1">
        <f t="array" ref="S640">_xlfn.IFS(J640&lt;700,"low",J640&lt;1600,"medium low",J640&lt;2200,"medium high",J640&gt;=2200,"high")</f>
        <v>medium low</v>
      </c>
      <c r="T640" t="str" cm="1">
        <f t="array" ref="T640">_xlfn.IFS(
J640&lt;630,"Low",
J640&lt;1287,"Medium",
J640&lt;1495,"Intermediate",
J640&lt;1668,"Moderately",
J640&lt;1843,"Transition",
J640&lt;2477,"High",
J640&lt;2996,"Refractory I",
TRUE,"Refractory II"
)</f>
        <v>Intermediate</v>
      </c>
      <c r="U640">
        <f t="shared" si="33"/>
        <v>1.0769046907678519</v>
      </c>
      <c r="V640" t="str" cm="1">
        <f t="array" ref="V640">_xlfn.IFS(U640&lt;0.25,"shallow condution",
U640&lt;0.5,"transition",
U640&lt;1,"conduction",
U640&lt;1.5,"transition",U640&lt;3,"keyholeⅠ",3&lt;=U640,"keyhole Ⅱ"
)</f>
        <v>transition</v>
      </c>
      <c r="X640">
        <f t="shared" si="34"/>
        <v>0.92858728221063147</v>
      </c>
    </row>
    <row r="641" spans="1:24">
      <c r="A641" s="2" t="s">
        <v>62</v>
      </c>
      <c r="B641" s="4">
        <v>250</v>
      </c>
      <c r="C641" s="4">
        <v>600</v>
      </c>
      <c r="D641" s="4">
        <v>2.3290000000000002</v>
      </c>
      <c r="E641" s="4">
        <v>50.2</v>
      </c>
      <c r="F641" s="4">
        <v>1300</v>
      </c>
      <c r="G641" s="16" t="s">
        <v>103</v>
      </c>
      <c r="H641" s="4">
        <v>0.70499999999999996</v>
      </c>
      <c r="I641" s="4">
        <v>148</v>
      </c>
      <c r="J641" s="4">
        <v>1414</v>
      </c>
      <c r="K641" s="4">
        <v>2900</v>
      </c>
      <c r="L641" s="4">
        <v>0.3</v>
      </c>
      <c r="M641" s="4">
        <v>190.53</v>
      </c>
      <c r="N641" s="5">
        <v>258.24</v>
      </c>
      <c r="Q641" s="1">
        <f t="shared" si="32"/>
        <v>106.83760683760684</v>
      </c>
      <c r="R641" t="str" cm="1">
        <f t="array" ref="R641">_xlfn.IFS(Q641&lt;42.7, "low",
Q641&lt;85.4,"medium low",
Q641&lt;128,"medium high",
Q641&gt;=128,"high"
)</f>
        <v>medium high</v>
      </c>
      <c r="S641" t="str" cm="1">
        <f t="array" ref="S641">_xlfn.IFS(J641&lt;700,"low",J641&lt;1600,"medium low",J641&lt;2200,"medium high",J641&gt;=2200,"high")</f>
        <v>medium low</v>
      </c>
      <c r="T641" t="str" cm="1">
        <f t="array" ref="T641">_xlfn.IFS(
J641&lt;630,"Low",
J641&lt;1287,"Medium",
J641&lt;1495,"Intermediate",
J641&lt;1668,"Moderately",
J641&lt;1843,"Transition",
J641&lt;2477,"High",
J641&lt;2996,"Refractory I",
TRUE,"Refractory II"
)</f>
        <v>Intermediate</v>
      </c>
      <c r="U641">
        <f t="shared" si="33"/>
        <v>1.3553771059675641</v>
      </c>
      <c r="V641" t="str" cm="1">
        <f t="array" ref="V641">_xlfn.IFS(U641&lt;0.25,"shallow condution",
U641&lt;0.5,"transition",
U641&lt;1,"conduction",
U641&lt;1.5,"transition",U641&lt;3,"keyholeⅠ",3&lt;=U641,"keyhole Ⅱ"
)</f>
        <v>transition</v>
      </c>
      <c r="X641">
        <f t="shared" si="34"/>
        <v>0.73780204460966536</v>
      </c>
    </row>
    <row r="642" spans="1:24">
      <c r="A642" s="2" t="s">
        <v>62</v>
      </c>
      <c r="B642" s="4">
        <v>300</v>
      </c>
      <c r="C642" s="4">
        <v>600</v>
      </c>
      <c r="D642" s="4">
        <v>2.3290000000000002</v>
      </c>
      <c r="E642" s="4">
        <v>50.2</v>
      </c>
      <c r="F642" s="4">
        <v>1300</v>
      </c>
      <c r="G642" s="16" t="s">
        <v>103</v>
      </c>
      <c r="H642" s="4">
        <v>0.70499999999999996</v>
      </c>
      <c r="I642" s="4">
        <v>148</v>
      </c>
      <c r="J642" s="4">
        <v>1414</v>
      </c>
      <c r="K642" s="4">
        <v>2900</v>
      </c>
      <c r="L642" s="4">
        <v>0.3</v>
      </c>
      <c r="M642" s="4">
        <v>243.17</v>
      </c>
      <c r="N642" s="5">
        <v>317.97000000000003</v>
      </c>
      <c r="Q642" s="1">
        <f t="shared" si="32"/>
        <v>128.2051282051282</v>
      </c>
      <c r="R642" t="str" cm="1">
        <f t="array" ref="R642">_xlfn.IFS(Q642&lt;42.7, "low",
Q642&lt;85.4,"medium low",
Q642&lt;128,"medium high",
Q642&gt;=128,"high"
)</f>
        <v>high</v>
      </c>
      <c r="S642" t="str" cm="1">
        <f t="array" ref="S642">_xlfn.IFS(J642&lt;700,"low",J642&lt;1600,"medium low",J642&lt;2200,"medium high",J642&gt;=2200,"high")</f>
        <v>medium low</v>
      </c>
      <c r="T642" t="str" cm="1">
        <f t="array" ref="T642">_xlfn.IFS(
J642&lt;630,"Low",
J642&lt;1287,"Medium",
J642&lt;1495,"Intermediate",
J642&lt;1668,"Moderately",
J642&lt;1843,"Transition",
J642&lt;2477,"High",
J642&lt;2996,"Refractory I",
TRUE,"Refractory II"
)</f>
        <v>Intermediate</v>
      </c>
      <c r="U642">
        <f t="shared" si="33"/>
        <v>1.307603734013242</v>
      </c>
      <c r="V642" t="str" cm="1">
        <f t="array" ref="V642">_xlfn.IFS(U642&lt;0.25,"shallow condution",
U642&lt;0.5,"transition",
U642&lt;1,"conduction",
U642&lt;1.5,"transition",U642&lt;3,"keyholeⅠ",3&lt;=U642,"keyhole Ⅱ"
)</f>
        <v>transition</v>
      </c>
      <c r="X642">
        <f t="shared" si="34"/>
        <v>0.76475768154228374</v>
      </c>
    </row>
    <row r="643" spans="1:24">
      <c r="A643" s="2" t="s">
        <v>62</v>
      </c>
      <c r="B643" s="4">
        <v>100</v>
      </c>
      <c r="C643" s="4">
        <v>900</v>
      </c>
      <c r="D643" s="4">
        <v>2.3290000000000002</v>
      </c>
      <c r="E643" s="4">
        <v>50.2</v>
      </c>
      <c r="F643" s="4">
        <v>1300</v>
      </c>
      <c r="G643" s="16" t="s">
        <v>103</v>
      </c>
      <c r="H643" s="4">
        <v>0.70499999999999996</v>
      </c>
      <c r="I643" s="4">
        <v>148</v>
      </c>
      <c r="J643" s="4">
        <v>1414</v>
      </c>
      <c r="K643" s="4">
        <v>2900</v>
      </c>
      <c r="L643" s="4">
        <v>0.3</v>
      </c>
      <c r="M643" s="4">
        <v>72.739999999999995</v>
      </c>
      <c r="N643" s="5">
        <v>27.35</v>
      </c>
      <c r="Q643" s="1">
        <f t="shared" si="32"/>
        <v>28.490028490028489</v>
      </c>
      <c r="R643" t="str" cm="1">
        <f t="array" ref="R643">_xlfn.IFS(Q643&lt;42.7, "low",
Q643&lt;85.4,"medium low",
Q643&lt;128,"medium high",
Q643&gt;=128,"high"
)</f>
        <v>low</v>
      </c>
      <c r="S643" t="str" cm="1">
        <f t="array" ref="S643">_xlfn.IFS(J643&lt;700,"low",J643&lt;1600,"medium low",J643&lt;2200,"medium high",J643&gt;=2200,"high")</f>
        <v>medium low</v>
      </c>
      <c r="T643" t="str" cm="1">
        <f t="array" ref="T643">_xlfn.IFS(
J643&lt;630,"Low",
J643&lt;1287,"Medium",
J643&lt;1495,"Intermediate",
J643&lt;1668,"Moderately",
J643&lt;1843,"Transition",
J643&lt;2477,"High",
J643&lt;2996,"Refractory I",
TRUE,"Refractory II"
)</f>
        <v>Intermediate</v>
      </c>
      <c r="U643">
        <f t="shared" si="33"/>
        <v>0.37599670057739898</v>
      </c>
      <c r="V643" t="str" cm="1">
        <f t="array" ref="V643">_xlfn.IFS(U643&lt;0.25,"shallow condution",
U643&lt;0.5,"transition",
U643&lt;1,"conduction",
U643&lt;1.5,"transition",U643&lt;3,"keyholeⅠ",3&lt;=U643,"keyhole Ⅱ"
)</f>
        <v>transition</v>
      </c>
      <c r="X643">
        <f t="shared" si="34"/>
        <v>2.6595978062157219</v>
      </c>
    </row>
    <row r="644" spans="1:24">
      <c r="A644" s="2" t="s">
        <v>62</v>
      </c>
      <c r="B644" s="4">
        <v>150</v>
      </c>
      <c r="C644" s="4">
        <v>900</v>
      </c>
      <c r="D644" s="4">
        <v>2.3290000000000002</v>
      </c>
      <c r="E644" s="4">
        <v>50.2</v>
      </c>
      <c r="F644" s="4">
        <v>1300</v>
      </c>
      <c r="G644" s="16" t="s">
        <v>103</v>
      </c>
      <c r="H644" s="4">
        <v>0.70499999999999996</v>
      </c>
      <c r="I644" s="4">
        <v>148</v>
      </c>
      <c r="J644" s="4">
        <v>1414</v>
      </c>
      <c r="K644" s="4">
        <v>2900</v>
      </c>
      <c r="L644" s="4">
        <v>0.3</v>
      </c>
      <c r="M644" s="4">
        <v>128.46</v>
      </c>
      <c r="N644" s="5">
        <v>58.39</v>
      </c>
      <c r="Q644" s="1">
        <f t="shared" si="32"/>
        <v>42.735042735042732</v>
      </c>
      <c r="R644" t="str" cm="1">
        <f t="array" ref="R644">_xlfn.IFS(Q644&lt;42.7, "low",
Q644&lt;85.4,"medium low",
Q644&lt;128,"medium high",
Q644&gt;=128,"high"
)</f>
        <v>medium low</v>
      </c>
      <c r="S644" t="str" cm="1">
        <f t="array" ref="S644">_xlfn.IFS(J644&lt;700,"low",J644&lt;1600,"medium low",J644&lt;2200,"medium high",J644&gt;=2200,"high")</f>
        <v>medium low</v>
      </c>
      <c r="T644" t="str" cm="1">
        <f t="array" ref="T644">_xlfn.IFS(
J644&lt;630,"Low",
J644&lt;1287,"Medium",
J644&lt;1495,"Intermediate",
J644&lt;1668,"Moderately",
J644&lt;1843,"Transition",
J644&lt;2477,"High",
J644&lt;2996,"Refractory I",
TRUE,"Refractory II"
)</f>
        <v>Intermediate</v>
      </c>
      <c r="U644">
        <f t="shared" si="33"/>
        <v>0.45453837770512218</v>
      </c>
      <c r="V644" t="str" cm="1">
        <f t="array" ref="V644">_xlfn.IFS(U644&lt;0.25,"shallow condution",
U644&lt;0.5,"transition",
U644&lt;1,"conduction",
U644&lt;1.5,"transition",U644&lt;3,"keyholeⅠ",3&lt;=U644,"keyhole Ⅱ"
)</f>
        <v>transition</v>
      </c>
      <c r="X644">
        <f t="shared" si="34"/>
        <v>2.2000342524404863</v>
      </c>
    </row>
    <row r="645" spans="1:24">
      <c r="A645" s="2" t="s">
        <v>62</v>
      </c>
      <c r="B645" s="4">
        <v>200</v>
      </c>
      <c r="C645" s="4">
        <v>900</v>
      </c>
      <c r="D645" s="4">
        <v>2.3290000000000002</v>
      </c>
      <c r="E645" s="4">
        <v>50.2</v>
      </c>
      <c r="F645" s="4">
        <v>1300</v>
      </c>
      <c r="G645" s="16" t="s">
        <v>103</v>
      </c>
      <c r="H645" s="4">
        <v>0.70499999999999996</v>
      </c>
      <c r="I645" s="4">
        <v>148</v>
      </c>
      <c r="J645" s="4">
        <v>1414</v>
      </c>
      <c r="K645" s="4">
        <v>2900</v>
      </c>
      <c r="L645" s="4">
        <v>0.3</v>
      </c>
      <c r="M645" s="4">
        <v>172.29</v>
      </c>
      <c r="N645" s="5">
        <v>136.22999999999999</v>
      </c>
      <c r="Q645" s="1">
        <f t="shared" si="32"/>
        <v>56.980056980056979</v>
      </c>
      <c r="R645" t="str" cm="1">
        <f t="array" ref="R645">_xlfn.IFS(Q645&lt;42.7, "low",
Q645&lt;85.4,"medium low",
Q645&lt;128,"medium high",
Q645&gt;=128,"high"
)</f>
        <v>medium low</v>
      </c>
      <c r="S645" t="str" cm="1">
        <f t="array" ref="S645">_xlfn.IFS(J645&lt;700,"low",J645&lt;1600,"medium low",J645&lt;2200,"medium high",J645&gt;=2200,"high")</f>
        <v>medium low</v>
      </c>
      <c r="T645" t="str" cm="1">
        <f t="array" ref="T645">_xlfn.IFS(
J645&lt;630,"Low",
J645&lt;1287,"Medium",
J645&lt;1495,"Intermediate",
J645&lt;1668,"Moderately",
J645&lt;1843,"Transition",
J645&lt;2477,"High",
J645&lt;2996,"Refractory I",
TRUE,"Refractory II"
)</f>
        <v>Intermediate</v>
      </c>
      <c r="U645">
        <f t="shared" si="33"/>
        <v>0.79070172383771542</v>
      </c>
      <c r="V645" t="str" cm="1">
        <f t="array" ref="V645">_xlfn.IFS(U645&lt;0.25,"shallow condution",
U645&lt;0.5,"transition",
U645&lt;1,"conduction",
U645&lt;1.5,"transition",U645&lt;3,"keyholeⅠ",3&lt;=U645,"keyhole Ⅱ"
)</f>
        <v>conduction</v>
      </c>
      <c r="X645">
        <f t="shared" si="34"/>
        <v>1.2646994054173091</v>
      </c>
    </row>
    <row r="646" spans="1:24">
      <c r="A646" s="2" t="s">
        <v>62</v>
      </c>
      <c r="B646" s="4">
        <v>250</v>
      </c>
      <c r="C646" s="4">
        <v>900</v>
      </c>
      <c r="D646" s="4">
        <v>2.3290000000000002</v>
      </c>
      <c r="E646" s="4">
        <v>50.2</v>
      </c>
      <c r="F646" s="4">
        <v>1300</v>
      </c>
      <c r="G646" s="16" t="s">
        <v>103</v>
      </c>
      <c r="H646" s="4">
        <v>0.70499999999999996</v>
      </c>
      <c r="I646" s="4">
        <v>148</v>
      </c>
      <c r="J646" s="4">
        <v>1414</v>
      </c>
      <c r="K646" s="4">
        <v>2900</v>
      </c>
      <c r="L646" s="4">
        <v>0.3</v>
      </c>
      <c r="M646" s="4">
        <v>214.49</v>
      </c>
      <c r="N646" s="5">
        <v>184.1</v>
      </c>
      <c r="Q646" s="1">
        <f t="shared" si="32"/>
        <v>71.225071225071218</v>
      </c>
      <c r="R646" t="str" cm="1">
        <f t="array" ref="R646">_xlfn.IFS(Q646&lt;42.7, "low",
Q646&lt;85.4,"medium low",
Q646&lt;128,"medium high",
Q646&gt;=128,"high"
)</f>
        <v>medium low</v>
      </c>
      <c r="S646" t="str" cm="1">
        <f t="array" ref="S646">_xlfn.IFS(J646&lt;700,"low",J646&lt;1600,"medium low",J646&lt;2200,"medium high",J646&gt;=2200,"high")</f>
        <v>medium low</v>
      </c>
      <c r="T646" t="str" cm="1">
        <f t="array" ref="T646">_xlfn.IFS(
J646&lt;630,"Low",
J646&lt;1287,"Medium",
J646&lt;1495,"Intermediate",
J646&lt;1668,"Moderately",
J646&lt;1843,"Transition",
J646&lt;2477,"High",
J646&lt;2996,"Refractory I",
TRUE,"Refractory II"
)</f>
        <v>Intermediate</v>
      </c>
      <c r="U646">
        <f t="shared" si="33"/>
        <v>0.85831507296377452</v>
      </c>
      <c r="V646" t="str" cm="1">
        <f t="array" ref="V646">_xlfn.IFS(U646&lt;0.25,"shallow condution",
U646&lt;0.5,"transition",
U646&lt;1,"conduction",
U646&lt;1.5,"transition",U646&lt;3,"keyholeⅠ",3&lt;=U646,"keyhole Ⅱ"
)</f>
        <v>conduction</v>
      </c>
      <c r="X646">
        <f t="shared" si="34"/>
        <v>1.165073329712113</v>
      </c>
    </row>
    <row r="647" spans="1:24" ht="14.45" thickBot="1">
      <c r="A647" s="3" t="s">
        <v>62</v>
      </c>
      <c r="B647" s="7">
        <v>300</v>
      </c>
      <c r="C647" s="7">
        <v>900</v>
      </c>
      <c r="D647" s="7">
        <v>2.3290000000000002</v>
      </c>
      <c r="E647" s="7">
        <v>50.2</v>
      </c>
      <c r="F647" s="7">
        <v>1300</v>
      </c>
      <c r="G647" s="16" t="s">
        <v>103</v>
      </c>
      <c r="H647" s="7">
        <v>0.70499999999999996</v>
      </c>
      <c r="I647" s="7">
        <v>148</v>
      </c>
      <c r="J647" s="7">
        <v>1414</v>
      </c>
      <c r="K647" s="7">
        <v>2900</v>
      </c>
      <c r="L647" s="7">
        <v>0.3</v>
      </c>
      <c r="M647" s="7">
        <v>204.83</v>
      </c>
      <c r="N647" s="15">
        <v>226.74</v>
      </c>
      <c r="Q647" s="1">
        <f t="shared" si="32"/>
        <v>85.470085470085465</v>
      </c>
      <c r="R647" t="str" cm="1">
        <f t="array" ref="R647">_xlfn.IFS(Q647&lt;42.7, "low",
Q647&lt;85.4,"medium low",
Q647&lt;128,"medium high",
Q647&gt;=128,"high"
)</f>
        <v>medium high</v>
      </c>
      <c r="S647" t="str" cm="1">
        <f t="array" ref="S647">_xlfn.IFS(J647&lt;700,"low",J647&lt;1600,"medium low",J647&lt;2200,"medium high",J647&gt;=2200,"high")</f>
        <v>medium low</v>
      </c>
      <c r="T647" t="str" cm="1">
        <f t="array" ref="T647">_xlfn.IFS(
J647&lt;630,"Low",
J647&lt;1287,"Medium",
J647&lt;1495,"Intermediate",
J647&lt;1668,"Moderately",
J647&lt;1843,"Transition",
J647&lt;2477,"High",
J647&lt;2996,"Refractory I",
TRUE,"Refractory II"
)</f>
        <v>Intermediate</v>
      </c>
      <c r="U647">
        <f t="shared" si="33"/>
        <v>1.106966752917053</v>
      </c>
      <c r="V647" t="str" cm="1">
        <f t="array" ref="V647">_xlfn.IFS(U647&lt;0.25,"shallow condution",
U647&lt;0.5,"transition",
U647&lt;1,"conduction",
U647&lt;1.5,"transition",U647&lt;3,"keyholeⅠ",3&lt;=U647,"keyhole Ⅱ"
)</f>
        <v>transition</v>
      </c>
      <c r="X647">
        <f t="shared" si="34"/>
        <v>0.90336949810355471</v>
      </c>
    </row>
  </sheetData>
  <mergeCells count="1">
    <mergeCell ref="S1:T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7A6F7-CB12-4339-B8B0-E3CFB1DC0CC4}">
  <dimension ref="A1:AG695"/>
  <sheetViews>
    <sheetView zoomScale="70" zoomScaleNormal="70" workbookViewId="0">
      <pane ySplit="1" topLeftCell="A249" activePane="bottomLeft" state="frozen"/>
      <selection pane="bottomLeft" activeCell="M158" sqref="M158:N188"/>
    </sheetView>
  </sheetViews>
  <sheetFormatPr defaultColWidth="8.75" defaultRowHeight="18"/>
  <cols>
    <col min="1" max="1" width="8.75" style="42"/>
    <col min="2" max="5" width="16.5" style="42" customWidth="1"/>
    <col min="6" max="9" width="21.875" style="42" customWidth="1"/>
    <col min="10" max="14" width="17.375" style="42" customWidth="1"/>
    <col min="15" max="16" width="9" style="43" bestFit="1" customWidth="1"/>
    <col min="17" max="17" width="15.875" style="43" bestFit="1" customWidth="1"/>
    <col min="18" max="19" width="9" style="43" bestFit="1" customWidth="1"/>
    <col min="20" max="20" width="17.5" style="43" customWidth="1"/>
    <col min="21" max="21" width="8.75" style="43"/>
    <col min="22" max="22" width="9" style="43" bestFit="1" customWidth="1"/>
    <col min="23" max="23" width="11.875" style="43" bestFit="1" customWidth="1"/>
    <col min="24" max="28" width="9" style="43" bestFit="1" customWidth="1"/>
    <col min="29" max="32" width="8.75" style="43"/>
    <col min="33" max="33" width="9" style="43" bestFit="1" customWidth="1"/>
    <col min="34" max="16384" width="8.75" style="43"/>
  </cols>
  <sheetData>
    <row r="1" spans="1:28" s="40" customFormat="1" ht="54">
      <c r="A1" s="39" t="s">
        <v>0</v>
      </c>
      <c r="B1" s="39" t="s">
        <v>1</v>
      </c>
      <c r="C1" s="39" t="s">
        <v>2</v>
      </c>
      <c r="D1" s="39" t="s">
        <v>3</v>
      </c>
      <c r="E1" s="39" t="s">
        <v>4</v>
      </c>
      <c r="F1" s="39" t="s">
        <v>5</v>
      </c>
      <c r="G1" s="39" t="s">
        <v>6</v>
      </c>
      <c r="H1" s="39" t="s">
        <v>7</v>
      </c>
      <c r="I1" s="39" t="s">
        <v>8</v>
      </c>
      <c r="J1" s="39" t="s">
        <v>9</v>
      </c>
      <c r="K1" s="39" t="s">
        <v>10</v>
      </c>
      <c r="L1" s="39" t="s">
        <v>11</v>
      </c>
      <c r="M1" s="39" t="s">
        <v>13</v>
      </c>
      <c r="N1" s="39" t="s">
        <v>14</v>
      </c>
      <c r="O1" s="40" t="s">
        <v>104</v>
      </c>
      <c r="P1" s="40" t="s">
        <v>105</v>
      </c>
      <c r="Q1" s="40" t="s">
        <v>106</v>
      </c>
      <c r="R1" s="40" t="s">
        <v>107</v>
      </c>
      <c r="S1" s="40" t="s">
        <v>108</v>
      </c>
      <c r="T1" s="41" t="s">
        <v>12</v>
      </c>
      <c r="V1" s="40" t="s">
        <v>109</v>
      </c>
      <c r="W1" s="40" t="s">
        <v>110</v>
      </c>
      <c r="X1" s="40" t="s">
        <v>111</v>
      </c>
      <c r="Y1" s="40" t="s">
        <v>82</v>
      </c>
      <c r="Z1" s="40" t="s">
        <v>112</v>
      </c>
      <c r="AA1" s="40" t="s">
        <v>113</v>
      </c>
      <c r="AB1" s="40" t="s">
        <v>114</v>
      </c>
    </row>
    <row r="2" spans="1:28" ht="18.600000000000001" thickBot="1">
      <c r="B2" s="42" t="s">
        <v>29</v>
      </c>
      <c r="C2" s="42" t="s">
        <v>33</v>
      </c>
      <c r="D2" s="42" t="s">
        <v>34</v>
      </c>
      <c r="E2" s="42" t="s">
        <v>35</v>
      </c>
      <c r="F2" s="42" t="s">
        <v>35</v>
      </c>
      <c r="G2" s="42" t="s">
        <v>36</v>
      </c>
      <c r="H2" s="42" t="s">
        <v>37</v>
      </c>
      <c r="I2" s="42" t="s">
        <v>38</v>
      </c>
      <c r="J2" s="42" t="s">
        <v>39</v>
      </c>
      <c r="K2" s="42" t="s">
        <v>39</v>
      </c>
      <c r="L2" s="42" t="s">
        <v>27</v>
      </c>
      <c r="M2" s="42" t="s">
        <v>41</v>
      </c>
      <c r="N2" s="42" t="s">
        <v>41</v>
      </c>
      <c r="O2" s="42" t="s">
        <v>115</v>
      </c>
      <c r="P2" s="42" t="s">
        <v>116</v>
      </c>
      <c r="Q2" s="42" t="s">
        <v>117</v>
      </c>
      <c r="R2" s="43" t="s">
        <v>41</v>
      </c>
      <c r="T2" s="43" t="s">
        <v>28</v>
      </c>
    </row>
    <row r="3" spans="1:28" ht="18.600000000000001" thickBot="1">
      <c r="A3" s="44" t="s">
        <v>42</v>
      </c>
      <c r="B3" s="45">
        <v>200</v>
      </c>
      <c r="C3" s="46">
        <v>200</v>
      </c>
      <c r="D3" s="46">
        <v>1.738</v>
      </c>
      <c r="E3" s="46">
        <v>357.95103888088869</v>
      </c>
      <c r="F3" s="46">
        <v>5241.7198107385311</v>
      </c>
      <c r="G3" s="46" t="s">
        <v>71</v>
      </c>
      <c r="H3" s="46">
        <v>1.0229999999999999</v>
      </c>
      <c r="I3" s="46">
        <v>156</v>
      </c>
      <c r="J3" s="46">
        <v>650</v>
      </c>
      <c r="K3" s="46">
        <v>1090</v>
      </c>
      <c r="L3" s="46">
        <v>0.6</v>
      </c>
      <c r="M3" s="46">
        <v>220.19</v>
      </c>
      <c r="N3" s="47">
        <v>427.22</v>
      </c>
      <c r="O3" s="43">
        <f>1-L3</f>
        <v>0.4</v>
      </c>
      <c r="P3" s="43">
        <f>H3*(J3-25)+E3</f>
        <v>997.32603888088875</v>
      </c>
      <c r="Q3" s="43">
        <f>I3/(D3*H3*10^6)</f>
        <v>8.7740315662658742E-5</v>
      </c>
      <c r="R3" s="43">
        <v>35</v>
      </c>
      <c r="S3" s="43">
        <f>B3/C3</f>
        <v>1</v>
      </c>
      <c r="T3" s="43">
        <f>(O3*B3)/(D3*P3*1000000*SQRT(PI()*(R3*0.000001)^3*Q3*(C3/1000)))</f>
        <v>30.020053360185024</v>
      </c>
      <c r="U3" s="43" t="str" cm="1">
        <f t="array" ref="U3">_xlfn.IFS(T3&lt;3,"Group I",T3&lt;5,"Group II",T3&lt;10,"Group III",T3&lt;20,"Group IV",T3&lt;50,"Group V",T3&lt;100,"Group VI",T3&lt;200,"Group VII",T3&lt;500,"Group VIII",T3&lt;1000,"Group IX",TRUE,"Group X")</f>
        <v>Group V</v>
      </c>
      <c r="V3" s="43">
        <f>LOG(T3)</f>
        <v>1.477411459859727</v>
      </c>
      <c r="W3" s="43">
        <f>(C3/1000)*(R3/1000000)/Q3</f>
        <v>7.9780884615384601E-2</v>
      </c>
      <c r="X3" s="43">
        <f>LOG(W3)</f>
        <v>-1.098101152515397</v>
      </c>
      <c r="Y3" s="43">
        <f>N3/M3</f>
        <v>1.9402334347608885</v>
      </c>
      <c r="Z3" s="43">
        <f>LOG(Y3)</f>
        <v>0.28785398422387365</v>
      </c>
      <c r="AA3" s="43">
        <f>(10^-0.7321)*W3^0.04497*T3*0.307</f>
        <v>1.5242921972398511</v>
      </c>
      <c r="AB3" s="43">
        <f>(10^-0.7272)*T3^0.2979</f>
        <v>0.51632228957083737</v>
      </c>
    </row>
    <row r="4" spans="1:28" ht="18.600000000000001" thickBot="1">
      <c r="A4" s="48" t="s">
        <v>42</v>
      </c>
      <c r="B4" s="49">
        <v>200</v>
      </c>
      <c r="C4" s="50">
        <v>400</v>
      </c>
      <c r="D4" s="50">
        <v>1.738</v>
      </c>
      <c r="E4" s="50">
        <v>357.95103888088869</v>
      </c>
      <c r="F4" s="50">
        <v>5241.7198107385311</v>
      </c>
      <c r="G4" s="46" t="s">
        <v>71</v>
      </c>
      <c r="H4" s="50">
        <v>1.0229999999999999</v>
      </c>
      <c r="I4" s="50">
        <v>156</v>
      </c>
      <c r="J4" s="50">
        <v>650</v>
      </c>
      <c r="K4" s="50">
        <v>1090</v>
      </c>
      <c r="L4" s="50">
        <v>0.6</v>
      </c>
      <c r="M4" s="50">
        <v>197.4</v>
      </c>
      <c r="N4" s="51">
        <v>243.73</v>
      </c>
      <c r="O4" s="43">
        <f t="shared" ref="O4:O67" si="0">1-L4</f>
        <v>0.4</v>
      </c>
      <c r="P4" s="43">
        <f t="shared" ref="P4:P67" si="1">H4*(J4-25)+E4</f>
        <v>997.32603888088875</v>
      </c>
      <c r="Q4" s="43">
        <f t="shared" ref="Q4:Q67" si="2">I4/(D4*H4*10^6)</f>
        <v>8.7740315662658742E-5</v>
      </c>
      <c r="R4" s="43">
        <v>35</v>
      </c>
      <c r="S4" s="43">
        <f t="shared" ref="S4:S67" si="3">B4/C4</f>
        <v>0.5</v>
      </c>
      <c r="T4" s="43">
        <f t="shared" ref="T4:T67" si="4">(O4*B4)/(D4*P4*1000000*SQRT(PI()*(R4*0.000001)^3*Q4*(C4/1000)))</f>
        <v>21.227383302568832</v>
      </c>
      <c r="U4" s="43" t="str" cm="1">
        <f t="array" ref="U4">_xlfn.IFS(T4&lt;3,"Group I",T4&lt;5,"Group II",T4&lt;10,"Group III",T4&lt;20,"Group IV",T4&lt;50,"Group V",T4&lt;100,"Group VI",T4&lt;200,"Group VII",T4&lt;500,"Group VIII",T4&lt;1000,"Group IX",TRUE,"Group X")</f>
        <v>Group V</v>
      </c>
      <c r="V4" s="43">
        <f t="shared" ref="V4:V67" si="5">LOG(T4)</f>
        <v>1.3268964620277364</v>
      </c>
      <c r="W4" s="43">
        <f t="shared" ref="W4:W67" si="6">(C4/1000)*(R4/1000000)/Q4</f>
        <v>0.1595617692307692</v>
      </c>
      <c r="X4" s="43">
        <f t="shared" ref="X4:X67" si="7">LOG(W4)</f>
        <v>-0.79707115685141583</v>
      </c>
      <c r="Y4" s="43">
        <f t="shared" ref="Y4:Y67" si="8">N4/M4</f>
        <v>1.2347011144883484</v>
      </c>
      <c r="Z4" s="43">
        <f t="shared" ref="Z4:Z67" si="9">LOG(Y4)</f>
        <v>9.1561840155923641E-2</v>
      </c>
      <c r="AA4" s="43">
        <f t="shared" ref="AA4:AA67" si="10">(10^-0.7321)*W4^0.04497*T4*0.307</f>
        <v>1.1119635402975527</v>
      </c>
      <c r="AB4" s="43">
        <f t="shared" ref="AB4:AB67" si="11">(10^-0.7272)*T4^0.2979</f>
        <v>0.46567449904252672</v>
      </c>
    </row>
    <row r="5" spans="1:28" ht="18.600000000000001" thickBot="1">
      <c r="A5" s="48" t="s">
        <v>42</v>
      </c>
      <c r="B5" s="49">
        <v>200</v>
      </c>
      <c r="C5" s="50">
        <v>600</v>
      </c>
      <c r="D5" s="50">
        <v>1.738</v>
      </c>
      <c r="E5" s="50">
        <v>357.95103888088869</v>
      </c>
      <c r="F5" s="50">
        <v>5241.7198107385311</v>
      </c>
      <c r="G5" s="46" t="s">
        <v>71</v>
      </c>
      <c r="H5" s="50">
        <v>1.0229999999999999</v>
      </c>
      <c r="I5" s="50">
        <v>156</v>
      </c>
      <c r="J5" s="50">
        <v>650</v>
      </c>
      <c r="K5" s="50">
        <v>1090</v>
      </c>
      <c r="L5" s="50">
        <v>0.6</v>
      </c>
      <c r="M5" s="50">
        <v>163.18</v>
      </c>
      <c r="N5" s="51">
        <v>167</v>
      </c>
      <c r="O5" s="43">
        <f t="shared" si="0"/>
        <v>0.4</v>
      </c>
      <c r="P5" s="43">
        <f t="shared" si="1"/>
        <v>997.32603888088875</v>
      </c>
      <c r="Q5" s="43">
        <f t="shared" si="2"/>
        <v>8.7740315662658742E-5</v>
      </c>
      <c r="R5" s="43">
        <v>35</v>
      </c>
      <c r="S5" s="43">
        <f t="shared" si="3"/>
        <v>0.33333333333333331</v>
      </c>
      <c r="T5" s="43">
        <f t="shared" si="4"/>
        <v>17.332085888589756</v>
      </c>
      <c r="U5" s="43" t="str" cm="1">
        <f t="array" ref="U5">_xlfn.IFS(T5&lt;3,"Group I",T5&lt;5,"Group II",T5&lt;10,"Group III",T5&lt;20,"Group IV",T5&lt;50,"Group V",T5&lt;100,"Group VI",T5&lt;200,"Group VII",T5&lt;500,"Group VIII",T5&lt;1000,"Group IX",TRUE,"Group X")</f>
        <v>Group IV</v>
      </c>
      <c r="V5" s="43">
        <f t="shared" si="5"/>
        <v>1.2388508324998959</v>
      </c>
      <c r="W5" s="43">
        <f t="shared" si="6"/>
        <v>0.2393426538461538</v>
      </c>
      <c r="X5" s="43">
        <f t="shared" si="7"/>
        <v>-0.62097989779573459</v>
      </c>
      <c r="Y5" s="43">
        <f t="shared" si="8"/>
        <v>1.023409731584753</v>
      </c>
      <c r="Z5" s="43">
        <f t="shared" si="9"/>
        <v>1.0049542354159932E-2</v>
      </c>
      <c r="AA5" s="43">
        <f t="shared" si="10"/>
        <v>0.9246209767067749</v>
      </c>
      <c r="AB5" s="43">
        <f t="shared" si="11"/>
        <v>0.43838295826146539</v>
      </c>
    </row>
    <row r="6" spans="1:28" ht="18.600000000000001" thickBot="1">
      <c r="A6" s="48" t="s">
        <v>42</v>
      </c>
      <c r="B6" s="49">
        <v>200</v>
      </c>
      <c r="C6" s="50">
        <v>800</v>
      </c>
      <c r="D6" s="50">
        <v>1.738</v>
      </c>
      <c r="E6" s="50">
        <v>357.95103888088869</v>
      </c>
      <c r="F6" s="50">
        <v>5241.7198107385311</v>
      </c>
      <c r="G6" s="46" t="s">
        <v>71</v>
      </c>
      <c r="H6" s="50">
        <v>1.0229999999999999</v>
      </c>
      <c r="I6" s="50">
        <v>156</v>
      </c>
      <c r="J6" s="50">
        <v>650</v>
      </c>
      <c r="K6" s="50">
        <v>1090</v>
      </c>
      <c r="L6" s="50">
        <v>0.6</v>
      </c>
      <c r="M6" s="50">
        <v>151.47999999999999</v>
      </c>
      <c r="N6" s="51">
        <v>96</v>
      </c>
      <c r="O6" s="43">
        <f t="shared" si="0"/>
        <v>0.4</v>
      </c>
      <c r="P6" s="43">
        <f t="shared" si="1"/>
        <v>997.32603888088875</v>
      </c>
      <c r="Q6" s="43">
        <f t="shared" si="2"/>
        <v>8.7740315662658742E-5</v>
      </c>
      <c r="R6" s="43">
        <v>35</v>
      </c>
      <c r="S6" s="43">
        <f t="shared" si="3"/>
        <v>0.25</v>
      </c>
      <c r="T6" s="43">
        <f t="shared" si="4"/>
        <v>15.010026680092512</v>
      </c>
      <c r="U6" s="43" t="str" cm="1">
        <f t="array" ref="U6">_xlfn.IFS(T6&lt;3,"Group I",T6&lt;5,"Group II",T6&lt;10,"Group III",T6&lt;20,"Group IV",T6&lt;50,"Group V",T6&lt;100,"Group VI",T6&lt;200,"Group VII",T6&lt;500,"Group VIII",T6&lt;1000,"Group IX",TRUE,"Group X")</f>
        <v>Group IV</v>
      </c>
      <c r="V6" s="43">
        <f t="shared" si="5"/>
        <v>1.176381464195746</v>
      </c>
      <c r="W6" s="43">
        <f t="shared" si="6"/>
        <v>0.3191235384615384</v>
      </c>
      <c r="X6" s="43">
        <f t="shared" si="7"/>
        <v>-0.49604116118743463</v>
      </c>
      <c r="Y6" s="43">
        <f t="shared" si="8"/>
        <v>0.63374702931080018</v>
      </c>
      <c r="Z6" s="43">
        <f t="shared" si="9"/>
        <v>-0.19808406340922019</v>
      </c>
      <c r="AA6" s="43">
        <f t="shared" si="10"/>
        <v>0.81117184565401723</v>
      </c>
      <c r="AB6" s="43">
        <f t="shared" si="11"/>
        <v>0.4199949206894677</v>
      </c>
    </row>
    <row r="7" spans="1:28" ht="18.600000000000001" thickBot="1">
      <c r="A7" s="48" t="s">
        <v>42</v>
      </c>
      <c r="B7" s="49">
        <v>200</v>
      </c>
      <c r="C7" s="50">
        <v>1200</v>
      </c>
      <c r="D7" s="50">
        <v>1.738</v>
      </c>
      <c r="E7" s="50">
        <v>357.95103888088869</v>
      </c>
      <c r="F7" s="50">
        <v>5241.7198107385311</v>
      </c>
      <c r="G7" s="46" t="s">
        <v>71</v>
      </c>
      <c r="H7" s="50">
        <v>1.0229999999999999</v>
      </c>
      <c r="I7" s="50">
        <v>156</v>
      </c>
      <c r="J7" s="50">
        <v>650</v>
      </c>
      <c r="K7" s="50">
        <v>1090</v>
      </c>
      <c r="L7" s="50">
        <v>0.6</v>
      </c>
      <c r="M7" s="50">
        <v>131.46</v>
      </c>
      <c r="N7" s="51">
        <v>62.18</v>
      </c>
      <c r="O7" s="43">
        <f t="shared" si="0"/>
        <v>0.4</v>
      </c>
      <c r="P7" s="43">
        <f t="shared" si="1"/>
        <v>997.32603888088875</v>
      </c>
      <c r="Q7" s="43">
        <f t="shared" si="2"/>
        <v>8.7740315662658742E-5</v>
      </c>
      <c r="R7" s="43">
        <v>35</v>
      </c>
      <c r="S7" s="43">
        <f t="shared" si="3"/>
        <v>0.16666666666666666</v>
      </c>
      <c r="T7" s="43">
        <f t="shared" si="4"/>
        <v>12.255635463929483</v>
      </c>
      <c r="U7" s="43" t="str" cm="1">
        <f t="array" ref="U7">_xlfn.IFS(T7&lt;3,"Group I",T7&lt;5,"Group II",T7&lt;10,"Group III",T7&lt;20,"Group IV",T7&lt;50,"Group V",T7&lt;100,"Group VI",T7&lt;200,"Group VII",T7&lt;500,"Group VIII",T7&lt;1000,"Group IX",TRUE,"Group X")</f>
        <v>Group IV</v>
      </c>
      <c r="V7" s="43">
        <f t="shared" si="5"/>
        <v>1.0883358346679053</v>
      </c>
      <c r="W7" s="43">
        <f t="shared" si="6"/>
        <v>0.4786853076923076</v>
      </c>
      <c r="X7" s="43">
        <f t="shared" si="7"/>
        <v>-0.31994990213175339</v>
      </c>
      <c r="Y7" s="43">
        <f t="shared" si="8"/>
        <v>0.47299558801156244</v>
      </c>
      <c r="Z7" s="43">
        <f t="shared" si="9"/>
        <v>-0.32514291023717595</v>
      </c>
      <c r="AA7" s="43">
        <f t="shared" si="10"/>
        <v>0.6745063817514676</v>
      </c>
      <c r="AB7" s="43">
        <f t="shared" si="11"/>
        <v>0.3953804989648449</v>
      </c>
    </row>
    <row r="8" spans="1:28" ht="18.600000000000001" thickBot="1">
      <c r="A8" s="48" t="s">
        <v>42</v>
      </c>
      <c r="B8" s="49">
        <v>200</v>
      </c>
      <c r="C8" s="50">
        <v>1600</v>
      </c>
      <c r="D8" s="50">
        <v>1.738</v>
      </c>
      <c r="E8" s="50">
        <v>357.95103888088869</v>
      </c>
      <c r="F8" s="50">
        <v>5241.7198107385311</v>
      </c>
      <c r="G8" s="46" t="s">
        <v>71</v>
      </c>
      <c r="H8" s="50">
        <v>1.0229999999999999</v>
      </c>
      <c r="I8" s="50">
        <v>156</v>
      </c>
      <c r="J8" s="50">
        <v>650</v>
      </c>
      <c r="K8" s="50">
        <v>1090</v>
      </c>
      <c r="L8" s="50">
        <v>0.6</v>
      </c>
      <c r="M8" s="50">
        <v>115.55</v>
      </c>
      <c r="N8" s="51">
        <v>49</v>
      </c>
      <c r="O8" s="43">
        <f t="shared" si="0"/>
        <v>0.4</v>
      </c>
      <c r="P8" s="43">
        <f t="shared" si="1"/>
        <v>997.32603888088875</v>
      </c>
      <c r="Q8" s="43">
        <f t="shared" si="2"/>
        <v>8.7740315662658742E-5</v>
      </c>
      <c r="R8" s="43">
        <v>35</v>
      </c>
      <c r="S8" s="43">
        <f t="shared" si="3"/>
        <v>0.125</v>
      </c>
      <c r="T8" s="43">
        <f t="shared" si="4"/>
        <v>10.613691651284416</v>
      </c>
      <c r="U8" s="43" t="str" cm="1">
        <f t="array" ref="U8">_xlfn.IFS(T8&lt;3,"Group I",T8&lt;5,"Group II",T8&lt;10,"Group III",T8&lt;20,"Group IV",T8&lt;50,"Group V",T8&lt;100,"Group VI",T8&lt;200,"Group VII",T8&lt;500,"Group VIII",T8&lt;1000,"Group IX",TRUE,"Group X")</f>
        <v>Group IV</v>
      </c>
      <c r="V8" s="43">
        <f t="shared" si="5"/>
        <v>1.0258664663637553</v>
      </c>
      <c r="W8" s="43">
        <f t="shared" si="6"/>
        <v>0.63824707692307681</v>
      </c>
      <c r="X8" s="43">
        <f t="shared" si="7"/>
        <v>-0.19501116552345343</v>
      </c>
      <c r="Y8" s="43">
        <f t="shared" si="8"/>
        <v>0.42405884898312418</v>
      </c>
      <c r="Z8" s="43">
        <f t="shared" si="9"/>
        <v>-0.37257386978661444</v>
      </c>
      <c r="AA8" s="43">
        <f t="shared" si="10"/>
        <v>0.59174580760594808</v>
      </c>
      <c r="AB8" s="43">
        <f t="shared" si="11"/>
        <v>0.37879620586405199</v>
      </c>
    </row>
    <row r="9" spans="1:28" ht="18.600000000000001" thickBot="1">
      <c r="A9" s="48" t="s">
        <v>42</v>
      </c>
      <c r="B9" s="49">
        <v>200</v>
      </c>
      <c r="C9" s="50">
        <v>2000</v>
      </c>
      <c r="D9" s="50">
        <v>1.738</v>
      </c>
      <c r="E9" s="50">
        <v>357.95103888088869</v>
      </c>
      <c r="F9" s="50">
        <v>5241.7198107385311</v>
      </c>
      <c r="G9" s="46" t="s">
        <v>71</v>
      </c>
      <c r="H9" s="50">
        <v>1.0229999999999999</v>
      </c>
      <c r="I9" s="50">
        <v>156</v>
      </c>
      <c r="J9" s="50">
        <v>650</v>
      </c>
      <c r="K9" s="50">
        <v>1090</v>
      </c>
      <c r="L9" s="50">
        <v>0.6</v>
      </c>
      <c r="M9" s="50">
        <v>81.540000000000006</v>
      </c>
      <c r="N9" s="51">
        <v>32.590000000000003</v>
      </c>
      <c r="O9" s="43">
        <f t="shared" si="0"/>
        <v>0.4</v>
      </c>
      <c r="P9" s="43">
        <f t="shared" si="1"/>
        <v>997.32603888088875</v>
      </c>
      <c r="Q9" s="43">
        <f t="shared" si="2"/>
        <v>8.7740315662658742E-5</v>
      </c>
      <c r="R9" s="43">
        <v>35</v>
      </c>
      <c r="S9" s="43">
        <f t="shared" si="3"/>
        <v>0.1</v>
      </c>
      <c r="T9" s="43">
        <f t="shared" si="4"/>
        <v>9.4931744097975788</v>
      </c>
      <c r="U9" s="43" t="str" cm="1">
        <f t="array" ref="U9">_xlfn.IFS(T9&lt;3,"Group I",T9&lt;5,"Group II",T9&lt;10,"Group III",T9&lt;20,"Group IV",T9&lt;50,"Group V",T9&lt;100,"Group VI",T9&lt;200,"Group VII",T9&lt;500,"Group VIII",T9&lt;1000,"Group IX",TRUE,"Group X")</f>
        <v>Group III</v>
      </c>
      <c r="V9" s="43">
        <f t="shared" si="5"/>
        <v>0.97741145985972699</v>
      </c>
      <c r="W9" s="43">
        <f t="shared" si="6"/>
        <v>0.79780884615384606</v>
      </c>
      <c r="X9" s="43">
        <f t="shared" si="7"/>
        <v>-9.8101152515397E-2</v>
      </c>
      <c r="Y9" s="43">
        <f t="shared" si="8"/>
        <v>0.39968113809173411</v>
      </c>
      <c r="Z9" s="43">
        <f t="shared" si="9"/>
        <v>-0.39828634665099377</v>
      </c>
      <c r="AA9" s="43">
        <f t="shared" si="10"/>
        <v>0.53461141370946841</v>
      </c>
      <c r="AB9" s="43">
        <f t="shared" si="11"/>
        <v>0.36641300021076723</v>
      </c>
    </row>
    <row r="10" spans="1:28" ht="18.600000000000001" thickBot="1">
      <c r="A10" s="48" t="s">
        <v>42</v>
      </c>
      <c r="B10" s="49">
        <v>200</v>
      </c>
      <c r="C10" s="50">
        <v>2400</v>
      </c>
      <c r="D10" s="50">
        <v>1.738</v>
      </c>
      <c r="E10" s="50">
        <v>357.95103888088869</v>
      </c>
      <c r="F10" s="50">
        <v>5241.7198107385311</v>
      </c>
      <c r="G10" s="46" t="s">
        <v>71</v>
      </c>
      <c r="H10" s="50">
        <v>1.0229999999999999</v>
      </c>
      <c r="I10" s="50">
        <v>156</v>
      </c>
      <c r="J10" s="50">
        <v>650</v>
      </c>
      <c r="K10" s="50">
        <v>1090</v>
      </c>
      <c r="L10" s="50">
        <v>0.6</v>
      </c>
      <c r="M10" s="50">
        <v>55.54</v>
      </c>
      <c r="N10" s="51">
        <v>26.23</v>
      </c>
      <c r="O10" s="43">
        <f t="shared" si="0"/>
        <v>0.4</v>
      </c>
      <c r="P10" s="43">
        <f t="shared" si="1"/>
        <v>997.32603888088875</v>
      </c>
      <c r="Q10" s="43">
        <f t="shared" si="2"/>
        <v>8.7740315662658742E-5</v>
      </c>
      <c r="R10" s="43">
        <v>35</v>
      </c>
      <c r="S10" s="43">
        <f t="shared" si="3"/>
        <v>8.3333333333333329E-2</v>
      </c>
      <c r="T10" s="43">
        <f t="shared" si="4"/>
        <v>8.6660429442948779</v>
      </c>
      <c r="U10" s="43" t="str" cm="1">
        <f t="array" ref="U10">_xlfn.IFS(T10&lt;3,"Group I",T10&lt;5,"Group II",T10&lt;10,"Group III",T10&lt;20,"Group IV",T10&lt;50,"Group V",T10&lt;100,"Group VI",T10&lt;200,"Group VII",T10&lt;500,"Group VIII",T10&lt;1000,"Group IX",TRUE,"Group X")</f>
        <v>Group III</v>
      </c>
      <c r="V10" s="43">
        <f t="shared" si="5"/>
        <v>0.93782083683591466</v>
      </c>
      <c r="W10" s="43">
        <f t="shared" si="6"/>
        <v>0.95737061538461521</v>
      </c>
      <c r="X10" s="43">
        <f t="shared" si="7"/>
        <v>-1.8919906467772196E-2</v>
      </c>
      <c r="Y10" s="43">
        <f t="shared" si="8"/>
        <v>0.47227223622614334</v>
      </c>
      <c r="Z10" s="43">
        <f t="shared" si="9"/>
        <v>-0.32580758482388522</v>
      </c>
      <c r="AA10" s="43">
        <f t="shared" si="10"/>
        <v>0.49204903466919475</v>
      </c>
      <c r="AB10" s="43">
        <f t="shared" si="11"/>
        <v>0.35659629558056888</v>
      </c>
    </row>
    <row r="11" spans="1:28" ht="18.600000000000001" thickBot="1">
      <c r="A11" s="48" t="s">
        <v>42</v>
      </c>
      <c r="B11" s="52">
        <v>350</v>
      </c>
      <c r="C11" s="50">
        <v>400</v>
      </c>
      <c r="D11" s="50">
        <v>1.738</v>
      </c>
      <c r="E11" s="50">
        <v>357.95103888088869</v>
      </c>
      <c r="F11" s="50">
        <v>5241.7198107385311</v>
      </c>
      <c r="G11" s="46" t="s">
        <v>71</v>
      </c>
      <c r="H11" s="50">
        <v>1.0229999999999999</v>
      </c>
      <c r="I11" s="50">
        <v>156</v>
      </c>
      <c r="J11" s="50">
        <v>650</v>
      </c>
      <c r="K11" s="50">
        <v>1090</v>
      </c>
      <c r="L11" s="50">
        <v>0.6</v>
      </c>
      <c r="M11" s="50">
        <v>240</v>
      </c>
      <c r="N11" s="51">
        <v>355.4</v>
      </c>
      <c r="O11" s="43">
        <f t="shared" si="0"/>
        <v>0.4</v>
      </c>
      <c r="P11" s="43">
        <f t="shared" si="1"/>
        <v>997.32603888088875</v>
      </c>
      <c r="Q11" s="43">
        <f t="shared" si="2"/>
        <v>8.7740315662658742E-5</v>
      </c>
      <c r="R11" s="43">
        <v>35</v>
      </c>
      <c r="S11" s="43">
        <f t="shared" si="3"/>
        <v>0.875</v>
      </c>
      <c r="T11" s="43">
        <f t="shared" si="4"/>
        <v>37.14792077949545</v>
      </c>
      <c r="U11" s="43" t="str" cm="1">
        <f t="array" ref="U11">_xlfn.IFS(T11&lt;3,"Group I",T11&lt;5,"Group II",T11&lt;10,"Group III",T11&lt;20,"Group IV",T11&lt;50,"Group V",T11&lt;100,"Group VI",T11&lt;200,"Group VII",T11&lt;500,"Group VIII",T11&lt;1000,"Group IX",TRUE,"Group X")</f>
        <v>Group V</v>
      </c>
      <c r="V11" s="43">
        <f t="shared" si="5"/>
        <v>1.5699345107140308</v>
      </c>
      <c r="W11" s="43">
        <f t="shared" si="6"/>
        <v>0.1595617692307692</v>
      </c>
      <c r="X11" s="43">
        <f t="shared" si="7"/>
        <v>-0.79707115685141583</v>
      </c>
      <c r="Y11" s="43">
        <f t="shared" si="8"/>
        <v>1.4808333333333332</v>
      </c>
      <c r="Z11" s="43">
        <f t="shared" si="9"/>
        <v>0.17050618175767668</v>
      </c>
      <c r="AA11" s="43">
        <f t="shared" si="10"/>
        <v>1.9459361955207171</v>
      </c>
      <c r="AB11" s="43">
        <f t="shared" si="11"/>
        <v>0.55015300661219868</v>
      </c>
    </row>
    <row r="12" spans="1:28" ht="18.600000000000001" thickBot="1">
      <c r="A12" s="48" t="s">
        <v>42</v>
      </c>
      <c r="B12" s="52">
        <v>350</v>
      </c>
      <c r="C12" s="50">
        <v>600</v>
      </c>
      <c r="D12" s="50">
        <v>1.738</v>
      </c>
      <c r="E12" s="50">
        <v>357.95103888088869</v>
      </c>
      <c r="F12" s="50">
        <v>5241.7198107385311</v>
      </c>
      <c r="G12" s="46" t="s">
        <v>71</v>
      </c>
      <c r="H12" s="50">
        <v>1.0229999999999999</v>
      </c>
      <c r="I12" s="50">
        <v>156</v>
      </c>
      <c r="J12" s="50">
        <v>650</v>
      </c>
      <c r="K12" s="50">
        <v>1090</v>
      </c>
      <c r="L12" s="50">
        <v>0.6</v>
      </c>
      <c r="M12" s="50">
        <v>218.16</v>
      </c>
      <c r="N12" s="51">
        <v>272.18</v>
      </c>
      <c r="O12" s="43">
        <f t="shared" si="0"/>
        <v>0.4</v>
      </c>
      <c r="P12" s="43">
        <f t="shared" si="1"/>
        <v>997.32603888088875</v>
      </c>
      <c r="Q12" s="43">
        <f t="shared" si="2"/>
        <v>8.7740315662658742E-5</v>
      </c>
      <c r="R12" s="43">
        <v>35</v>
      </c>
      <c r="S12" s="43">
        <f t="shared" si="3"/>
        <v>0.58333333333333337</v>
      </c>
      <c r="T12" s="43">
        <f t="shared" si="4"/>
        <v>30.331150305032072</v>
      </c>
      <c r="U12" s="43" t="str" cm="1">
        <f t="array" ref="U12">_xlfn.IFS(T12&lt;3,"Group I",T12&lt;5,"Group II",T12&lt;10,"Group III",T12&lt;20,"Group IV",T12&lt;50,"Group V",T12&lt;100,"Group VI",T12&lt;200,"Group VII",T12&lt;500,"Group VIII",T12&lt;1000,"Group IX",TRUE,"Group X")</f>
        <v>Group V</v>
      </c>
      <c r="V12" s="43">
        <f t="shared" si="5"/>
        <v>1.4818888811861903</v>
      </c>
      <c r="W12" s="43">
        <f t="shared" si="6"/>
        <v>0.2393426538461538</v>
      </c>
      <c r="X12" s="43">
        <f t="shared" si="7"/>
        <v>-0.62097989779573459</v>
      </c>
      <c r="Y12" s="43">
        <f t="shared" si="8"/>
        <v>1.2476164283094977</v>
      </c>
      <c r="Z12" s="43">
        <f t="shared" si="9"/>
        <v>9.6081084806801803E-2</v>
      </c>
      <c r="AA12" s="43">
        <f t="shared" si="10"/>
        <v>1.618086709236856</v>
      </c>
      <c r="AB12" s="43">
        <f t="shared" si="11"/>
        <v>0.51791047830830472</v>
      </c>
    </row>
    <row r="13" spans="1:28" ht="18.600000000000001" thickBot="1">
      <c r="A13" s="48" t="s">
        <v>42</v>
      </c>
      <c r="B13" s="52">
        <v>350</v>
      </c>
      <c r="C13" s="50">
        <v>800</v>
      </c>
      <c r="D13" s="50">
        <v>1.738</v>
      </c>
      <c r="E13" s="50">
        <v>357.95103888088869</v>
      </c>
      <c r="F13" s="50">
        <v>5241.7198107385311</v>
      </c>
      <c r="G13" s="46" t="s">
        <v>71</v>
      </c>
      <c r="H13" s="50">
        <v>1.0229999999999999</v>
      </c>
      <c r="I13" s="50">
        <v>156</v>
      </c>
      <c r="J13" s="50">
        <v>650</v>
      </c>
      <c r="K13" s="50">
        <v>1090</v>
      </c>
      <c r="L13" s="50">
        <v>0.6</v>
      </c>
      <c r="M13" s="50">
        <v>195</v>
      </c>
      <c r="N13" s="51">
        <v>198.44</v>
      </c>
      <c r="O13" s="43">
        <f t="shared" si="0"/>
        <v>0.4</v>
      </c>
      <c r="P13" s="43">
        <f t="shared" si="1"/>
        <v>997.32603888088875</v>
      </c>
      <c r="Q13" s="43">
        <f t="shared" si="2"/>
        <v>8.7740315662658742E-5</v>
      </c>
      <c r="R13" s="43">
        <v>35</v>
      </c>
      <c r="S13" s="43">
        <f t="shared" si="3"/>
        <v>0.4375</v>
      </c>
      <c r="T13" s="43">
        <f t="shared" si="4"/>
        <v>26.267546690161893</v>
      </c>
      <c r="U13" s="43" t="str" cm="1">
        <f t="array" ref="U13">_xlfn.IFS(T13&lt;3,"Group I",T13&lt;5,"Group II",T13&lt;10,"Group III",T13&lt;20,"Group IV",T13&lt;50,"Group V",T13&lt;100,"Group VI",T13&lt;200,"Group VII",T13&lt;500,"Group VIII",T13&lt;1000,"Group IX",TRUE,"Group X")</f>
        <v>Group V</v>
      </c>
      <c r="V13" s="43">
        <f t="shared" si="5"/>
        <v>1.4194195128820402</v>
      </c>
      <c r="W13" s="43">
        <f t="shared" si="6"/>
        <v>0.3191235384615384</v>
      </c>
      <c r="X13" s="43">
        <f t="shared" si="7"/>
        <v>-0.49604116118743463</v>
      </c>
      <c r="Y13" s="43">
        <f t="shared" si="8"/>
        <v>1.0176410256410255</v>
      </c>
      <c r="Z13" s="43">
        <f t="shared" si="9"/>
        <v>7.594607001629913E-3</v>
      </c>
      <c r="AA13" s="43">
        <f t="shared" si="10"/>
        <v>1.4195507298945298</v>
      </c>
      <c r="AB13" s="43">
        <f t="shared" si="11"/>
        <v>0.49618664722729733</v>
      </c>
    </row>
    <row r="14" spans="1:28" ht="18.600000000000001" thickBot="1">
      <c r="A14" s="48" t="s">
        <v>42</v>
      </c>
      <c r="B14" s="52">
        <v>350</v>
      </c>
      <c r="C14" s="50">
        <v>1000</v>
      </c>
      <c r="D14" s="50">
        <v>1.738</v>
      </c>
      <c r="E14" s="50">
        <v>357.95103888088869</v>
      </c>
      <c r="F14" s="50">
        <v>5241.7198107385311</v>
      </c>
      <c r="G14" s="46" t="s">
        <v>71</v>
      </c>
      <c r="H14" s="50">
        <v>1.0229999999999999</v>
      </c>
      <c r="I14" s="50">
        <v>156</v>
      </c>
      <c r="J14" s="50">
        <v>650</v>
      </c>
      <c r="K14" s="50">
        <v>1090</v>
      </c>
      <c r="L14" s="50">
        <v>0.6</v>
      </c>
      <c r="M14" s="50">
        <v>175.62</v>
      </c>
      <c r="N14" s="51">
        <v>116.51</v>
      </c>
      <c r="O14" s="43">
        <f t="shared" si="0"/>
        <v>0.4</v>
      </c>
      <c r="P14" s="43">
        <f t="shared" si="1"/>
        <v>997.32603888088875</v>
      </c>
      <c r="Q14" s="43">
        <f t="shared" si="2"/>
        <v>8.7740315662658742E-5</v>
      </c>
      <c r="R14" s="43">
        <v>35</v>
      </c>
      <c r="S14" s="43">
        <f t="shared" si="3"/>
        <v>0.35</v>
      </c>
      <c r="T14" s="43">
        <f t="shared" si="4"/>
        <v>23.494408000540641</v>
      </c>
      <c r="U14" s="43" t="str" cm="1">
        <f t="array" ref="U14">_xlfn.IFS(T14&lt;3,"Group I",T14&lt;5,"Group II",T14&lt;10,"Group III",T14&lt;20,"Group IV",T14&lt;50,"Group V",T14&lt;100,"Group VI",T14&lt;200,"Group VII",T14&lt;500,"Group VIII",T14&lt;1000,"Group IX",TRUE,"Group X")</f>
        <v>Group V</v>
      </c>
      <c r="V14" s="43">
        <f t="shared" si="5"/>
        <v>1.370964506378012</v>
      </c>
      <c r="W14" s="43">
        <f t="shared" si="6"/>
        <v>0.39890442307692303</v>
      </c>
      <c r="X14" s="43">
        <f t="shared" si="7"/>
        <v>-0.39913114817937817</v>
      </c>
      <c r="Y14" s="43">
        <f t="shared" si="8"/>
        <v>0.66342102266256697</v>
      </c>
      <c r="Z14" s="43">
        <f t="shared" si="9"/>
        <v>-0.17821077055894097</v>
      </c>
      <c r="AA14" s="43">
        <f t="shared" si="10"/>
        <v>1.2824899015534557</v>
      </c>
      <c r="AB14" s="43">
        <f t="shared" si="11"/>
        <v>0.47996583719828995</v>
      </c>
    </row>
    <row r="15" spans="1:28" ht="18.600000000000001" thickBot="1">
      <c r="A15" s="48" t="s">
        <v>42</v>
      </c>
      <c r="B15" s="52">
        <v>350</v>
      </c>
      <c r="C15" s="50">
        <v>1200</v>
      </c>
      <c r="D15" s="50">
        <v>1.738</v>
      </c>
      <c r="E15" s="50">
        <v>357.95103888088869</v>
      </c>
      <c r="F15" s="50">
        <v>5241.7198107385311</v>
      </c>
      <c r="G15" s="46" t="s">
        <v>71</v>
      </c>
      <c r="H15" s="50">
        <v>1.0229999999999999</v>
      </c>
      <c r="I15" s="50">
        <v>156</v>
      </c>
      <c r="J15" s="50">
        <v>650</v>
      </c>
      <c r="K15" s="50">
        <v>1090</v>
      </c>
      <c r="L15" s="50">
        <v>0.6</v>
      </c>
      <c r="M15" s="50">
        <v>146.58000000000001</v>
      </c>
      <c r="N15" s="51">
        <v>92.31</v>
      </c>
      <c r="O15" s="43">
        <f t="shared" si="0"/>
        <v>0.4</v>
      </c>
      <c r="P15" s="43">
        <f t="shared" si="1"/>
        <v>997.32603888088875</v>
      </c>
      <c r="Q15" s="43">
        <f t="shared" si="2"/>
        <v>8.7740315662658742E-5</v>
      </c>
      <c r="R15" s="43">
        <v>35</v>
      </c>
      <c r="S15" s="43">
        <f t="shared" si="3"/>
        <v>0.29166666666666669</v>
      </c>
      <c r="T15" s="43">
        <f t="shared" si="4"/>
        <v>21.447362061876596</v>
      </c>
      <c r="U15" s="43" t="str" cm="1">
        <f t="array" ref="U15">_xlfn.IFS(T15&lt;3,"Group I",T15&lt;5,"Group II",T15&lt;10,"Group III",T15&lt;20,"Group IV",T15&lt;50,"Group V",T15&lt;100,"Group VI",T15&lt;200,"Group VII",T15&lt;500,"Group VIII",T15&lt;1000,"Group IX",TRUE,"Group X")</f>
        <v>Group V</v>
      </c>
      <c r="V15" s="43">
        <f t="shared" si="5"/>
        <v>1.3313738833541997</v>
      </c>
      <c r="W15" s="43">
        <f t="shared" si="6"/>
        <v>0.4786853076923076</v>
      </c>
      <c r="X15" s="43">
        <f t="shared" si="7"/>
        <v>-0.31994990213175339</v>
      </c>
      <c r="Y15" s="43">
        <f t="shared" si="8"/>
        <v>0.62975849365534176</v>
      </c>
      <c r="Z15" s="43">
        <f t="shared" si="9"/>
        <v>-0.2008259663899595</v>
      </c>
      <c r="AA15" s="43">
        <f t="shared" si="10"/>
        <v>1.1803861680650682</v>
      </c>
      <c r="AB15" s="43">
        <f t="shared" si="11"/>
        <v>0.46710689700334262</v>
      </c>
    </row>
    <row r="16" spans="1:28" ht="18.600000000000001" thickBot="1">
      <c r="A16" s="48" t="s">
        <v>42</v>
      </c>
      <c r="B16" s="52">
        <v>350</v>
      </c>
      <c r="C16" s="50">
        <v>1600</v>
      </c>
      <c r="D16" s="50">
        <v>1.738</v>
      </c>
      <c r="E16" s="50">
        <v>357.95103888088869</v>
      </c>
      <c r="F16" s="50">
        <v>5241.7198107385311</v>
      </c>
      <c r="G16" s="46" t="s">
        <v>71</v>
      </c>
      <c r="H16" s="50">
        <v>1.0229999999999999</v>
      </c>
      <c r="I16" s="50">
        <v>156</v>
      </c>
      <c r="J16" s="50">
        <v>650</v>
      </c>
      <c r="K16" s="50">
        <v>1090</v>
      </c>
      <c r="L16" s="50">
        <v>0.6</v>
      </c>
      <c r="M16" s="50">
        <v>120.87</v>
      </c>
      <c r="N16" s="51">
        <v>79.5</v>
      </c>
      <c r="O16" s="43">
        <f t="shared" si="0"/>
        <v>0.4</v>
      </c>
      <c r="P16" s="43">
        <f t="shared" si="1"/>
        <v>997.32603888088875</v>
      </c>
      <c r="Q16" s="43">
        <f t="shared" si="2"/>
        <v>8.7740315662658742E-5</v>
      </c>
      <c r="R16" s="43">
        <v>35</v>
      </c>
      <c r="S16" s="43">
        <f t="shared" si="3"/>
        <v>0.21875</v>
      </c>
      <c r="T16" s="43">
        <f t="shared" si="4"/>
        <v>18.573960389747725</v>
      </c>
      <c r="U16" s="43" t="str" cm="1">
        <f t="array" ref="U16">_xlfn.IFS(T16&lt;3,"Group I",T16&lt;5,"Group II",T16&lt;10,"Group III",T16&lt;20,"Group IV",T16&lt;50,"Group V",T16&lt;100,"Group VI",T16&lt;200,"Group VII",T16&lt;500,"Group VIII",T16&lt;1000,"Group IX",TRUE,"Group X")</f>
        <v>Group IV</v>
      </c>
      <c r="V16" s="43">
        <f t="shared" si="5"/>
        <v>1.2689045150500495</v>
      </c>
      <c r="W16" s="43">
        <f t="shared" si="6"/>
        <v>0.63824707692307681</v>
      </c>
      <c r="X16" s="43">
        <f t="shared" si="7"/>
        <v>-0.19501116552345343</v>
      </c>
      <c r="Y16" s="43">
        <f t="shared" si="8"/>
        <v>0.6577314470091834</v>
      </c>
      <c r="Z16" s="43">
        <f t="shared" si="9"/>
        <v>-0.18195139345156996</v>
      </c>
      <c r="AA16" s="43">
        <f t="shared" si="10"/>
        <v>1.035555163310409</v>
      </c>
      <c r="AB16" s="43">
        <f t="shared" si="11"/>
        <v>0.44751402960197384</v>
      </c>
    </row>
    <row r="17" spans="1:33" ht="18.600000000000001" thickBot="1">
      <c r="A17" s="48" t="s">
        <v>42</v>
      </c>
      <c r="B17" s="52">
        <v>350</v>
      </c>
      <c r="C17" s="50">
        <v>2000</v>
      </c>
      <c r="D17" s="50">
        <v>1.738</v>
      </c>
      <c r="E17" s="50">
        <v>357.95103888088869</v>
      </c>
      <c r="F17" s="50">
        <v>5241.7198107385311</v>
      </c>
      <c r="G17" s="46" t="s">
        <v>71</v>
      </c>
      <c r="H17" s="50">
        <v>1.0229999999999999</v>
      </c>
      <c r="I17" s="50">
        <v>156</v>
      </c>
      <c r="J17" s="50">
        <v>650</v>
      </c>
      <c r="K17" s="50">
        <v>1090</v>
      </c>
      <c r="L17" s="50">
        <v>0.6</v>
      </c>
      <c r="M17" s="50">
        <v>107.96</v>
      </c>
      <c r="N17" s="51">
        <v>51.42</v>
      </c>
      <c r="O17" s="43">
        <f t="shared" si="0"/>
        <v>0.4</v>
      </c>
      <c r="P17" s="43">
        <f t="shared" si="1"/>
        <v>997.32603888088875</v>
      </c>
      <c r="Q17" s="43">
        <f t="shared" si="2"/>
        <v>8.7740315662658742E-5</v>
      </c>
      <c r="R17" s="43">
        <v>35</v>
      </c>
      <c r="S17" s="43">
        <f t="shared" si="3"/>
        <v>0.17499999999999999</v>
      </c>
      <c r="T17" s="43">
        <f t="shared" si="4"/>
        <v>16.613055217145764</v>
      </c>
      <c r="U17" s="43" t="str" cm="1">
        <f t="array" ref="U17">_xlfn.IFS(T17&lt;3,"Group I",T17&lt;5,"Group II",T17&lt;10,"Group III",T17&lt;20,"Group IV",T17&lt;50,"Group V",T17&lt;100,"Group VI",T17&lt;200,"Group VII",T17&lt;500,"Group VIII",T17&lt;1000,"Group IX",TRUE,"Group X")</f>
        <v>Group IV</v>
      </c>
      <c r="V17" s="43">
        <f t="shared" si="5"/>
        <v>1.2204495085460214</v>
      </c>
      <c r="W17" s="43">
        <f t="shared" si="6"/>
        <v>0.79780884615384606</v>
      </c>
      <c r="X17" s="43">
        <f t="shared" si="7"/>
        <v>-9.8101152515397E-2</v>
      </c>
      <c r="Y17" s="43">
        <f t="shared" si="8"/>
        <v>0.4762875138940349</v>
      </c>
      <c r="Z17" s="43">
        <f t="shared" si="9"/>
        <v>-0.32213080357763718</v>
      </c>
      <c r="AA17" s="43">
        <f t="shared" si="10"/>
        <v>0.93556997399156983</v>
      </c>
      <c r="AB17" s="43">
        <f t="shared" si="11"/>
        <v>0.4328843734029349</v>
      </c>
    </row>
    <row r="18" spans="1:33" ht="18.600000000000001" thickBot="1">
      <c r="A18" s="48" t="s">
        <v>42</v>
      </c>
      <c r="B18" s="52">
        <v>350</v>
      </c>
      <c r="C18" s="50">
        <v>2400</v>
      </c>
      <c r="D18" s="50">
        <v>1.738</v>
      </c>
      <c r="E18" s="50">
        <v>357.95103888088869</v>
      </c>
      <c r="F18" s="50">
        <v>5241.7198107385311</v>
      </c>
      <c r="G18" s="46" t="s">
        <v>71</v>
      </c>
      <c r="H18" s="50">
        <v>1.0229999999999999</v>
      </c>
      <c r="I18" s="50">
        <v>156</v>
      </c>
      <c r="J18" s="50">
        <v>650</v>
      </c>
      <c r="K18" s="50">
        <v>1090</v>
      </c>
      <c r="L18" s="50">
        <v>0.6</v>
      </c>
      <c r="M18" s="50">
        <v>99.21</v>
      </c>
      <c r="N18" s="51">
        <v>42.88</v>
      </c>
      <c r="O18" s="43">
        <f t="shared" si="0"/>
        <v>0.4</v>
      </c>
      <c r="P18" s="43">
        <f t="shared" si="1"/>
        <v>997.32603888088875</v>
      </c>
      <c r="Q18" s="43">
        <f t="shared" si="2"/>
        <v>8.7740315662658742E-5</v>
      </c>
      <c r="R18" s="43">
        <v>35</v>
      </c>
      <c r="S18" s="43">
        <f t="shared" si="3"/>
        <v>0.14583333333333334</v>
      </c>
      <c r="T18" s="43">
        <f t="shared" si="4"/>
        <v>15.165575152516036</v>
      </c>
      <c r="U18" s="43" t="str" cm="1">
        <f t="array" ref="U18">_xlfn.IFS(T18&lt;3,"Group I",T18&lt;5,"Group II",T18&lt;10,"Group III",T18&lt;20,"Group IV",T18&lt;50,"Group V",T18&lt;100,"Group VI",T18&lt;200,"Group VII",T18&lt;500,"Group VIII",T18&lt;1000,"Group IX",TRUE,"Group X")</f>
        <v>Group IV</v>
      </c>
      <c r="V18" s="43">
        <f t="shared" si="5"/>
        <v>1.1808588855222091</v>
      </c>
      <c r="W18" s="43">
        <f t="shared" si="6"/>
        <v>0.95737061538461521</v>
      </c>
      <c r="X18" s="43">
        <f t="shared" si="7"/>
        <v>-1.8919906467772196E-2</v>
      </c>
      <c r="Y18" s="43">
        <f t="shared" si="8"/>
        <v>0.43221449450660221</v>
      </c>
      <c r="Z18" s="43">
        <f t="shared" si="9"/>
        <v>-0.36430067294865165</v>
      </c>
      <c r="AA18" s="43">
        <f t="shared" si="10"/>
        <v>0.86108581067109069</v>
      </c>
      <c r="AB18" s="43">
        <f t="shared" si="11"/>
        <v>0.42128680991506545</v>
      </c>
    </row>
    <row r="19" spans="1:33" ht="18.600000000000001" thickBot="1">
      <c r="A19" s="48" t="s">
        <v>42</v>
      </c>
      <c r="B19" s="50">
        <v>100</v>
      </c>
      <c r="C19" s="50">
        <v>300</v>
      </c>
      <c r="D19" s="50">
        <v>1.738</v>
      </c>
      <c r="E19" s="50">
        <v>357.95103888088869</v>
      </c>
      <c r="F19" s="50">
        <v>5241.7198107385311</v>
      </c>
      <c r="G19" s="46" t="s">
        <v>71</v>
      </c>
      <c r="H19" s="50">
        <v>1.0229999999999999</v>
      </c>
      <c r="I19" s="50">
        <v>156</v>
      </c>
      <c r="J19" s="50">
        <v>650</v>
      </c>
      <c r="K19" s="50">
        <v>1090</v>
      </c>
      <c r="L19" s="50">
        <v>0.6</v>
      </c>
      <c r="M19" s="50">
        <v>132</v>
      </c>
      <c r="N19" s="51">
        <v>175.85</v>
      </c>
      <c r="O19" s="43">
        <f t="shared" si="0"/>
        <v>0.4</v>
      </c>
      <c r="P19" s="43">
        <f t="shared" si="1"/>
        <v>997.32603888088875</v>
      </c>
      <c r="Q19" s="43">
        <f t="shared" si="2"/>
        <v>8.7740315662658742E-5</v>
      </c>
      <c r="R19" s="43">
        <v>35</v>
      </c>
      <c r="S19" s="43">
        <f t="shared" si="3"/>
        <v>0.33333333333333331</v>
      </c>
      <c r="T19" s="43">
        <f t="shared" si="4"/>
        <v>12.255635463929483</v>
      </c>
      <c r="U19" s="43" t="str" cm="1">
        <f t="array" ref="U19">_xlfn.IFS(T19&lt;3,"Group I",T19&lt;5,"Group II",T19&lt;10,"Group III",T19&lt;20,"Group IV",T19&lt;50,"Group V",T19&lt;100,"Group VI",T19&lt;200,"Group VII",T19&lt;500,"Group VIII",T19&lt;1000,"Group IX",TRUE,"Group X")</f>
        <v>Group IV</v>
      </c>
      <c r="V19" s="43">
        <f t="shared" si="5"/>
        <v>1.0883358346679053</v>
      </c>
      <c r="W19" s="43">
        <f t="shared" si="6"/>
        <v>0.1196713269230769</v>
      </c>
      <c r="X19" s="43">
        <f t="shared" si="7"/>
        <v>-0.92200989345971573</v>
      </c>
      <c r="Y19" s="43">
        <f t="shared" si="8"/>
        <v>1.3321969696969695</v>
      </c>
      <c r="Z19" s="43">
        <f t="shared" si="9"/>
        <v>0.12456844144711147</v>
      </c>
      <c r="AA19" s="43">
        <f t="shared" si="10"/>
        <v>0.63374044612167979</v>
      </c>
      <c r="AB19" s="43">
        <f t="shared" si="11"/>
        <v>0.3953804989648449</v>
      </c>
    </row>
    <row r="20" spans="1:33" ht="18.600000000000001" thickBot="1">
      <c r="A20" s="48" t="s">
        <v>42</v>
      </c>
      <c r="B20" s="50">
        <v>150</v>
      </c>
      <c r="C20" s="50">
        <v>300</v>
      </c>
      <c r="D20" s="50">
        <v>1.738</v>
      </c>
      <c r="E20" s="50">
        <v>357.95103888088869</v>
      </c>
      <c r="F20" s="50">
        <v>5241.7198107385311</v>
      </c>
      <c r="G20" s="46" t="s">
        <v>71</v>
      </c>
      <c r="H20" s="50">
        <v>1.0229999999999999</v>
      </c>
      <c r="I20" s="50">
        <v>156</v>
      </c>
      <c r="J20" s="50">
        <v>650</v>
      </c>
      <c r="K20" s="50">
        <v>1090</v>
      </c>
      <c r="L20" s="50">
        <v>0.6</v>
      </c>
      <c r="M20" s="50">
        <v>142.4</v>
      </c>
      <c r="N20" s="51">
        <v>265.5</v>
      </c>
      <c r="O20" s="43">
        <f t="shared" si="0"/>
        <v>0.4</v>
      </c>
      <c r="P20" s="43">
        <f t="shared" si="1"/>
        <v>997.32603888088875</v>
      </c>
      <c r="Q20" s="43">
        <f t="shared" si="2"/>
        <v>8.7740315662658742E-5</v>
      </c>
      <c r="R20" s="43">
        <v>35</v>
      </c>
      <c r="S20" s="43">
        <f t="shared" si="3"/>
        <v>0.5</v>
      </c>
      <c r="T20" s="43">
        <f t="shared" si="4"/>
        <v>18.383453195894226</v>
      </c>
      <c r="U20" s="43" t="str" cm="1">
        <f t="array" ref="U20">_xlfn.IFS(T20&lt;3,"Group I",T20&lt;5,"Group II",T20&lt;10,"Group III",T20&lt;20,"Group IV",T20&lt;50,"Group V",T20&lt;100,"Group VI",T20&lt;200,"Group VII",T20&lt;500,"Group VIII",T20&lt;1000,"Group IX",TRUE,"Group X")</f>
        <v>Group IV</v>
      </c>
      <c r="V20" s="43">
        <f t="shared" si="5"/>
        <v>1.2644270937235866</v>
      </c>
      <c r="W20" s="43">
        <f t="shared" si="6"/>
        <v>0.1196713269230769</v>
      </c>
      <c r="X20" s="43">
        <f t="shared" si="7"/>
        <v>-0.92200989345971573</v>
      </c>
      <c r="Y20" s="43">
        <f t="shared" si="8"/>
        <v>1.8644662921348314</v>
      </c>
      <c r="Z20" s="43">
        <f t="shared" si="9"/>
        <v>0.27055453611665031</v>
      </c>
      <c r="AA20" s="43">
        <f t="shared" si="10"/>
        <v>0.9506106691825198</v>
      </c>
      <c r="AB20" s="43">
        <f t="shared" si="11"/>
        <v>0.44614171378400852</v>
      </c>
      <c r="AE20" s="43" t="s">
        <v>118</v>
      </c>
      <c r="AF20" s="43" t="s">
        <v>80</v>
      </c>
      <c r="AG20" s="43">
        <f>MAX(T3:T717)</f>
        <v>217.79621763641197</v>
      </c>
    </row>
    <row r="21" spans="1:33" ht="18.600000000000001" thickBot="1">
      <c r="A21" s="48" t="s">
        <v>42</v>
      </c>
      <c r="B21" s="50">
        <v>200</v>
      </c>
      <c r="C21" s="50">
        <v>300</v>
      </c>
      <c r="D21" s="50">
        <v>1.738</v>
      </c>
      <c r="E21" s="50">
        <v>357.95103888088869</v>
      </c>
      <c r="F21" s="50">
        <v>5241.7198107385311</v>
      </c>
      <c r="G21" s="46" t="s">
        <v>71</v>
      </c>
      <c r="H21" s="50">
        <v>1.0229999999999999</v>
      </c>
      <c r="I21" s="50">
        <v>156</v>
      </c>
      <c r="J21" s="50">
        <v>650</v>
      </c>
      <c r="K21" s="50">
        <v>1090</v>
      </c>
      <c r="L21" s="50">
        <v>0.6</v>
      </c>
      <c r="M21" s="50">
        <v>178.7</v>
      </c>
      <c r="N21" s="51">
        <v>403.3</v>
      </c>
      <c r="O21" s="43">
        <f t="shared" si="0"/>
        <v>0.4</v>
      </c>
      <c r="P21" s="43">
        <f t="shared" si="1"/>
        <v>997.32603888088875</v>
      </c>
      <c r="Q21" s="43">
        <f t="shared" si="2"/>
        <v>8.7740315662658742E-5</v>
      </c>
      <c r="R21" s="43">
        <v>35</v>
      </c>
      <c r="S21" s="43">
        <f t="shared" si="3"/>
        <v>0.66666666666666663</v>
      </c>
      <c r="T21" s="43">
        <f t="shared" si="4"/>
        <v>24.511270927858966</v>
      </c>
      <c r="U21" s="43" t="str" cm="1">
        <f t="array" ref="U21">_xlfn.IFS(T21&lt;3,"Group I",T21&lt;5,"Group II",T21&lt;10,"Group III",T21&lt;20,"Group IV",T21&lt;50,"Group V",T21&lt;100,"Group VI",T21&lt;200,"Group VII",T21&lt;500,"Group VIII",T21&lt;1000,"Group IX",TRUE,"Group X")</f>
        <v>Group V</v>
      </c>
      <c r="V21" s="43">
        <f t="shared" si="5"/>
        <v>1.3893658303318865</v>
      </c>
      <c r="W21" s="43">
        <f t="shared" si="6"/>
        <v>0.1196713269230769</v>
      </c>
      <c r="X21" s="43">
        <f t="shared" si="7"/>
        <v>-0.92200989345971573</v>
      </c>
      <c r="Y21" s="43">
        <f t="shared" si="8"/>
        <v>2.2568550643536658</v>
      </c>
      <c r="Z21" s="43">
        <f t="shared" si="9"/>
        <v>0.35350366950197448</v>
      </c>
      <c r="AA21" s="43">
        <f t="shared" si="10"/>
        <v>1.2674808922433596</v>
      </c>
      <c r="AB21" s="43">
        <f t="shared" si="11"/>
        <v>0.48606246033181638</v>
      </c>
      <c r="AF21" s="43" t="s">
        <v>81</v>
      </c>
      <c r="AG21" s="43">
        <f>MIN(T3:T717)</f>
        <v>0.70229927740928288</v>
      </c>
    </row>
    <row r="22" spans="1:33" ht="18.600000000000001" thickBot="1">
      <c r="A22" s="48" t="s">
        <v>42</v>
      </c>
      <c r="B22" s="50">
        <v>250</v>
      </c>
      <c r="C22" s="50">
        <v>300</v>
      </c>
      <c r="D22" s="50">
        <v>1.738</v>
      </c>
      <c r="E22" s="50">
        <v>357.95103888088869</v>
      </c>
      <c r="F22" s="50">
        <v>5241.7198107385311</v>
      </c>
      <c r="G22" s="46" t="s">
        <v>71</v>
      </c>
      <c r="H22" s="50">
        <v>1.0229999999999999</v>
      </c>
      <c r="I22" s="50">
        <v>156</v>
      </c>
      <c r="J22" s="50">
        <v>650</v>
      </c>
      <c r="K22" s="50">
        <v>1090</v>
      </c>
      <c r="L22" s="50">
        <v>0.6</v>
      </c>
      <c r="M22" s="50">
        <v>267.93</v>
      </c>
      <c r="N22" s="51">
        <v>585.75</v>
      </c>
      <c r="O22" s="43">
        <f t="shared" si="0"/>
        <v>0.4</v>
      </c>
      <c r="P22" s="43">
        <f t="shared" si="1"/>
        <v>997.32603888088875</v>
      </c>
      <c r="Q22" s="43">
        <f t="shared" si="2"/>
        <v>8.7740315662658742E-5</v>
      </c>
      <c r="R22" s="43">
        <v>35</v>
      </c>
      <c r="S22" s="43">
        <f t="shared" si="3"/>
        <v>0.83333333333333337</v>
      </c>
      <c r="T22" s="43">
        <f t="shared" si="4"/>
        <v>30.63908865982371</v>
      </c>
      <c r="U22" s="43" t="str" cm="1">
        <f t="array" ref="U22">_xlfn.IFS(T22&lt;3,"Group I",T22&lt;5,"Group II",T22&lt;10,"Group III",T22&lt;20,"Group IV",T22&lt;50,"Group V",T22&lt;100,"Group VI",T22&lt;200,"Group VII",T22&lt;500,"Group VIII",T22&lt;1000,"Group IX",TRUE,"Group X")</f>
        <v>Group V</v>
      </c>
      <c r="V22" s="43">
        <f t="shared" si="5"/>
        <v>1.4862758433399428</v>
      </c>
      <c r="W22" s="43">
        <f t="shared" si="6"/>
        <v>0.1196713269230769</v>
      </c>
      <c r="X22" s="43">
        <f t="shared" si="7"/>
        <v>-0.92200989345971573</v>
      </c>
      <c r="Y22" s="43">
        <f t="shared" si="8"/>
        <v>2.1862053521442166</v>
      </c>
      <c r="Z22" s="43">
        <f t="shared" si="9"/>
        <v>0.33969095318295073</v>
      </c>
      <c r="AA22" s="43">
        <f t="shared" si="10"/>
        <v>1.5843511153041996</v>
      </c>
      <c r="AB22" s="43">
        <f t="shared" si="11"/>
        <v>0.51947131828304172</v>
      </c>
    </row>
    <row r="23" spans="1:33" ht="18.600000000000001" thickBot="1">
      <c r="A23" s="48" t="s">
        <v>42</v>
      </c>
      <c r="B23" s="50">
        <v>300</v>
      </c>
      <c r="C23" s="50">
        <v>300</v>
      </c>
      <c r="D23" s="50">
        <v>1.738</v>
      </c>
      <c r="E23" s="50">
        <v>357.95103888088869</v>
      </c>
      <c r="F23" s="50">
        <v>5241.7198107385311</v>
      </c>
      <c r="G23" s="46" t="s">
        <v>71</v>
      </c>
      <c r="H23" s="50">
        <v>1.0229999999999999</v>
      </c>
      <c r="I23" s="50">
        <v>156</v>
      </c>
      <c r="J23" s="50">
        <v>650</v>
      </c>
      <c r="K23" s="50">
        <v>1090</v>
      </c>
      <c r="L23" s="50">
        <v>0.6</v>
      </c>
      <c r="M23" s="50">
        <v>267.93</v>
      </c>
      <c r="N23" s="51">
        <v>598.55999999999995</v>
      </c>
      <c r="O23" s="43">
        <f t="shared" si="0"/>
        <v>0.4</v>
      </c>
      <c r="P23" s="43">
        <f t="shared" si="1"/>
        <v>997.32603888088875</v>
      </c>
      <c r="Q23" s="43">
        <f t="shared" si="2"/>
        <v>8.7740315662658742E-5</v>
      </c>
      <c r="R23" s="43">
        <v>35</v>
      </c>
      <c r="S23" s="43">
        <f t="shared" si="3"/>
        <v>1</v>
      </c>
      <c r="T23" s="43">
        <f t="shared" si="4"/>
        <v>36.766906391788453</v>
      </c>
      <c r="U23" s="43" t="str" cm="1">
        <f t="array" ref="U23">_xlfn.IFS(T23&lt;3,"Group I",T23&lt;5,"Group II",T23&lt;10,"Group III",T23&lt;20,"Group IV",T23&lt;50,"Group V",T23&lt;100,"Group VI",T23&lt;200,"Group VII",T23&lt;500,"Group VIII",T23&lt;1000,"Group IX",TRUE,"Group X")</f>
        <v>Group V</v>
      </c>
      <c r="V23" s="43">
        <f t="shared" si="5"/>
        <v>1.5654570893875677</v>
      </c>
      <c r="W23" s="43">
        <f t="shared" si="6"/>
        <v>0.1196713269230769</v>
      </c>
      <c r="X23" s="43">
        <f t="shared" si="7"/>
        <v>-0.92200989345971573</v>
      </c>
      <c r="Y23" s="43">
        <f t="shared" si="8"/>
        <v>2.2340163475534651</v>
      </c>
      <c r="Z23" s="43">
        <f t="shared" si="9"/>
        <v>0.34908634676808015</v>
      </c>
      <c r="AA23" s="43">
        <f t="shared" si="10"/>
        <v>1.9012213383650396</v>
      </c>
      <c r="AB23" s="43">
        <f t="shared" si="11"/>
        <v>0.54846594514968638</v>
      </c>
    </row>
    <row r="24" spans="1:33" ht="18.600000000000001" thickBot="1">
      <c r="A24" s="48" t="s">
        <v>42</v>
      </c>
      <c r="B24" s="50">
        <v>100</v>
      </c>
      <c r="C24" s="50">
        <v>600</v>
      </c>
      <c r="D24" s="50">
        <v>1.738</v>
      </c>
      <c r="E24" s="50">
        <v>357.95103888088869</v>
      </c>
      <c r="F24" s="50">
        <v>5241.7198107385311</v>
      </c>
      <c r="G24" s="46" t="s">
        <v>71</v>
      </c>
      <c r="H24" s="50">
        <v>1.0229999999999999</v>
      </c>
      <c r="I24" s="50">
        <v>156</v>
      </c>
      <c r="J24" s="50">
        <v>650</v>
      </c>
      <c r="K24" s="50">
        <v>1090</v>
      </c>
      <c r="L24" s="50">
        <v>0.6</v>
      </c>
      <c r="M24" s="50">
        <v>152.9</v>
      </c>
      <c r="N24" s="51">
        <v>174.9</v>
      </c>
      <c r="O24" s="43">
        <f t="shared" si="0"/>
        <v>0.4</v>
      </c>
      <c r="P24" s="43">
        <f t="shared" si="1"/>
        <v>997.32603888088875</v>
      </c>
      <c r="Q24" s="43">
        <f t="shared" si="2"/>
        <v>8.7740315662658742E-5</v>
      </c>
      <c r="R24" s="43">
        <v>35</v>
      </c>
      <c r="S24" s="43">
        <f t="shared" si="3"/>
        <v>0.16666666666666666</v>
      </c>
      <c r="T24" s="43">
        <f t="shared" si="4"/>
        <v>8.6660429442948779</v>
      </c>
      <c r="U24" s="43" t="str" cm="1">
        <f t="array" ref="U24">_xlfn.IFS(T24&lt;3,"Group I",T24&lt;5,"Group II",T24&lt;10,"Group III",T24&lt;20,"Group IV",T24&lt;50,"Group V",T24&lt;100,"Group VI",T24&lt;200,"Group VII",T24&lt;500,"Group VIII",T24&lt;1000,"Group IX",TRUE,"Group X")</f>
        <v>Group III</v>
      </c>
      <c r="V24" s="43">
        <f t="shared" si="5"/>
        <v>0.93782083683591466</v>
      </c>
      <c r="W24" s="43">
        <f t="shared" si="6"/>
        <v>0.2393426538461538</v>
      </c>
      <c r="X24" s="43">
        <f t="shared" si="7"/>
        <v>-0.62097989779573459</v>
      </c>
      <c r="Y24" s="43">
        <f t="shared" si="8"/>
        <v>1.1438848920863309</v>
      </c>
      <c r="Z24" s="43">
        <f t="shared" si="9"/>
        <v>5.8382324066356399E-2</v>
      </c>
      <c r="AA24" s="43">
        <f t="shared" si="10"/>
        <v>0.46231048835338745</v>
      </c>
      <c r="AB24" s="43">
        <f t="shared" si="11"/>
        <v>0.35659629558056888</v>
      </c>
    </row>
    <row r="25" spans="1:33" ht="18.600000000000001" thickBot="1">
      <c r="A25" s="48" t="s">
        <v>42</v>
      </c>
      <c r="B25" s="50">
        <v>150</v>
      </c>
      <c r="C25" s="50">
        <v>600</v>
      </c>
      <c r="D25" s="50">
        <v>1.738</v>
      </c>
      <c r="E25" s="50">
        <v>357.95103888088869</v>
      </c>
      <c r="F25" s="50">
        <v>5241.7198107385311</v>
      </c>
      <c r="G25" s="46" t="s">
        <v>71</v>
      </c>
      <c r="H25" s="50">
        <v>1.0229999999999999</v>
      </c>
      <c r="I25" s="50">
        <v>156</v>
      </c>
      <c r="J25" s="50">
        <v>650</v>
      </c>
      <c r="K25" s="50">
        <v>1090</v>
      </c>
      <c r="L25" s="50">
        <v>0.6</v>
      </c>
      <c r="M25" s="50">
        <v>154.19999999999999</v>
      </c>
      <c r="N25" s="51">
        <v>180.1</v>
      </c>
      <c r="O25" s="43">
        <f t="shared" si="0"/>
        <v>0.4</v>
      </c>
      <c r="P25" s="43">
        <f t="shared" si="1"/>
        <v>997.32603888088875</v>
      </c>
      <c r="Q25" s="43">
        <f t="shared" si="2"/>
        <v>8.7740315662658742E-5</v>
      </c>
      <c r="R25" s="43">
        <v>35</v>
      </c>
      <c r="S25" s="43">
        <f t="shared" si="3"/>
        <v>0.25</v>
      </c>
      <c r="T25" s="43">
        <f t="shared" si="4"/>
        <v>12.999064416442318</v>
      </c>
      <c r="U25" s="43" t="str" cm="1">
        <f t="array" ref="U25">_xlfn.IFS(T25&lt;3,"Group I",T25&lt;5,"Group II",T25&lt;10,"Group III",T25&lt;20,"Group IV",T25&lt;50,"Group V",T25&lt;100,"Group VI",T25&lt;200,"Group VII",T25&lt;500,"Group VIII",T25&lt;1000,"Group IX",TRUE,"Group X")</f>
        <v>Group IV</v>
      </c>
      <c r="V25" s="43">
        <f t="shared" si="5"/>
        <v>1.113912095891596</v>
      </c>
      <c r="W25" s="43">
        <f t="shared" si="6"/>
        <v>0.2393426538461538</v>
      </c>
      <c r="X25" s="43">
        <f t="shared" si="7"/>
        <v>-0.62097989779573459</v>
      </c>
      <c r="Y25" s="43">
        <f t="shared" si="8"/>
        <v>1.1679636835278859</v>
      </c>
      <c r="Z25" s="43">
        <f t="shared" si="9"/>
        <v>6.7429339104595185E-2</v>
      </c>
      <c r="AA25" s="43">
        <f t="shared" si="10"/>
        <v>0.69346573253008126</v>
      </c>
      <c r="AB25" s="43">
        <f t="shared" si="11"/>
        <v>0.40237817205417997</v>
      </c>
    </row>
    <row r="26" spans="1:33" ht="18.600000000000001" thickBot="1">
      <c r="A26" s="48" t="s">
        <v>42</v>
      </c>
      <c r="B26" s="50">
        <v>200</v>
      </c>
      <c r="C26" s="50">
        <v>600</v>
      </c>
      <c r="D26" s="50">
        <v>1.738</v>
      </c>
      <c r="E26" s="50">
        <v>357.95103888088869</v>
      </c>
      <c r="F26" s="50">
        <v>5241.7198107385311</v>
      </c>
      <c r="G26" s="46" t="s">
        <v>71</v>
      </c>
      <c r="H26" s="50">
        <v>1.0229999999999999</v>
      </c>
      <c r="I26" s="50">
        <v>156</v>
      </c>
      <c r="J26" s="50">
        <v>650</v>
      </c>
      <c r="K26" s="50">
        <v>1090</v>
      </c>
      <c r="L26" s="50">
        <v>0.6</v>
      </c>
      <c r="M26" s="50">
        <v>164.2</v>
      </c>
      <c r="N26" s="51">
        <v>215.8</v>
      </c>
      <c r="O26" s="43">
        <f t="shared" si="0"/>
        <v>0.4</v>
      </c>
      <c r="P26" s="43">
        <f t="shared" si="1"/>
        <v>997.32603888088875</v>
      </c>
      <c r="Q26" s="43">
        <f t="shared" si="2"/>
        <v>8.7740315662658742E-5</v>
      </c>
      <c r="R26" s="43">
        <v>35</v>
      </c>
      <c r="S26" s="43">
        <f t="shared" si="3"/>
        <v>0.33333333333333331</v>
      </c>
      <c r="T26" s="43">
        <f t="shared" si="4"/>
        <v>17.332085888589756</v>
      </c>
      <c r="U26" s="43" t="str" cm="1">
        <f t="array" ref="U26">_xlfn.IFS(T26&lt;3,"Group I",T26&lt;5,"Group II",T26&lt;10,"Group III",T26&lt;20,"Group IV",T26&lt;50,"Group V",T26&lt;100,"Group VI",T26&lt;200,"Group VII",T26&lt;500,"Group VIII",T26&lt;1000,"Group IX",TRUE,"Group X")</f>
        <v>Group IV</v>
      </c>
      <c r="V26" s="43">
        <f t="shared" si="5"/>
        <v>1.2388508324998959</v>
      </c>
      <c r="W26" s="43">
        <f t="shared" si="6"/>
        <v>0.2393426538461538</v>
      </c>
      <c r="X26" s="43">
        <f t="shared" si="7"/>
        <v>-0.62097989779573459</v>
      </c>
      <c r="Y26" s="43">
        <f t="shared" si="8"/>
        <v>1.3142509135200977</v>
      </c>
      <c r="Z26" s="43">
        <f t="shared" si="9"/>
        <v>0.11867828756346999</v>
      </c>
      <c r="AA26" s="43">
        <f t="shared" si="10"/>
        <v>0.9246209767067749</v>
      </c>
      <c r="AB26" s="43">
        <f t="shared" si="11"/>
        <v>0.43838295826146539</v>
      </c>
    </row>
    <row r="27" spans="1:33" ht="18.600000000000001" thickBot="1">
      <c r="A27" s="48" t="s">
        <v>42</v>
      </c>
      <c r="B27" s="50">
        <v>250</v>
      </c>
      <c r="C27" s="50">
        <v>600</v>
      </c>
      <c r="D27" s="50">
        <v>1.738</v>
      </c>
      <c r="E27" s="50">
        <v>357.95103888088869</v>
      </c>
      <c r="F27" s="50">
        <v>5241.7198107385311</v>
      </c>
      <c r="G27" s="46" t="s">
        <v>71</v>
      </c>
      <c r="H27" s="50">
        <v>1.0229999999999999</v>
      </c>
      <c r="I27" s="50">
        <v>156</v>
      </c>
      <c r="J27" s="50">
        <v>650</v>
      </c>
      <c r="K27" s="50">
        <v>1090</v>
      </c>
      <c r="L27" s="50">
        <v>0.6</v>
      </c>
      <c r="M27" s="50">
        <v>183</v>
      </c>
      <c r="N27" s="51">
        <v>232</v>
      </c>
      <c r="O27" s="43">
        <f t="shared" si="0"/>
        <v>0.4</v>
      </c>
      <c r="P27" s="43">
        <f t="shared" si="1"/>
        <v>997.32603888088875</v>
      </c>
      <c r="Q27" s="43">
        <f t="shared" si="2"/>
        <v>8.7740315662658742E-5</v>
      </c>
      <c r="R27" s="43">
        <v>35</v>
      </c>
      <c r="S27" s="43">
        <f t="shared" si="3"/>
        <v>0.41666666666666669</v>
      </c>
      <c r="T27" s="43">
        <f t="shared" si="4"/>
        <v>21.665107360737196</v>
      </c>
      <c r="U27" s="43" t="str" cm="1">
        <f t="array" ref="U27">_xlfn.IFS(T27&lt;3,"Group I",T27&lt;5,"Group II",T27&lt;10,"Group III",T27&lt;20,"Group IV",T27&lt;50,"Group V",T27&lt;100,"Group VI",T27&lt;200,"Group VII",T27&lt;500,"Group VIII",T27&lt;1000,"Group IX",TRUE,"Group X")</f>
        <v>Group V</v>
      </c>
      <c r="V27" s="43">
        <f t="shared" si="5"/>
        <v>1.3357608455079524</v>
      </c>
      <c r="W27" s="43">
        <f t="shared" si="6"/>
        <v>0.2393426538461538</v>
      </c>
      <c r="X27" s="43">
        <f t="shared" si="7"/>
        <v>-0.62097989779573459</v>
      </c>
      <c r="Y27" s="43">
        <f t="shared" si="8"/>
        <v>1.2677595628415301</v>
      </c>
      <c r="Z27" s="43">
        <f t="shared" si="9"/>
        <v>0.10303689516047022</v>
      </c>
      <c r="AA27" s="43">
        <f t="shared" si="10"/>
        <v>1.1557762208834685</v>
      </c>
      <c r="AB27" s="43">
        <f t="shared" si="11"/>
        <v>0.46851462893357826</v>
      </c>
    </row>
    <row r="28" spans="1:33" ht="18.600000000000001" thickBot="1">
      <c r="A28" s="48" t="s">
        <v>42</v>
      </c>
      <c r="B28" s="50">
        <v>300</v>
      </c>
      <c r="C28" s="50">
        <v>600</v>
      </c>
      <c r="D28" s="50">
        <v>1.738</v>
      </c>
      <c r="E28" s="50">
        <v>357.95103888088869</v>
      </c>
      <c r="F28" s="50">
        <v>5241.7198107385311</v>
      </c>
      <c r="G28" s="46" t="s">
        <v>71</v>
      </c>
      <c r="H28" s="50">
        <v>1.0229999999999999</v>
      </c>
      <c r="I28" s="50">
        <v>156</v>
      </c>
      <c r="J28" s="50">
        <v>650</v>
      </c>
      <c r="K28" s="50">
        <v>1090</v>
      </c>
      <c r="L28" s="50">
        <v>0.6</v>
      </c>
      <c r="M28" s="50">
        <v>205.7</v>
      </c>
      <c r="N28" s="51">
        <v>295</v>
      </c>
      <c r="O28" s="43">
        <f t="shared" si="0"/>
        <v>0.4</v>
      </c>
      <c r="P28" s="43">
        <f t="shared" si="1"/>
        <v>997.32603888088875</v>
      </c>
      <c r="Q28" s="43">
        <f t="shared" si="2"/>
        <v>8.7740315662658742E-5</v>
      </c>
      <c r="R28" s="43">
        <v>35</v>
      </c>
      <c r="S28" s="43">
        <f t="shared" si="3"/>
        <v>0.5</v>
      </c>
      <c r="T28" s="43">
        <f t="shared" si="4"/>
        <v>25.998128832884635</v>
      </c>
      <c r="U28" s="43" t="str" cm="1">
        <f t="array" ref="U28">_xlfn.IFS(T28&lt;3,"Group I",T28&lt;5,"Group II",T28&lt;10,"Group III",T28&lt;20,"Group IV",T28&lt;50,"Group V",T28&lt;100,"Group VI",T28&lt;200,"Group VII",T28&lt;500,"Group VIII",T28&lt;1000,"Group IX",TRUE,"Group X")</f>
        <v>Group V</v>
      </c>
      <c r="V28" s="43">
        <f t="shared" si="5"/>
        <v>1.4149420915555773</v>
      </c>
      <c r="W28" s="43">
        <f t="shared" si="6"/>
        <v>0.2393426538461538</v>
      </c>
      <c r="X28" s="43">
        <f t="shared" si="7"/>
        <v>-0.62097989779573459</v>
      </c>
      <c r="Y28" s="43">
        <f t="shared" si="8"/>
        <v>1.4341273699562471</v>
      </c>
      <c r="Z28" s="43">
        <f t="shared" si="9"/>
        <v>0.15658772428343903</v>
      </c>
      <c r="AA28" s="43">
        <f t="shared" si="10"/>
        <v>1.3869314650601625</v>
      </c>
      <c r="AB28" s="43">
        <f t="shared" si="11"/>
        <v>0.49466507529968906</v>
      </c>
    </row>
    <row r="29" spans="1:33" ht="18.600000000000001" thickBot="1">
      <c r="A29" s="48" t="s">
        <v>42</v>
      </c>
      <c r="B29" s="50">
        <v>100</v>
      </c>
      <c r="C29" s="50">
        <v>900</v>
      </c>
      <c r="D29" s="50">
        <v>1.738</v>
      </c>
      <c r="E29" s="50">
        <v>357.95103888088869</v>
      </c>
      <c r="F29" s="50">
        <v>5241.7198107385311</v>
      </c>
      <c r="G29" s="46" t="s">
        <v>71</v>
      </c>
      <c r="H29" s="50">
        <v>1.0229999999999999</v>
      </c>
      <c r="I29" s="50">
        <v>156</v>
      </c>
      <c r="J29" s="50">
        <v>650</v>
      </c>
      <c r="K29" s="50">
        <v>1090</v>
      </c>
      <c r="L29" s="50">
        <v>0.6</v>
      </c>
      <c r="M29" s="50">
        <v>79.290000000000006</v>
      </c>
      <c r="N29" s="51">
        <v>48.56</v>
      </c>
      <c r="O29" s="43">
        <f t="shared" si="0"/>
        <v>0.4</v>
      </c>
      <c r="P29" s="43">
        <f t="shared" si="1"/>
        <v>997.32603888088875</v>
      </c>
      <c r="Q29" s="43">
        <f t="shared" si="2"/>
        <v>8.7740315662658742E-5</v>
      </c>
      <c r="R29" s="43">
        <v>35</v>
      </c>
      <c r="S29" s="43">
        <f t="shared" si="3"/>
        <v>0.1111111111111111</v>
      </c>
      <c r="T29" s="43">
        <f t="shared" si="4"/>
        <v>7.0757944341896097</v>
      </c>
      <c r="U29" s="43" t="str" cm="1">
        <f t="array" ref="U29">_xlfn.IFS(T29&lt;3,"Group I",T29&lt;5,"Group II",T29&lt;10,"Group III",T29&lt;20,"Group IV",T29&lt;50,"Group V",T29&lt;100,"Group VI",T29&lt;200,"Group VII",T29&lt;500,"Group VIII",T29&lt;1000,"Group IX",TRUE,"Group X")</f>
        <v>Group III</v>
      </c>
      <c r="V29" s="43">
        <f t="shared" si="5"/>
        <v>0.84977520730807399</v>
      </c>
      <c r="W29" s="43">
        <f t="shared" si="6"/>
        <v>0.35901398076923074</v>
      </c>
      <c r="X29" s="43">
        <f t="shared" si="7"/>
        <v>-0.4448886387400533</v>
      </c>
      <c r="Y29" s="43">
        <f t="shared" si="8"/>
        <v>0.61243536385420605</v>
      </c>
      <c r="Z29" s="43">
        <f t="shared" si="9"/>
        <v>-0.21293973978417163</v>
      </c>
      <c r="AA29" s="43">
        <f t="shared" si="10"/>
        <v>0.38442085535350329</v>
      </c>
      <c r="AB29" s="43">
        <f t="shared" si="11"/>
        <v>0.33569744377910099</v>
      </c>
    </row>
    <row r="30" spans="1:33" ht="18.600000000000001" thickBot="1">
      <c r="A30" s="48" t="s">
        <v>42</v>
      </c>
      <c r="B30" s="50">
        <v>150</v>
      </c>
      <c r="C30" s="50">
        <v>900</v>
      </c>
      <c r="D30" s="50">
        <v>1.738</v>
      </c>
      <c r="E30" s="50">
        <v>357.95103888088869</v>
      </c>
      <c r="F30" s="50">
        <v>5241.7198107385311</v>
      </c>
      <c r="G30" s="46" t="s">
        <v>71</v>
      </c>
      <c r="H30" s="50">
        <v>1.0229999999999999</v>
      </c>
      <c r="I30" s="50">
        <v>156</v>
      </c>
      <c r="J30" s="50">
        <v>650</v>
      </c>
      <c r="K30" s="50">
        <v>1090</v>
      </c>
      <c r="L30" s="50">
        <v>0.6</v>
      </c>
      <c r="M30" s="50">
        <v>103</v>
      </c>
      <c r="N30" s="51">
        <v>64.5</v>
      </c>
      <c r="O30" s="43">
        <f t="shared" si="0"/>
        <v>0.4</v>
      </c>
      <c r="P30" s="43">
        <f t="shared" si="1"/>
        <v>997.32603888088875</v>
      </c>
      <c r="Q30" s="43">
        <f t="shared" si="2"/>
        <v>8.7740315662658742E-5</v>
      </c>
      <c r="R30" s="43">
        <v>35</v>
      </c>
      <c r="S30" s="43">
        <f t="shared" si="3"/>
        <v>0.16666666666666666</v>
      </c>
      <c r="T30" s="43">
        <f t="shared" si="4"/>
        <v>10.613691651284416</v>
      </c>
      <c r="U30" s="43" t="str" cm="1">
        <f t="array" ref="U30">_xlfn.IFS(T30&lt;3,"Group I",T30&lt;5,"Group II",T30&lt;10,"Group III",T30&lt;20,"Group IV",T30&lt;50,"Group V",T30&lt;100,"Group VI",T30&lt;200,"Group VII",T30&lt;500,"Group VIII",T30&lt;1000,"Group IX",TRUE,"Group X")</f>
        <v>Group IV</v>
      </c>
      <c r="V30" s="43">
        <f t="shared" si="5"/>
        <v>1.0258664663637553</v>
      </c>
      <c r="W30" s="43">
        <f t="shared" si="6"/>
        <v>0.35901398076923074</v>
      </c>
      <c r="X30" s="43">
        <f t="shared" si="7"/>
        <v>-0.4448886387400533</v>
      </c>
      <c r="Y30" s="43">
        <f t="shared" si="8"/>
        <v>0.62621359223300976</v>
      </c>
      <c r="Z30" s="43">
        <f t="shared" si="9"/>
        <v>-0.20327751006990441</v>
      </c>
      <c r="AA30" s="43">
        <f t="shared" si="10"/>
        <v>0.57663128303025502</v>
      </c>
      <c r="AB30" s="43">
        <f t="shared" si="11"/>
        <v>0.37879620586405199</v>
      </c>
    </row>
    <row r="31" spans="1:33" ht="18.600000000000001" thickBot="1">
      <c r="A31" s="48" t="s">
        <v>42</v>
      </c>
      <c r="B31" s="50">
        <v>200</v>
      </c>
      <c r="C31" s="50">
        <v>900</v>
      </c>
      <c r="D31" s="50">
        <v>1.738</v>
      </c>
      <c r="E31" s="50">
        <v>357.95103888088869</v>
      </c>
      <c r="F31" s="50">
        <v>5241.7198107385311</v>
      </c>
      <c r="G31" s="46" t="s">
        <v>71</v>
      </c>
      <c r="H31" s="50">
        <v>1.0229999999999999</v>
      </c>
      <c r="I31" s="50">
        <v>156</v>
      </c>
      <c r="J31" s="50">
        <v>650</v>
      </c>
      <c r="K31" s="50">
        <v>1090</v>
      </c>
      <c r="L31" s="50">
        <v>0.6</v>
      </c>
      <c r="M31" s="50">
        <v>129.19999999999999</v>
      </c>
      <c r="N31" s="51">
        <v>108.6</v>
      </c>
      <c r="O31" s="43">
        <f t="shared" si="0"/>
        <v>0.4</v>
      </c>
      <c r="P31" s="43">
        <f t="shared" si="1"/>
        <v>997.32603888088875</v>
      </c>
      <c r="Q31" s="43">
        <f t="shared" si="2"/>
        <v>8.7740315662658742E-5</v>
      </c>
      <c r="R31" s="43">
        <v>35</v>
      </c>
      <c r="S31" s="43">
        <f t="shared" si="3"/>
        <v>0.22222222222222221</v>
      </c>
      <c r="T31" s="43">
        <f t="shared" si="4"/>
        <v>14.151588868379219</v>
      </c>
      <c r="U31" s="43" t="str" cm="1">
        <f t="array" ref="U31">_xlfn.IFS(T31&lt;3,"Group I",T31&lt;5,"Group II",T31&lt;10,"Group III",T31&lt;20,"Group IV",T31&lt;50,"Group V",T31&lt;100,"Group VI",T31&lt;200,"Group VII",T31&lt;500,"Group VIII",T31&lt;1000,"Group IX",TRUE,"Group X")</f>
        <v>Group IV</v>
      </c>
      <c r="V31" s="43">
        <f t="shared" si="5"/>
        <v>1.1508052029720552</v>
      </c>
      <c r="W31" s="43">
        <f t="shared" si="6"/>
        <v>0.35901398076923074</v>
      </c>
      <c r="X31" s="43">
        <f t="shared" si="7"/>
        <v>-0.4448886387400533</v>
      </c>
      <c r="Y31" s="43">
        <f t="shared" si="8"/>
        <v>0.84055727554179571</v>
      </c>
      <c r="Z31" s="43">
        <f t="shared" si="9"/>
        <v>-7.5432688406237111E-2</v>
      </c>
      <c r="AA31" s="43">
        <f t="shared" si="10"/>
        <v>0.76884171070700658</v>
      </c>
      <c r="AB31" s="43">
        <f t="shared" si="11"/>
        <v>0.41269087847673452</v>
      </c>
    </row>
    <row r="32" spans="1:33" ht="18.600000000000001" thickBot="1">
      <c r="A32" s="48" t="s">
        <v>42</v>
      </c>
      <c r="B32" s="50">
        <v>250</v>
      </c>
      <c r="C32" s="50">
        <v>900</v>
      </c>
      <c r="D32" s="50">
        <v>1.738</v>
      </c>
      <c r="E32" s="50">
        <v>357.95103888088869</v>
      </c>
      <c r="F32" s="50">
        <v>5241.7198107385311</v>
      </c>
      <c r="G32" s="46" t="s">
        <v>71</v>
      </c>
      <c r="H32" s="50">
        <v>1.0229999999999999</v>
      </c>
      <c r="I32" s="50">
        <v>156</v>
      </c>
      <c r="J32" s="50">
        <v>650</v>
      </c>
      <c r="K32" s="50">
        <v>1090</v>
      </c>
      <c r="L32" s="50">
        <v>0.6</v>
      </c>
      <c r="M32" s="50">
        <v>150.80000000000001</v>
      </c>
      <c r="N32" s="51">
        <v>183.6</v>
      </c>
      <c r="O32" s="43">
        <f t="shared" si="0"/>
        <v>0.4</v>
      </c>
      <c r="P32" s="43">
        <f t="shared" si="1"/>
        <v>997.32603888088875</v>
      </c>
      <c r="Q32" s="43">
        <f t="shared" si="2"/>
        <v>8.7740315662658742E-5</v>
      </c>
      <c r="R32" s="43">
        <v>35</v>
      </c>
      <c r="S32" s="43">
        <f t="shared" si="3"/>
        <v>0.27777777777777779</v>
      </c>
      <c r="T32" s="43">
        <f t="shared" si="4"/>
        <v>17.689486085474027</v>
      </c>
      <c r="U32" s="43" t="str" cm="1">
        <f t="array" ref="U32">_xlfn.IFS(T32&lt;3,"Group I",T32&lt;5,"Group II",T32&lt;10,"Group III",T32&lt;20,"Group IV",T32&lt;50,"Group V",T32&lt;100,"Group VI",T32&lt;200,"Group VII",T32&lt;500,"Group VIII",T32&lt;1000,"Group IX",TRUE,"Group X")</f>
        <v>Group IV</v>
      </c>
      <c r="V32" s="43">
        <f t="shared" si="5"/>
        <v>1.2477152159801117</v>
      </c>
      <c r="W32" s="43">
        <f t="shared" si="6"/>
        <v>0.35901398076923074</v>
      </c>
      <c r="X32" s="43">
        <f t="shared" si="7"/>
        <v>-0.4448886387400533</v>
      </c>
      <c r="Y32" s="43">
        <f t="shared" si="8"/>
        <v>1.2175066312997347</v>
      </c>
      <c r="Z32" s="43">
        <f t="shared" si="9"/>
        <v>8.5471335331468362E-2</v>
      </c>
      <c r="AA32" s="43">
        <f t="shared" si="10"/>
        <v>0.96105213838375836</v>
      </c>
      <c r="AB32" s="43">
        <f t="shared" si="11"/>
        <v>0.44105663815170187</v>
      </c>
    </row>
    <row r="33" spans="1:28" ht="18.600000000000001" thickBot="1">
      <c r="A33" s="53" t="s">
        <v>42</v>
      </c>
      <c r="B33" s="54">
        <v>300</v>
      </c>
      <c r="C33" s="54">
        <v>900</v>
      </c>
      <c r="D33" s="54">
        <v>1.738</v>
      </c>
      <c r="E33" s="54">
        <v>357.95103888088869</v>
      </c>
      <c r="F33" s="54">
        <v>5241.7198107385311</v>
      </c>
      <c r="G33" s="46" t="s">
        <v>71</v>
      </c>
      <c r="H33" s="54">
        <v>1.0229999999999999</v>
      </c>
      <c r="I33" s="54">
        <v>156</v>
      </c>
      <c r="J33" s="54">
        <v>650</v>
      </c>
      <c r="K33" s="54">
        <v>1090</v>
      </c>
      <c r="L33" s="54">
        <v>0.6</v>
      </c>
      <c r="M33" s="54">
        <v>155.29</v>
      </c>
      <c r="N33" s="55">
        <v>192.5</v>
      </c>
      <c r="O33" s="43">
        <f t="shared" si="0"/>
        <v>0.4</v>
      </c>
      <c r="P33" s="43">
        <f t="shared" si="1"/>
        <v>997.32603888088875</v>
      </c>
      <c r="Q33" s="43">
        <f t="shared" si="2"/>
        <v>8.7740315662658742E-5</v>
      </c>
      <c r="R33" s="43">
        <v>35</v>
      </c>
      <c r="S33" s="43">
        <f t="shared" si="3"/>
        <v>0.33333333333333331</v>
      </c>
      <c r="T33" s="43">
        <f t="shared" si="4"/>
        <v>21.227383302568832</v>
      </c>
      <c r="U33" s="43" t="str" cm="1">
        <f t="array" ref="U33">_xlfn.IFS(T33&lt;3,"Group I",T33&lt;5,"Group II",T33&lt;10,"Group III",T33&lt;20,"Group IV",T33&lt;50,"Group V",T33&lt;100,"Group VI",T33&lt;200,"Group VII",T33&lt;500,"Group VIII",T33&lt;1000,"Group IX",TRUE,"Group X")</f>
        <v>Group V</v>
      </c>
      <c r="V33" s="43">
        <f t="shared" si="5"/>
        <v>1.3268964620277364</v>
      </c>
      <c r="W33" s="43">
        <f t="shared" si="6"/>
        <v>0.35901398076923074</v>
      </c>
      <c r="X33" s="43">
        <f t="shared" si="7"/>
        <v>-0.4448886387400533</v>
      </c>
      <c r="Y33" s="43">
        <f t="shared" si="8"/>
        <v>1.2396162019447485</v>
      </c>
      <c r="Z33" s="43">
        <f t="shared" si="9"/>
        <v>9.328724388962098E-2</v>
      </c>
      <c r="AA33" s="43">
        <f t="shared" si="10"/>
        <v>1.15326256606051</v>
      </c>
      <c r="AB33" s="43">
        <f t="shared" si="11"/>
        <v>0.46567449904252672</v>
      </c>
    </row>
    <row r="34" spans="1:28">
      <c r="A34" s="56" t="s">
        <v>43</v>
      </c>
      <c r="B34" s="57">
        <v>200</v>
      </c>
      <c r="C34" s="57">
        <v>200</v>
      </c>
      <c r="D34" s="57">
        <v>2.7</v>
      </c>
      <c r="E34" s="57">
        <v>396.56745296418143</v>
      </c>
      <c r="F34" s="57">
        <v>10874.101934550545</v>
      </c>
      <c r="G34" s="57" t="s">
        <v>85</v>
      </c>
      <c r="H34" s="57">
        <v>0.89700000000000002</v>
      </c>
      <c r="I34" s="57">
        <v>237</v>
      </c>
      <c r="J34" s="57">
        <v>660</v>
      </c>
      <c r="K34" s="57">
        <v>2519</v>
      </c>
      <c r="L34" s="57">
        <v>0.6</v>
      </c>
      <c r="M34" s="57">
        <v>93.06</v>
      </c>
      <c r="N34" s="58">
        <v>33.729999999999997</v>
      </c>
      <c r="O34" s="43">
        <f t="shared" si="0"/>
        <v>0.4</v>
      </c>
      <c r="P34" s="43">
        <f t="shared" si="1"/>
        <v>966.16245296418151</v>
      </c>
      <c r="Q34" s="43">
        <f t="shared" si="2"/>
        <v>9.7857054378793496E-5</v>
      </c>
      <c r="R34" s="43">
        <v>35</v>
      </c>
      <c r="S34" s="43">
        <f t="shared" si="3"/>
        <v>1</v>
      </c>
      <c r="T34" s="43">
        <f t="shared" si="4"/>
        <v>18.888087971726371</v>
      </c>
      <c r="U34" s="43" t="str" cm="1">
        <f t="array" ref="U34">_xlfn.IFS(T34&lt;3,"Group I",T34&lt;5,"Group II",T34&lt;10,"Group III",T34&lt;20,"Group IV",T34&lt;50,"Group V",T34&lt;100,"Group VI",T34&lt;200,"Group VII",T34&lt;500,"Group VIII",T34&lt;1000,"Group IX",TRUE,"Group X")</f>
        <v>Group IV</v>
      </c>
      <c r="V34" s="43">
        <f t="shared" si="5"/>
        <v>1.2761879968124301</v>
      </c>
      <c r="W34" s="43">
        <f t="shared" si="6"/>
        <v>7.1532911392405071E-2</v>
      </c>
      <c r="X34" s="43">
        <f t="shared" si="7"/>
        <v>-1.1454940987927675</v>
      </c>
      <c r="Y34" s="43">
        <f t="shared" si="8"/>
        <v>0.36245433053943688</v>
      </c>
      <c r="Z34" s="43">
        <f t="shared" si="9"/>
        <v>-0.44074670700804719</v>
      </c>
      <c r="AA34" s="43">
        <f t="shared" si="10"/>
        <v>0.95436279997881501</v>
      </c>
      <c r="AB34" s="43">
        <f t="shared" si="11"/>
        <v>0.4497554184683214</v>
      </c>
    </row>
    <row r="35" spans="1:28">
      <c r="A35" s="48" t="s">
        <v>43</v>
      </c>
      <c r="B35" s="50">
        <v>200</v>
      </c>
      <c r="C35" s="50">
        <v>400</v>
      </c>
      <c r="D35" s="50">
        <v>2.7</v>
      </c>
      <c r="E35" s="50">
        <v>396.56745296418143</v>
      </c>
      <c r="F35" s="50">
        <v>10874.101934550545</v>
      </c>
      <c r="G35" s="57" t="s">
        <v>85</v>
      </c>
      <c r="H35" s="50">
        <v>0.89700000000000002</v>
      </c>
      <c r="I35" s="50">
        <v>237</v>
      </c>
      <c r="J35" s="50">
        <v>660</v>
      </c>
      <c r="K35" s="50">
        <v>2519</v>
      </c>
      <c r="L35" s="50">
        <v>0.9</v>
      </c>
      <c r="M35" s="59">
        <v>61.04</v>
      </c>
      <c r="N35" s="60">
        <v>21.84</v>
      </c>
      <c r="O35" s="43">
        <f t="shared" si="0"/>
        <v>9.9999999999999978E-2</v>
      </c>
      <c r="P35" s="43">
        <f t="shared" si="1"/>
        <v>966.16245296418151</v>
      </c>
      <c r="Q35" s="43">
        <f t="shared" si="2"/>
        <v>9.7857054378793496E-5</v>
      </c>
      <c r="R35" s="43">
        <v>35</v>
      </c>
      <c r="S35" s="43">
        <f t="shared" si="3"/>
        <v>0.5</v>
      </c>
      <c r="T35" s="43">
        <f t="shared" si="4"/>
        <v>3.3389737721139445</v>
      </c>
      <c r="U35" s="43" t="str" cm="1">
        <f t="array" ref="U35">_xlfn.IFS(T35&lt;3,"Group I",T35&lt;5,"Group II",T35&lt;10,"Group III",T35&lt;20,"Group IV",T35&lt;50,"Group V",T35&lt;100,"Group VI",T35&lt;200,"Group VII",T35&lt;500,"Group VIII",T35&lt;1000,"Group IX",TRUE,"Group X")</f>
        <v>Group II</v>
      </c>
      <c r="V35" s="43">
        <f t="shared" si="5"/>
        <v>0.52361300765247709</v>
      </c>
      <c r="W35" s="43">
        <f t="shared" si="6"/>
        <v>0.14306582278481014</v>
      </c>
      <c r="X35" s="43">
        <f t="shared" si="7"/>
        <v>-0.84446410312878639</v>
      </c>
      <c r="Y35" s="43">
        <f t="shared" si="8"/>
        <v>0.3577981651376147</v>
      </c>
      <c r="Z35" s="43">
        <f t="shared" si="9"/>
        <v>-0.44636189091412443</v>
      </c>
      <c r="AA35" s="43">
        <f t="shared" si="10"/>
        <v>0.17405072329871393</v>
      </c>
      <c r="AB35" s="43">
        <f t="shared" si="11"/>
        <v>0.26840111457959254</v>
      </c>
    </row>
    <row r="36" spans="1:28">
      <c r="A36" s="48" t="s">
        <v>43</v>
      </c>
      <c r="B36" s="50">
        <v>200</v>
      </c>
      <c r="C36" s="50">
        <v>600</v>
      </c>
      <c r="D36" s="50">
        <v>2.7</v>
      </c>
      <c r="E36" s="50">
        <v>396.56745296418143</v>
      </c>
      <c r="F36" s="50">
        <v>10874.101934550545</v>
      </c>
      <c r="G36" s="57" t="s">
        <v>85</v>
      </c>
      <c r="H36" s="50">
        <v>0.89700000000000002</v>
      </c>
      <c r="I36" s="50">
        <v>237</v>
      </c>
      <c r="J36" s="50">
        <v>660</v>
      </c>
      <c r="K36" s="50">
        <v>2519</v>
      </c>
      <c r="L36" s="50">
        <v>0.9</v>
      </c>
      <c r="M36" s="59">
        <v>65.73</v>
      </c>
      <c r="N36" s="60">
        <v>25.3</v>
      </c>
      <c r="O36" s="43">
        <f t="shared" si="0"/>
        <v>9.9999999999999978E-2</v>
      </c>
      <c r="P36" s="43">
        <f t="shared" si="1"/>
        <v>966.16245296418151</v>
      </c>
      <c r="Q36" s="43">
        <f t="shared" si="2"/>
        <v>9.7857054378793496E-5</v>
      </c>
      <c r="R36" s="43">
        <v>35</v>
      </c>
      <c r="S36" s="43">
        <f t="shared" si="3"/>
        <v>0.33333333333333331</v>
      </c>
      <c r="T36" s="43">
        <f t="shared" si="4"/>
        <v>2.7262606687383881</v>
      </c>
      <c r="U36" s="43" t="str" cm="1">
        <f t="array" ref="U36">_xlfn.IFS(T36&lt;3,"Group I",T36&lt;5,"Group II",T36&lt;10,"Group III",T36&lt;20,"Group IV",T36&lt;50,"Group V",T36&lt;100,"Group VI",T36&lt;200,"Group VII",T36&lt;500,"Group VIII",T36&lt;1000,"Group IX",TRUE,"Group X")</f>
        <v>Group I</v>
      </c>
      <c r="V36" s="43">
        <f t="shared" si="5"/>
        <v>0.43556737812463653</v>
      </c>
      <c r="W36" s="43">
        <f t="shared" si="6"/>
        <v>0.2145987341772152</v>
      </c>
      <c r="X36" s="43">
        <f t="shared" si="7"/>
        <v>-0.66837284407310515</v>
      </c>
      <c r="Y36" s="43">
        <f t="shared" si="8"/>
        <v>0.38490795679294082</v>
      </c>
      <c r="Z36" s="43">
        <f t="shared" si="9"/>
        <v>-0.41464311110454982</v>
      </c>
      <c r="AA36" s="43">
        <f t="shared" si="10"/>
        <v>0.14472682236497936</v>
      </c>
      <c r="AB36" s="43">
        <f t="shared" si="11"/>
        <v>0.25267107142865258</v>
      </c>
    </row>
    <row r="37" spans="1:28">
      <c r="A37" s="48" t="s">
        <v>43</v>
      </c>
      <c r="B37" s="50">
        <v>200</v>
      </c>
      <c r="C37" s="50">
        <v>800</v>
      </c>
      <c r="D37" s="50">
        <v>2.7</v>
      </c>
      <c r="E37" s="50">
        <v>396.56745296418143</v>
      </c>
      <c r="F37" s="50">
        <v>10874.101934550545</v>
      </c>
      <c r="G37" s="57" t="s">
        <v>85</v>
      </c>
      <c r="H37" s="50">
        <v>0.89700000000000002</v>
      </c>
      <c r="I37" s="50">
        <v>237</v>
      </c>
      <c r="J37" s="50">
        <v>660</v>
      </c>
      <c r="K37" s="50">
        <v>2519</v>
      </c>
      <c r="L37" s="50">
        <v>0.9</v>
      </c>
      <c r="M37" s="59">
        <v>49.58</v>
      </c>
      <c r="N37" s="60">
        <v>22.47</v>
      </c>
      <c r="O37" s="43">
        <f t="shared" si="0"/>
        <v>9.9999999999999978E-2</v>
      </c>
      <c r="P37" s="43">
        <f t="shared" si="1"/>
        <v>966.16245296418151</v>
      </c>
      <c r="Q37" s="43">
        <f t="shared" si="2"/>
        <v>9.7857054378793496E-5</v>
      </c>
      <c r="R37" s="43">
        <v>35</v>
      </c>
      <c r="S37" s="43">
        <f t="shared" si="3"/>
        <v>0.25</v>
      </c>
      <c r="T37" s="43">
        <f t="shared" si="4"/>
        <v>2.3610109964657959</v>
      </c>
      <c r="U37" s="43" t="str" cm="1">
        <f t="array" ref="U37">_xlfn.IFS(T37&lt;3,"Group I",T37&lt;5,"Group II",T37&lt;10,"Group III",T37&lt;20,"Group IV",T37&lt;50,"Group V",T37&lt;100,"Group VI",T37&lt;200,"Group VII",T37&lt;500,"Group VIII",T37&lt;1000,"Group IX",TRUE,"Group X")</f>
        <v>Group I</v>
      </c>
      <c r="V37" s="43">
        <f t="shared" si="5"/>
        <v>0.37309800982048646</v>
      </c>
      <c r="W37" s="43">
        <f t="shared" si="6"/>
        <v>0.28613164556962029</v>
      </c>
      <c r="X37" s="43">
        <f t="shared" si="7"/>
        <v>-0.54343410746480525</v>
      </c>
      <c r="Y37" s="43">
        <f t="shared" si="8"/>
        <v>0.45320693828156516</v>
      </c>
      <c r="Z37" s="43">
        <f t="shared" si="9"/>
        <v>-0.34370345001267372</v>
      </c>
      <c r="AA37" s="43">
        <f t="shared" si="10"/>
        <v>0.12696913283492584</v>
      </c>
      <c r="AB37" s="43">
        <f t="shared" si="11"/>
        <v>0.24207274622638536</v>
      </c>
    </row>
    <row r="38" spans="1:28">
      <c r="A38" s="48" t="s">
        <v>43</v>
      </c>
      <c r="B38" s="50">
        <v>200</v>
      </c>
      <c r="C38" s="50">
        <v>1200</v>
      </c>
      <c r="D38" s="50">
        <v>2.7</v>
      </c>
      <c r="E38" s="50">
        <v>396.56745296418143</v>
      </c>
      <c r="F38" s="50">
        <v>10874.101934550545</v>
      </c>
      <c r="G38" s="57" t="s">
        <v>85</v>
      </c>
      <c r="H38" s="50">
        <v>0.89700000000000002</v>
      </c>
      <c r="I38" s="50">
        <v>237</v>
      </c>
      <c r="J38" s="50">
        <v>660</v>
      </c>
      <c r="K38" s="50">
        <v>2519</v>
      </c>
      <c r="L38" s="50">
        <v>0.9</v>
      </c>
      <c r="M38" s="59">
        <v>56.81</v>
      </c>
      <c r="N38" s="60">
        <v>20</v>
      </c>
      <c r="O38" s="43">
        <f t="shared" si="0"/>
        <v>9.9999999999999978E-2</v>
      </c>
      <c r="P38" s="43">
        <f t="shared" si="1"/>
        <v>966.16245296418151</v>
      </c>
      <c r="Q38" s="43">
        <f t="shared" si="2"/>
        <v>9.7857054378793496E-5</v>
      </c>
      <c r="R38" s="43">
        <v>35</v>
      </c>
      <c r="S38" s="43">
        <f t="shared" si="3"/>
        <v>0.16666666666666666</v>
      </c>
      <c r="T38" s="43">
        <f t="shared" si="4"/>
        <v>1.9277574061470859</v>
      </c>
      <c r="U38" s="43" t="str" cm="1">
        <f t="array" ref="U38">_xlfn.IFS(T38&lt;3,"Group I",T38&lt;5,"Group II",T38&lt;10,"Group III",T38&lt;20,"Group IV",T38&lt;50,"Group V",T38&lt;100,"Group VI",T38&lt;200,"Group VII",T38&lt;500,"Group VIII",T38&lt;1000,"Group IX",TRUE,"Group X")</f>
        <v>Group I</v>
      </c>
      <c r="V38" s="43">
        <f t="shared" si="5"/>
        <v>0.28505238029264585</v>
      </c>
      <c r="W38" s="43">
        <f t="shared" si="6"/>
        <v>0.4291974683544304</v>
      </c>
      <c r="X38" s="43">
        <f t="shared" si="7"/>
        <v>-0.36734284840912396</v>
      </c>
      <c r="Y38" s="43">
        <f t="shared" si="8"/>
        <v>0.35205069530012323</v>
      </c>
      <c r="Z38" s="43">
        <f t="shared" si="9"/>
        <v>-0.45339479361327739</v>
      </c>
      <c r="AA38" s="43">
        <f t="shared" si="10"/>
        <v>0.1055774936487814</v>
      </c>
      <c r="AB38" s="43">
        <f t="shared" si="11"/>
        <v>0.22788571593117996</v>
      </c>
    </row>
    <row r="39" spans="1:28">
      <c r="A39" s="48" t="s">
        <v>43</v>
      </c>
      <c r="B39" s="50">
        <v>200</v>
      </c>
      <c r="C39" s="50">
        <v>1600</v>
      </c>
      <c r="D39" s="50">
        <v>2.7</v>
      </c>
      <c r="E39" s="50">
        <v>396.56745296418143</v>
      </c>
      <c r="F39" s="50">
        <v>10874.101934550545</v>
      </c>
      <c r="G39" s="57" t="s">
        <v>85</v>
      </c>
      <c r="H39" s="50">
        <v>0.89700000000000002</v>
      </c>
      <c r="I39" s="50">
        <v>237</v>
      </c>
      <c r="J39" s="50">
        <v>660</v>
      </c>
      <c r="K39" s="50">
        <v>2519</v>
      </c>
      <c r="L39" s="50">
        <v>0.9</v>
      </c>
      <c r="M39" s="59">
        <v>39.81</v>
      </c>
      <c r="N39" s="60">
        <v>16.7</v>
      </c>
      <c r="O39" s="43">
        <f t="shared" si="0"/>
        <v>9.9999999999999978E-2</v>
      </c>
      <c r="P39" s="43">
        <f t="shared" si="1"/>
        <v>966.16245296418151</v>
      </c>
      <c r="Q39" s="43">
        <f t="shared" si="2"/>
        <v>9.7857054378793496E-5</v>
      </c>
      <c r="R39" s="43">
        <v>35</v>
      </c>
      <c r="S39" s="43">
        <f t="shared" si="3"/>
        <v>0.125</v>
      </c>
      <c r="T39" s="43">
        <f t="shared" si="4"/>
        <v>1.6694868860569723</v>
      </c>
      <c r="U39" s="43" t="str" cm="1">
        <f t="array" ref="U39">_xlfn.IFS(T39&lt;3,"Group I",T39&lt;5,"Group II",T39&lt;10,"Group III",T39&lt;20,"Group IV",T39&lt;50,"Group V",T39&lt;100,"Group VI",T39&lt;200,"Group VII",T39&lt;500,"Group VIII",T39&lt;1000,"Group IX",TRUE,"Group X")</f>
        <v>Group I</v>
      </c>
      <c r="V39" s="43">
        <f t="shared" si="5"/>
        <v>0.22258301198849592</v>
      </c>
      <c r="W39" s="43">
        <f t="shared" si="6"/>
        <v>0.57226329113924057</v>
      </c>
      <c r="X39" s="43">
        <f t="shared" si="7"/>
        <v>-0.242404111800824</v>
      </c>
      <c r="Y39" s="43">
        <f t="shared" si="8"/>
        <v>0.41949258980155735</v>
      </c>
      <c r="Z39" s="43">
        <f t="shared" si="9"/>
        <v>-0.3772757064365147</v>
      </c>
      <c r="AA39" s="43">
        <f t="shared" si="10"/>
        <v>9.2623347879946263E-2</v>
      </c>
      <c r="AB39" s="43">
        <f t="shared" si="11"/>
        <v>0.21832701610561595</v>
      </c>
    </row>
    <row r="40" spans="1:28">
      <c r="A40" s="48" t="s">
        <v>43</v>
      </c>
      <c r="B40" s="50">
        <v>200</v>
      </c>
      <c r="C40" s="50">
        <v>2000</v>
      </c>
      <c r="D40" s="50">
        <v>2.7</v>
      </c>
      <c r="E40" s="50">
        <v>396.56745296418143</v>
      </c>
      <c r="F40" s="50">
        <v>10874.101934550545</v>
      </c>
      <c r="G40" s="57" t="s">
        <v>85</v>
      </c>
      <c r="H40" s="50">
        <v>0.89700000000000002</v>
      </c>
      <c r="I40" s="50">
        <v>237</v>
      </c>
      <c r="J40" s="50">
        <v>660</v>
      </c>
      <c r="K40" s="50">
        <v>2519</v>
      </c>
      <c r="L40" s="50">
        <v>0.9</v>
      </c>
      <c r="M40" s="59">
        <v>36.700000000000003</v>
      </c>
      <c r="N40" s="60">
        <v>16.670000000000002</v>
      </c>
      <c r="O40" s="43">
        <f t="shared" si="0"/>
        <v>9.9999999999999978E-2</v>
      </c>
      <c r="P40" s="43">
        <f t="shared" si="1"/>
        <v>966.16245296418151</v>
      </c>
      <c r="Q40" s="43">
        <f t="shared" si="2"/>
        <v>9.7857054378793496E-5</v>
      </c>
      <c r="R40" s="43">
        <v>35</v>
      </c>
      <c r="S40" s="43">
        <f t="shared" si="3"/>
        <v>0.1</v>
      </c>
      <c r="T40" s="43">
        <f t="shared" si="4"/>
        <v>1.4932344659071344</v>
      </c>
      <c r="U40" s="43" t="str" cm="1">
        <f t="array" ref="U40">_xlfn.IFS(T40&lt;3,"Group I",T40&lt;5,"Group II",T40&lt;10,"Group III",T40&lt;20,"Group IV",T40&lt;50,"Group V",T40&lt;100,"Group VI",T40&lt;200,"Group VII",T40&lt;500,"Group VIII",T40&lt;1000,"Group IX",TRUE,"Group X")</f>
        <v>Group I</v>
      </c>
      <c r="V40" s="43">
        <f t="shared" si="5"/>
        <v>0.17412800548446772</v>
      </c>
      <c r="W40" s="43">
        <f t="shared" si="6"/>
        <v>0.71532911392405063</v>
      </c>
      <c r="X40" s="43">
        <f t="shared" si="7"/>
        <v>-0.14549409879276765</v>
      </c>
      <c r="Y40" s="43">
        <f t="shared" si="8"/>
        <v>0.4542234332425068</v>
      </c>
      <c r="Z40" s="43">
        <f t="shared" si="9"/>
        <v>-0.342730464424084</v>
      </c>
      <c r="AA40" s="43">
        <f t="shared" si="10"/>
        <v>8.3680354497038312E-2</v>
      </c>
      <c r="AB40" s="43">
        <f t="shared" si="11"/>
        <v>0.21118969979079999</v>
      </c>
    </row>
    <row r="41" spans="1:28">
      <c r="A41" s="48" t="s">
        <v>43</v>
      </c>
      <c r="B41" s="50">
        <v>200</v>
      </c>
      <c r="C41" s="50">
        <v>2400</v>
      </c>
      <c r="D41" s="50">
        <v>2.7</v>
      </c>
      <c r="E41" s="50">
        <v>396.56745296418143</v>
      </c>
      <c r="F41" s="50">
        <v>10874.101934550545</v>
      </c>
      <c r="G41" s="57" t="s">
        <v>85</v>
      </c>
      <c r="H41" s="50">
        <v>0.89700000000000002</v>
      </c>
      <c r="I41" s="50">
        <v>237</v>
      </c>
      <c r="J41" s="50">
        <v>660</v>
      </c>
      <c r="K41" s="50">
        <v>2519</v>
      </c>
      <c r="L41" s="50">
        <v>0.9</v>
      </c>
      <c r="M41" s="59">
        <v>18.899999999999999</v>
      </c>
      <c r="N41" s="60">
        <v>7.74</v>
      </c>
      <c r="O41" s="43">
        <f t="shared" si="0"/>
        <v>9.9999999999999978E-2</v>
      </c>
      <c r="P41" s="43">
        <f t="shared" si="1"/>
        <v>966.16245296418151</v>
      </c>
      <c r="Q41" s="43">
        <f t="shared" si="2"/>
        <v>9.7857054378793496E-5</v>
      </c>
      <c r="R41" s="43">
        <v>35</v>
      </c>
      <c r="S41" s="43">
        <f t="shared" si="3"/>
        <v>8.3333333333333329E-2</v>
      </c>
      <c r="T41" s="43">
        <f t="shared" si="4"/>
        <v>1.3631303343691941</v>
      </c>
      <c r="U41" s="43" t="str" cm="1">
        <f t="array" ref="U41">_xlfn.IFS(T41&lt;3,"Group I",T41&lt;5,"Group II",T41&lt;10,"Group III",T41&lt;20,"Group IV",T41&lt;50,"Group V",T41&lt;100,"Group VI",T41&lt;200,"Group VII",T41&lt;500,"Group VIII",T41&lt;1000,"Group IX",TRUE,"Group X")</f>
        <v>Group I</v>
      </c>
      <c r="V41" s="43">
        <f t="shared" si="5"/>
        <v>0.13453738246065533</v>
      </c>
      <c r="W41" s="43">
        <f t="shared" si="6"/>
        <v>0.8583949367088608</v>
      </c>
      <c r="X41" s="43">
        <f t="shared" si="7"/>
        <v>-6.6312852745142786E-2</v>
      </c>
      <c r="Y41" s="43">
        <f t="shared" si="8"/>
        <v>0.40952380952380957</v>
      </c>
      <c r="Z41" s="43">
        <f t="shared" si="9"/>
        <v>-0.38772084349035152</v>
      </c>
      <c r="AA41" s="43">
        <f t="shared" si="10"/>
        <v>7.7018253997509958E-2</v>
      </c>
      <c r="AB41" s="43">
        <f t="shared" si="11"/>
        <v>0.2055316393437252</v>
      </c>
    </row>
    <row r="42" spans="1:28">
      <c r="A42" s="48" t="s">
        <v>43</v>
      </c>
      <c r="B42" s="50">
        <v>350</v>
      </c>
      <c r="C42" s="50">
        <v>400</v>
      </c>
      <c r="D42" s="50">
        <v>2.7</v>
      </c>
      <c r="E42" s="50">
        <v>396.56745296418143</v>
      </c>
      <c r="F42" s="50">
        <v>10874.101934550545</v>
      </c>
      <c r="G42" s="57" t="s">
        <v>85</v>
      </c>
      <c r="H42" s="50">
        <v>0.89700000000000002</v>
      </c>
      <c r="I42" s="50">
        <v>237</v>
      </c>
      <c r="J42" s="50">
        <v>660</v>
      </c>
      <c r="K42" s="50">
        <v>2519</v>
      </c>
      <c r="L42" s="50">
        <v>0.9</v>
      </c>
      <c r="M42" s="59">
        <v>296.45999999999998</v>
      </c>
      <c r="N42" s="60">
        <v>24.17</v>
      </c>
      <c r="O42" s="43">
        <f t="shared" si="0"/>
        <v>9.9999999999999978E-2</v>
      </c>
      <c r="P42" s="43">
        <f t="shared" si="1"/>
        <v>966.16245296418151</v>
      </c>
      <c r="Q42" s="43">
        <f t="shared" si="2"/>
        <v>9.7857054378793496E-5</v>
      </c>
      <c r="R42" s="43">
        <v>35</v>
      </c>
      <c r="S42" s="43">
        <f t="shared" si="3"/>
        <v>0.875</v>
      </c>
      <c r="T42" s="43">
        <f t="shared" si="4"/>
        <v>5.8432041011994027</v>
      </c>
      <c r="U42" s="43" t="str" cm="1">
        <f t="array" ref="U42">_xlfn.IFS(T42&lt;3,"Group I",T42&lt;5,"Group II",T42&lt;10,"Group III",T42&lt;20,"Group IV",T42&lt;50,"Group V",T42&lt;100,"Group VI",T42&lt;200,"Group VII",T42&lt;500,"Group VIII",T42&lt;1000,"Group IX",TRUE,"Group X")</f>
        <v>Group III</v>
      </c>
      <c r="V42" s="43">
        <f t="shared" si="5"/>
        <v>0.76665105633877151</v>
      </c>
      <c r="W42" s="43">
        <f t="shared" si="6"/>
        <v>0.14306582278481014</v>
      </c>
      <c r="X42" s="43">
        <f t="shared" si="7"/>
        <v>-0.84446410312878639</v>
      </c>
      <c r="Y42" s="43">
        <f t="shared" si="8"/>
        <v>8.1528705390271891E-2</v>
      </c>
      <c r="Z42" s="43">
        <f t="shared" si="9"/>
        <v>-1.0886894538654099</v>
      </c>
      <c r="AA42" s="43">
        <f t="shared" si="10"/>
        <v>0.3045887657727494</v>
      </c>
      <c r="AB42" s="43">
        <f t="shared" si="11"/>
        <v>0.31709204705783817</v>
      </c>
    </row>
    <row r="43" spans="1:28">
      <c r="A43" s="48" t="s">
        <v>43</v>
      </c>
      <c r="B43" s="50">
        <v>350</v>
      </c>
      <c r="C43" s="50">
        <v>600</v>
      </c>
      <c r="D43" s="50">
        <v>2.7</v>
      </c>
      <c r="E43" s="50">
        <v>396.56745296418143</v>
      </c>
      <c r="F43" s="50">
        <v>10874.101934550545</v>
      </c>
      <c r="G43" s="57" t="s">
        <v>85</v>
      </c>
      <c r="H43" s="50">
        <v>0.89700000000000002</v>
      </c>
      <c r="I43" s="50">
        <v>237</v>
      </c>
      <c r="J43" s="50">
        <v>660</v>
      </c>
      <c r="K43" s="50">
        <v>2519</v>
      </c>
      <c r="L43" s="50">
        <v>0.9</v>
      </c>
      <c r="M43" s="59">
        <v>110.76</v>
      </c>
      <c r="N43" s="60">
        <v>89.15</v>
      </c>
      <c r="O43" s="43">
        <f t="shared" si="0"/>
        <v>9.9999999999999978E-2</v>
      </c>
      <c r="P43" s="43">
        <f t="shared" si="1"/>
        <v>966.16245296418151</v>
      </c>
      <c r="Q43" s="43">
        <f t="shared" si="2"/>
        <v>9.7857054378793496E-5</v>
      </c>
      <c r="R43" s="43">
        <v>35</v>
      </c>
      <c r="S43" s="43">
        <f t="shared" si="3"/>
        <v>0.58333333333333337</v>
      </c>
      <c r="T43" s="43">
        <f t="shared" si="4"/>
        <v>4.7709561702921794</v>
      </c>
      <c r="U43" s="43" t="str" cm="1">
        <f t="array" ref="U43">_xlfn.IFS(T43&lt;3,"Group I",T43&lt;5,"Group II",T43&lt;10,"Group III",T43&lt;20,"Group IV",T43&lt;50,"Group V",T43&lt;100,"Group VI",T43&lt;200,"Group VII",T43&lt;500,"Group VIII",T43&lt;1000,"Group IX",TRUE,"Group X")</f>
        <v>Group II</v>
      </c>
      <c r="V43" s="43">
        <f t="shared" si="5"/>
        <v>0.67860542681093095</v>
      </c>
      <c r="W43" s="43">
        <f t="shared" si="6"/>
        <v>0.2145987341772152</v>
      </c>
      <c r="X43" s="43">
        <f t="shared" si="7"/>
        <v>-0.66837284407310515</v>
      </c>
      <c r="Y43" s="43">
        <f t="shared" si="8"/>
        <v>0.80489346334416756</v>
      </c>
      <c r="Z43" s="43">
        <f t="shared" si="9"/>
        <v>-9.4261599562163484E-2</v>
      </c>
      <c r="AA43" s="43">
        <f t="shared" si="10"/>
        <v>0.25327193913871388</v>
      </c>
      <c r="AB43" s="43">
        <f t="shared" si="11"/>
        <v>0.29850840000088619</v>
      </c>
    </row>
    <row r="44" spans="1:28">
      <c r="A44" s="48" t="s">
        <v>43</v>
      </c>
      <c r="B44" s="50">
        <v>350</v>
      </c>
      <c r="C44" s="50">
        <v>800</v>
      </c>
      <c r="D44" s="50">
        <v>2.7</v>
      </c>
      <c r="E44" s="50">
        <v>396.56745296418143</v>
      </c>
      <c r="F44" s="50">
        <v>10874.101934550545</v>
      </c>
      <c r="G44" s="57" t="s">
        <v>85</v>
      </c>
      <c r="H44" s="50">
        <v>0.89700000000000002</v>
      </c>
      <c r="I44" s="50">
        <v>237</v>
      </c>
      <c r="J44" s="50">
        <v>660</v>
      </c>
      <c r="K44" s="50">
        <v>2519</v>
      </c>
      <c r="L44" s="50">
        <v>0.9</v>
      </c>
      <c r="M44" s="59">
        <v>104.25</v>
      </c>
      <c r="N44" s="60">
        <v>37.46</v>
      </c>
      <c r="O44" s="43">
        <f t="shared" si="0"/>
        <v>9.9999999999999978E-2</v>
      </c>
      <c r="P44" s="43">
        <f t="shared" si="1"/>
        <v>966.16245296418151</v>
      </c>
      <c r="Q44" s="43">
        <f t="shared" si="2"/>
        <v>9.7857054378793496E-5</v>
      </c>
      <c r="R44" s="43">
        <v>35</v>
      </c>
      <c r="S44" s="43">
        <f t="shared" si="3"/>
        <v>0.4375</v>
      </c>
      <c r="T44" s="43">
        <f t="shared" si="4"/>
        <v>4.1317692438151434</v>
      </c>
      <c r="U44" s="43" t="str" cm="1">
        <f t="array" ref="U44">_xlfn.IFS(T44&lt;3,"Group I",T44&lt;5,"Group II",T44&lt;10,"Group III",T44&lt;20,"Group IV",T44&lt;50,"Group V",T44&lt;100,"Group VI",T44&lt;200,"Group VII",T44&lt;500,"Group VIII",T44&lt;1000,"Group IX",TRUE,"Group X")</f>
        <v>Group II</v>
      </c>
      <c r="V44" s="43">
        <f t="shared" si="5"/>
        <v>0.61613605850678099</v>
      </c>
      <c r="W44" s="43">
        <f t="shared" si="6"/>
        <v>0.28613164556962029</v>
      </c>
      <c r="X44" s="43">
        <f t="shared" si="7"/>
        <v>-0.54343410746480525</v>
      </c>
      <c r="Y44" s="43">
        <f t="shared" si="8"/>
        <v>0.35932853717026381</v>
      </c>
      <c r="Z44" s="43">
        <f t="shared" si="9"/>
        <v>-0.44450829060657654</v>
      </c>
      <c r="AA44" s="43">
        <f t="shared" si="10"/>
        <v>0.22219598246112029</v>
      </c>
      <c r="AB44" s="43">
        <f t="shared" si="11"/>
        <v>0.28598742131927563</v>
      </c>
    </row>
    <row r="45" spans="1:28">
      <c r="A45" s="48" t="s">
        <v>43</v>
      </c>
      <c r="B45" s="50">
        <v>350</v>
      </c>
      <c r="C45" s="50">
        <v>1000</v>
      </c>
      <c r="D45" s="50">
        <v>2.7</v>
      </c>
      <c r="E45" s="50">
        <v>396.56745296418143</v>
      </c>
      <c r="F45" s="50">
        <v>10874.101934550545</v>
      </c>
      <c r="G45" s="57" t="s">
        <v>85</v>
      </c>
      <c r="H45" s="50">
        <v>0.89700000000000002</v>
      </c>
      <c r="I45" s="50">
        <v>237</v>
      </c>
      <c r="J45" s="50">
        <v>660</v>
      </c>
      <c r="K45" s="50">
        <v>2519</v>
      </c>
      <c r="L45" s="50">
        <v>0.9</v>
      </c>
      <c r="M45" s="59">
        <v>105.12</v>
      </c>
      <c r="N45" s="60">
        <v>36.22</v>
      </c>
      <c r="O45" s="43">
        <f t="shared" si="0"/>
        <v>9.9999999999999978E-2</v>
      </c>
      <c r="P45" s="43">
        <f t="shared" si="1"/>
        <v>966.16245296418151</v>
      </c>
      <c r="Q45" s="43">
        <f t="shared" si="2"/>
        <v>9.7857054378793496E-5</v>
      </c>
      <c r="R45" s="43">
        <v>35</v>
      </c>
      <c r="S45" s="43">
        <f t="shared" si="3"/>
        <v>0.35</v>
      </c>
      <c r="T45" s="43">
        <f t="shared" si="4"/>
        <v>3.6955667586054251</v>
      </c>
      <c r="U45" s="43" t="str" cm="1">
        <f t="array" ref="U45">_xlfn.IFS(T45&lt;3,"Group I",T45&lt;5,"Group II",T45&lt;10,"Group III",T45&lt;20,"Group IV",T45&lt;50,"Group V",T45&lt;100,"Group VI",T45&lt;200,"Group VII",T45&lt;500,"Group VIII",T45&lt;1000,"Group IX",TRUE,"Group X")</f>
        <v>Group II</v>
      </c>
      <c r="V45" s="43">
        <f t="shared" si="5"/>
        <v>0.56768105200275276</v>
      </c>
      <c r="W45" s="43">
        <f t="shared" si="6"/>
        <v>0.35766455696202532</v>
      </c>
      <c r="X45" s="43">
        <f t="shared" si="7"/>
        <v>-0.44652409445674884</v>
      </c>
      <c r="Y45" s="43">
        <f t="shared" si="8"/>
        <v>0.344558599695586</v>
      </c>
      <c r="Z45" s="43">
        <f t="shared" si="9"/>
        <v>-0.46273690623766595</v>
      </c>
      <c r="AA45" s="43">
        <f t="shared" si="10"/>
        <v>0.20074245863218132</v>
      </c>
      <c r="AB45" s="43">
        <f t="shared" si="11"/>
        <v>0.27663822246874586</v>
      </c>
    </row>
    <row r="46" spans="1:28">
      <c r="A46" s="48" t="s">
        <v>43</v>
      </c>
      <c r="B46" s="50">
        <v>350</v>
      </c>
      <c r="C46" s="50">
        <v>1200</v>
      </c>
      <c r="D46" s="50">
        <v>2.7</v>
      </c>
      <c r="E46" s="50">
        <v>396.56745296418143</v>
      </c>
      <c r="F46" s="50">
        <v>10874.101934550545</v>
      </c>
      <c r="G46" s="57" t="s">
        <v>85</v>
      </c>
      <c r="H46" s="50">
        <v>0.89700000000000002</v>
      </c>
      <c r="I46" s="50">
        <v>237</v>
      </c>
      <c r="J46" s="50">
        <v>660</v>
      </c>
      <c r="K46" s="50">
        <v>2519</v>
      </c>
      <c r="L46" s="50">
        <v>0.9</v>
      </c>
      <c r="M46" s="59">
        <v>85.21</v>
      </c>
      <c r="N46" s="60">
        <v>24.13</v>
      </c>
      <c r="O46" s="43">
        <f t="shared" si="0"/>
        <v>9.9999999999999978E-2</v>
      </c>
      <c r="P46" s="43">
        <f t="shared" si="1"/>
        <v>966.16245296418151</v>
      </c>
      <c r="Q46" s="43">
        <f t="shared" si="2"/>
        <v>9.7857054378793496E-5</v>
      </c>
      <c r="R46" s="43">
        <v>35</v>
      </c>
      <c r="S46" s="43">
        <f t="shared" si="3"/>
        <v>0.29166666666666669</v>
      </c>
      <c r="T46" s="43">
        <f t="shared" si="4"/>
        <v>3.3735754607574004</v>
      </c>
      <c r="U46" s="43" t="str" cm="1">
        <f t="array" ref="U46">_xlfn.IFS(T46&lt;3,"Group I",T46&lt;5,"Group II",T46&lt;10,"Group III",T46&lt;20,"Group IV",T46&lt;50,"Group V",T46&lt;100,"Group VI",T46&lt;200,"Group VII",T46&lt;500,"Group VIII",T46&lt;1000,"Group IX",TRUE,"Group X")</f>
        <v>Group II</v>
      </c>
      <c r="V46" s="43">
        <f t="shared" si="5"/>
        <v>0.52809042897894032</v>
      </c>
      <c r="W46" s="43">
        <f t="shared" si="6"/>
        <v>0.4291974683544304</v>
      </c>
      <c r="X46" s="43">
        <f t="shared" si="7"/>
        <v>-0.36734284840912396</v>
      </c>
      <c r="Y46" s="43">
        <f t="shared" si="8"/>
        <v>0.28318272503227321</v>
      </c>
      <c r="Z46" s="43">
        <f t="shared" si="9"/>
        <v>-0.54793324339748373</v>
      </c>
      <c r="AA46" s="43">
        <f t="shared" si="10"/>
        <v>0.18476061388536746</v>
      </c>
      <c r="AB46" s="43">
        <f t="shared" si="11"/>
        <v>0.26922670672602744</v>
      </c>
    </row>
    <row r="47" spans="1:28">
      <c r="A47" s="48" t="s">
        <v>43</v>
      </c>
      <c r="B47" s="50">
        <v>350</v>
      </c>
      <c r="C47" s="50">
        <v>1600</v>
      </c>
      <c r="D47" s="50">
        <v>2.7</v>
      </c>
      <c r="E47" s="50">
        <v>396.56745296418143</v>
      </c>
      <c r="F47" s="50">
        <v>10874.101934550545</v>
      </c>
      <c r="G47" s="57" t="s">
        <v>85</v>
      </c>
      <c r="H47" s="50">
        <v>0.89700000000000002</v>
      </c>
      <c r="I47" s="50">
        <v>237</v>
      </c>
      <c r="J47" s="50">
        <v>660</v>
      </c>
      <c r="K47" s="50">
        <v>2519</v>
      </c>
      <c r="L47" s="50">
        <v>0.9</v>
      </c>
      <c r="M47" s="59">
        <v>75.760000000000005</v>
      </c>
      <c r="N47" s="60">
        <v>24.4</v>
      </c>
      <c r="O47" s="43">
        <f t="shared" si="0"/>
        <v>9.9999999999999978E-2</v>
      </c>
      <c r="P47" s="43">
        <f t="shared" si="1"/>
        <v>966.16245296418151</v>
      </c>
      <c r="Q47" s="43">
        <f t="shared" si="2"/>
        <v>9.7857054378793496E-5</v>
      </c>
      <c r="R47" s="43">
        <v>35</v>
      </c>
      <c r="S47" s="43">
        <f t="shared" si="3"/>
        <v>0.21875</v>
      </c>
      <c r="T47" s="43">
        <f t="shared" si="4"/>
        <v>2.9216020505997014</v>
      </c>
      <c r="U47" s="43" t="str" cm="1">
        <f t="array" ref="U47">_xlfn.IFS(T47&lt;3,"Group I",T47&lt;5,"Group II",T47&lt;10,"Group III",T47&lt;20,"Group IV",T47&lt;50,"Group V",T47&lt;100,"Group VI",T47&lt;200,"Group VII",T47&lt;500,"Group VIII",T47&lt;1000,"Group IX",TRUE,"Group X")</f>
        <v>Group I</v>
      </c>
      <c r="V47" s="43">
        <f t="shared" si="5"/>
        <v>0.46562106067479037</v>
      </c>
      <c r="W47" s="43">
        <f t="shared" si="6"/>
        <v>0.57226329113924057</v>
      </c>
      <c r="X47" s="43">
        <f t="shared" si="7"/>
        <v>-0.242404111800824</v>
      </c>
      <c r="Y47" s="43">
        <f t="shared" si="8"/>
        <v>0.32206969376979933</v>
      </c>
      <c r="Z47" s="43">
        <f t="shared" si="9"/>
        <v>-0.49205013965648764</v>
      </c>
      <c r="AA47" s="43">
        <f t="shared" si="10"/>
        <v>0.16209085878990598</v>
      </c>
      <c r="AB47" s="43">
        <f t="shared" si="11"/>
        <v>0.25793395296959443</v>
      </c>
    </row>
    <row r="48" spans="1:28">
      <c r="A48" s="48" t="s">
        <v>43</v>
      </c>
      <c r="B48" s="50">
        <v>350</v>
      </c>
      <c r="C48" s="50">
        <v>2000</v>
      </c>
      <c r="D48" s="50">
        <v>2.7</v>
      </c>
      <c r="E48" s="50">
        <v>396.56745296418143</v>
      </c>
      <c r="F48" s="50">
        <v>10874.101934550545</v>
      </c>
      <c r="G48" s="57" t="s">
        <v>85</v>
      </c>
      <c r="H48" s="50">
        <v>0.89700000000000002</v>
      </c>
      <c r="I48" s="50">
        <v>237</v>
      </c>
      <c r="J48" s="50">
        <v>660</v>
      </c>
      <c r="K48" s="50">
        <v>2519</v>
      </c>
      <c r="L48" s="50">
        <v>0.9</v>
      </c>
      <c r="M48" s="50">
        <v>78.650000000000006</v>
      </c>
      <c r="N48" s="51">
        <v>35.590000000000003</v>
      </c>
      <c r="O48" s="43">
        <f t="shared" si="0"/>
        <v>9.9999999999999978E-2</v>
      </c>
      <c r="P48" s="43">
        <f t="shared" si="1"/>
        <v>966.16245296418151</v>
      </c>
      <c r="Q48" s="43">
        <f t="shared" si="2"/>
        <v>9.7857054378793496E-5</v>
      </c>
      <c r="R48" s="43">
        <v>35</v>
      </c>
      <c r="S48" s="43">
        <f t="shared" si="3"/>
        <v>0.17499999999999999</v>
      </c>
      <c r="T48" s="43">
        <f t="shared" si="4"/>
        <v>2.6131603153374852</v>
      </c>
      <c r="U48" s="43" t="str" cm="1">
        <f t="array" ref="U48">_xlfn.IFS(T48&lt;3,"Group I",T48&lt;5,"Group II",T48&lt;10,"Group III",T48&lt;20,"Group IV",T48&lt;50,"Group V",T48&lt;100,"Group VI",T48&lt;200,"Group VII",T48&lt;500,"Group VIII",T48&lt;1000,"Group IX",TRUE,"Group X")</f>
        <v>Group I</v>
      </c>
      <c r="V48" s="43">
        <f t="shared" si="5"/>
        <v>0.41716605417076214</v>
      </c>
      <c r="W48" s="43">
        <f t="shared" si="6"/>
        <v>0.71532911392405063</v>
      </c>
      <c r="X48" s="43">
        <f t="shared" si="7"/>
        <v>-0.14549409879276765</v>
      </c>
      <c r="Y48" s="43">
        <f t="shared" si="8"/>
        <v>0.45251112523839798</v>
      </c>
      <c r="Z48" s="43">
        <f t="shared" si="9"/>
        <v>-0.34437073895545972</v>
      </c>
      <c r="AA48" s="43">
        <f t="shared" si="10"/>
        <v>0.14644062036981706</v>
      </c>
      <c r="AB48" s="43">
        <f t="shared" si="11"/>
        <v>0.24950184848929371</v>
      </c>
    </row>
    <row r="49" spans="1:28">
      <c r="A49" s="48" t="s">
        <v>43</v>
      </c>
      <c r="B49" s="50">
        <v>350</v>
      </c>
      <c r="C49" s="50">
        <v>2400</v>
      </c>
      <c r="D49" s="50">
        <v>2.7</v>
      </c>
      <c r="E49" s="50">
        <v>396.56745296418143</v>
      </c>
      <c r="F49" s="50">
        <v>10874.101934550545</v>
      </c>
      <c r="G49" s="57" t="s">
        <v>85</v>
      </c>
      <c r="H49" s="50">
        <v>0.89700000000000002</v>
      </c>
      <c r="I49" s="50">
        <v>237</v>
      </c>
      <c r="J49" s="50">
        <v>660</v>
      </c>
      <c r="K49" s="50">
        <v>2519</v>
      </c>
      <c r="L49" s="50">
        <v>0.9</v>
      </c>
      <c r="M49" s="50">
        <v>73.39</v>
      </c>
      <c r="N49" s="51">
        <v>31.1</v>
      </c>
      <c r="O49" s="43">
        <f t="shared" si="0"/>
        <v>9.9999999999999978E-2</v>
      </c>
      <c r="P49" s="43">
        <f t="shared" si="1"/>
        <v>966.16245296418151</v>
      </c>
      <c r="Q49" s="43">
        <f t="shared" si="2"/>
        <v>9.7857054378793496E-5</v>
      </c>
      <c r="R49" s="43">
        <v>35</v>
      </c>
      <c r="S49" s="43">
        <f t="shared" si="3"/>
        <v>0.14583333333333334</v>
      </c>
      <c r="T49" s="43">
        <f t="shared" si="4"/>
        <v>2.3854780851460897</v>
      </c>
      <c r="U49" s="43" t="str" cm="1">
        <f t="array" ref="U49">_xlfn.IFS(T49&lt;3,"Group I",T49&lt;5,"Group II",T49&lt;10,"Group III",T49&lt;20,"Group IV",T49&lt;50,"Group V",T49&lt;100,"Group VI",T49&lt;200,"Group VII",T49&lt;500,"Group VIII",T49&lt;1000,"Group IX",TRUE,"Group X")</f>
        <v>Group I</v>
      </c>
      <c r="V49" s="43">
        <f t="shared" si="5"/>
        <v>0.3775754311469498</v>
      </c>
      <c r="W49" s="43">
        <f t="shared" si="6"/>
        <v>0.8583949367088608</v>
      </c>
      <c r="X49" s="43">
        <f t="shared" si="7"/>
        <v>-6.6312852745142786E-2</v>
      </c>
      <c r="Y49" s="43">
        <f t="shared" si="8"/>
        <v>0.42376345551165012</v>
      </c>
      <c r="Z49" s="43">
        <f t="shared" si="9"/>
        <v>-0.3728764986727911</v>
      </c>
      <c r="AA49" s="43">
        <f t="shared" si="10"/>
        <v>0.1347819444956424</v>
      </c>
      <c r="AB49" s="43">
        <f t="shared" si="11"/>
        <v>0.24281735326150697</v>
      </c>
    </row>
    <row r="50" spans="1:28">
      <c r="A50" s="48" t="s">
        <v>43</v>
      </c>
      <c r="B50" s="50">
        <v>100</v>
      </c>
      <c r="C50" s="50">
        <v>300</v>
      </c>
      <c r="D50" s="50">
        <v>2.7</v>
      </c>
      <c r="E50" s="50">
        <v>396.56745296418143</v>
      </c>
      <c r="F50" s="50">
        <v>10874.101934550545</v>
      </c>
      <c r="G50" s="57" t="s">
        <v>85</v>
      </c>
      <c r="H50" s="50">
        <v>0.89700000000000002</v>
      </c>
      <c r="I50" s="50">
        <v>237</v>
      </c>
      <c r="J50" s="50">
        <v>660</v>
      </c>
      <c r="K50" s="50">
        <v>2519</v>
      </c>
      <c r="L50" s="50">
        <v>0.9</v>
      </c>
      <c r="M50" s="50">
        <v>55.99</v>
      </c>
      <c r="N50" s="51">
        <v>17.36</v>
      </c>
      <c r="O50" s="43">
        <f t="shared" si="0"/>
        <v>9.9999999999999978E-2</v>
      </c>
      <c r="P50" s="43">
        <f t="shared" si="1"/>
        <v>966.16245296418151</v>
      </c>
      <c r="Q50" s="43">
        <f t="shared" si="2"/>
        <v>9.7857054378793496E-5</v>
      </c>
      <c r="R50" s="43">
        <v>35</v>
      </c>
      <c r="S50" s="43">
        <f t="shared" si="3"/>
        <v>0.33333333333333331</v>
      </c>
      <c r="T50" s="43">
        <f t="shared" si="4"/>
        <v>1.9277574061470859</v>
      </c>
      <c r="U50" s="43" t="str" cm="1">
        <f t="array" ref="U50">_xlfn.IFS(T50&lt;3,"Group I",T50&lt;5,"Group II",T50&lt;10,"Group III",T50&lt;20,"Group IV",T50&lt;50,"Group V",T50&lt;100,"Group VI",T50&lt;200,"Group VII",T50&lt;500,"Group VIII",T50&lt;1000,"Group IX",TRUE,"Group X")</f>
        <v>Group I</v>
      </c>
      <c r="V50" s="43">
        <f t="shared" si="5"/>
        <v>0.28505238029264585</v>
      </c>
      <c r="W50" s="43">
        <f t="shared" si="6"/>
        <v>0.1072993670886076</v>
      </c>
      <c r="X50" s="43">
        <f t="shared" si="7"/>
        <v>-0.96940283973708641</v>
      </c>
      <c r="Y50" s="43">
        <f t="shared" si="8"/>
        <v>0.31005536702982672</v>
      </c>
      <c r="Z50" s="43">
        <f t="shared" si="9"/>
        <v>-0.50856074665451079</v>
      </c>
      <c r="AA50" s="43">
        <f t="shared" si="10"/>
        <v>9.9196582472130132E-2</v>
      </c>
      <c r="AB50" s="43">
        <f t="shared" si="11"/>
        <v>0.22788571593117996</v>
      </c>
    </row>
    <row r="51" spans="1:28">
      <c r="A51" s="48" t="s">
        <v>43</v>
      </c>
      <c r="B51" s="50">
        <v>150</v>
      </c>
      <c r="C51" s="50">
        <v>300</v>
      </c>
      <c r="D51" s="50">
        <v>2.7</v>
      </c>
      <c r="E51" s="50">
        <v>396.56745296418143</v>
      </c>
      <c r="F51" s="50">
        <v>10874.101934550545</v>
      </c>
      <c r="G51" s="57" t="s">
        <v>85</v>
      </c>
      <c r="H51" s="50">
        <v>0.89700000000000002</v>
      </c>
      <c r="I51" s="50">
        <v>237</v>
      </c>
      <c r="J51" s="50">
        <v>660</v>
      </c>
      <c r="K51" s="50">
        <v>2519</v>
      </c>
      <c r="L51" s="50">
        <v>0.9</v>
      </c>
      <c r="M51" s="50">
        <v>87.4</v>
      </c>
      <c r="N51" s="51">
        <v>32.6</v>
      </c>
      <c r="O51" s="43">
        <f t="shared" si="0"/>
        <v>9.9999999999999978E-2</v>
      </c>
      <c r="P51" s="43">
        <f t="shared" si="1"/>
        <v>966.16245296418151</v>
      </c>
      <c r="Q51" s="43">
        <f t="shared" si="2"/>
        <v>9.7857054378793496E-5</v>
      </c>
      <c r="R51" s="43">
        <v>35</v>
      </c>
      <c r="S51" s="43">
        <f t="shared" si="3"/>
        <v>0.5</v>
      </c>
      <c r="T51" s="43">
        <f t="shared" si="4"/>
        <v>2.8916361092206286</v>
      </c>
      <c r="U51" s="43" t="str" cm="1">
        <f t="array" ref="U51">_xlfn.IFS(T51&lt;3,"Group I",T51&lt;5,"Group II",T51&lt;10,"Group III",T51&lt;20,"Group IV",T51&lt;50,"Group V",T51&lt;100,"Group VI",T51&lt;200,"Group VII",T51&lt;500,"Group VIII",T51&lt;1000,"Group IX",TRUE,"Group X")</f>
        <v>Group I</v>
      </c>
      <c r="V51" s="43">
        <f t="shared" si="5"/>
        <v>0.46114363934832708</v>
      </c>
      <c r="W51" s="43">
        <f t="shared" si="6"/>
        <v>0.1072993670886076</v>
      </c>
      <c r="X51" s="43">
        <f t="shared" si="7"/>
        <v>-0.96940283973708641</v>
      </c>
      <c r="Y51" s="43">
        <f t="shared" si="8"/>
        <v>0.37299771167048051</v>
      </c>
      <c r="Z51" s="43">
        <f t="shared" si="9"/>
        <v>-0.42829383256646408</v>
      </c>
      <c r="AA51" s="43">
        <f t="shared" si="10"/>
        <v>0.14879487370819519</v>
      </c>
      <c r="AB51" s="43">
        <f t="shared" si="11"/>
        <v>0.257142990407001</v>
      </c>
    </row>
    <row r="52" spans="1:28">
      <c r="A52" s="48" t="s">
        <v>43</v>
      </c>
      <c r="B52" s="50">
        <v>200</v>
      </c>
      <c r="C52" s="50">
        <v>300</v>
      </c>
      <c r="D52" s="50">
        <v>2.7</v>
      </c>
      <c r="E52" s="50">
        <v>396.56745296418143</v>
      </c>
      <c r="F52" s="50">
        <v>10874.101934550545</v>
      </c>
      <c r="G52" s="57" t="s">
        <v>85</v>
      </c>
      <c r="H52" s="50">
        <v>0.89700000000000002</v>
      </c>
      <c r="I52" s="50">
        <v>237</v>
      </c>
      <c r="J52" s="50">
        <v>660</v>
      </c>
      <c r="K52" s="50">
        <v>2519</v>
      </c>
      <c r="L52" s="50">
        <v>0.9</v>
      </c>
      <c r="M52" s="59">
        <v>93.88</v>
      </c>
      <c r="N52" s="51">
        <v>37.11</v>
      </c>
      <c r="O52" s="43">
        <f t="shared" si="0"/>
        <v>9.9999999999999978E-2</v>
      </c>
      <c r="P52" s="43">
        <f t="shared" si="1"/>
        <v>966.16245296418151</v>
      </c>
      <c r="Q52" s="43">
        <f t="shared" si="2"/>
        <v>9.7857054378793496E-5</v>
      </c>
      <c r="R52" s="43">
        <v>35</v>
      </c>
      <c r="S52" s="43">
        <f t="shared" si="3"/>
        <v>0.66666666666666663</v>
      </c>
      <c r="T52" s="43">
        <f t="shared" si="4"/>
        <v>3.8555148122941718</v>
      </c>
      <c r="U52" s="43" t="str" cm="1">
        <f t="array" ref="U52">_xlfn.IFS(T52&lt;3,"Group I",T52&lt;5,"Group II",T52&lt;10,"Group III",T52&lt;20,"Group IV",T52&lt;50,"Group V",T52&lt;100,"Group VI",T52&lt;200,"Group VII",T52&lt;500,"Group VIII",T52&lt;1000,"Group IX",TRUE,"Group X")</f>
        <v>Group II</v>
      </c>
      <c r="V52" s="43">
        <f t="shared" si="5"/>
        <v>0.58608237595662704</v>
      </c>
      <c r="W52" s="43">
        <f t="shared" si="6"/>
        <v>0.1072993670886076</v>
      </c>
      <c r="X52" s="43">
        <f t="shared" si="7"/>
        <v>-0.96940283973708641</v>
      </c>
      <c r="Y52" s="43">
        <f t="shared" si="8"/>
        <v>0.39529186195142735</v>
      </c>
      <c r="Z52" s="43">
        <f t="shared" si="9"/>
        <v>-0.40308212657777187</v>
      </c>
      <c r="AA52" s="43">
        <f t="shared" si="10"/>
        <v>0.19839316494426026</v>
      </c>
      <c r="AB52" s="43">
        <f t="shared" si="11"/>
        <v>0.28015213711851666</v>
      </c>
    </row>
    <row r="53" spans="1:28">
      <c r="A53" s="48" t="s">
        <v>43</v>
      </c>
      <c r="B53" s="50">
        <v>250</v>
      </c>
      <c r="C53" s="50">
        <v>300</v>
      </c>
      <c r="D53" s="50">
        <v>2.7</v>
      </c>
      <c r="E53" s="50">
        <v>396.56745296418143</v>
      </c>
      <c r="F53" s="50">
        <v>10874.101934550545</v>
      </c>
      <c r="G53" s="57" t="s">
        <v>85</v>
      </c>
      <c r="H53" s="50">
        <v>0.89700000000000002</v>
      </c>
      <c r="I53" s="50">
        <v>237</v>
      </c>
      <c r="J53" s="50">
        <v>660</v>
      </c>
      <c r="K53" s="50">
        <v>2519</v>
      </c>
      <c r="L53" s="50">
        <v>0.9</v>
      </c>
      <c r="M53" s="50">
        <v>164.3</v>
      </c>
      <c r="N53" s="51">
        <v>87.1</v>
      </c>
      <c r="O53" s="43">
        <f t="shared" si="0"/>
        <v>9.9999999999999978E-2</v>
      </c>
      <c r="P53" s="43">
        <f t="shared" si="1"/>
        <v>966.16245296418151</v>
      </c>
      <c r="Q53" s="43">
        <f t="shared" si="2"/>
        <v>9.7857054378793496E-5</v>
      </c>
      <c r="R53" s="43">
        <v>35</v>
      </c>
      <c r="S53" s="43">
        <f t="shared" si="3"/>
        <v>0.83333333333333337</v>
      </c>
      <c r="T53" s="43">
        <f t="shared" si="4"/>
        <v>4.8193935153677145</v>
      </c>
      <c r="U53" s="43" t="str" cm="1">
        <f t="array" ref="U53">_xlfn.IFS(T53&lt;3,"Group I",T53&lt;5,"Group II",T53&lt;10,"Group III",T53&lt;20,"Group IV",T53&lt;50,"Group V",T53&lt;100,"Group VI",T53&lt;200,"Group VII",T53&lt;500,"Group VIII",T53&lt;1000,"Group IX",TRUE,"Group X")</f>
        <v>Group II</v>
      </c>
      <c r="V53" s="43">
        <f t="shared" si="5"/>
        <v>0.68299238896468351</v>
      </c>
      <c r="W53" s="43">
        <f t="shared" si="6"/>
        <v>0.1072993670886076</v>
      </c>
      <c r="X53" s="43">
        <f t="shared" si="7"/>
        <v>-0.96940283973708641</v>
      </c>
      <c r="Y53" s="43">
        <f t="shared" si="8"/>
        <v>0.53012781497261097</v>
      </c>
      <c r="Z53" s="43">
        <f t="shared" si="9"/>
        <v>-0.27561940842739863</v>
      </c>
      <c r="AA53" s="43">
        <f t="shared" si="10"/>
        <v>0.24799145618032531</v>
      </c>
      <c r="AB53" s="43">
        <f t="shared" si="11"/>
        <v>0.29940802235461433</v>
      </c>
    </row>
    <row r="54" spans="1:28">
      <c r="A54" s="48" t="s">
        <v>43</v>
      </c>
      <c r="B54" s="50">
        <v>300</v>
      </c>
      <c r="C54" s="50">
        <v>300</v>
      </c>
      <c r="D54" s="50">
        <v>2.7</v>
      </c>
      <c r="E54" s="50">
        <v>396.56745296418143</v>
      </c>
      <c r="F54" s="50">
        <v>10874.101934550545</v>
      </c>
      <c r="G54" s="57" t="s">
        <v>85</v>
      </c>
      <c r="H54" s="50">
        <v>0.89700000000000002</v>
      </c>
      <c r="I54" s="50">
        <v>237</v>
      </c>
      <c r="J54" s="50">
        <v>660</v>
      </c>
      <c r="K54" s="50">
        <v>2519</v>
      </c>
      <c r="L54" s="50">
        <v>0.9</v>
      </c>
      <c r="M54" s="50">
        <v>289.8</v>
      </c>
      <c r="N54" s="51">
        <v>198.4</v>
      </c>
      <c r="O54" s="43">
        <f t="shared" si="0"/>
        <v>9.9999999999999978E-2</v>
      </c>
      <c r="P54" s="43">
        <f t="shared" si="1"/>
        <v>966.16245296418151</v>
      </c>
      <c r="Q54" s="43">
        <f t="shared" si="2"/>
        <v>9.7857054378793496E-5</v>
      </c>
      <c r="R54" s="43">
        <v>35</v>
      </c>
      <c r="S54" s="43">
        <f t="shared" si="3"/>
        <v>1</v>
      </c>
      <c r="T54" s="43">
        <f t="shared" si="4"/>
        <v>5.7832722184412573</v>
      </c>
      <c r="U54" s="43" t="str" cm="1">
        <f t="array" ref="U54">_xlfn.IFS(T54&lt;3,"Group I",T54&lt;5,"Group II",T54&lt;10,"Group III",T54&lt;20,"Group IV",T54&lt;50,"Group V",T54&lt;100,"Group VI",T54&lt;200,"Group VII",T54&lt;500,"Group VIII",T54&lt;1000,"Group IX",TRUE,"Group X")</f>
        <v>Group III</v>
      </c>
      <c r="V54" s="43">
        <f t="shared" si="5"/>
        <v>0.76217363501230828</v>
      </c>
      <c r="W54" s="43">
        <f t="shared" si="6"/>
        <v>0.1072993670886076</v>
      </c>
      <c r="X54" s="43">
        <f t="shared" si="7"/>
        <v>-0.96940283973708641</v>
      </c>
      <c r="Y54" s="43">
        <f t="shared" si="8"/>
        <v>0.68461007591442369</v>
      </c>
      <c r="Z54" s="43">
        <f t="shared" si="9"/>
        <v>-0.16455671331699595</v>
      </c>
      <c r="AA54" s="43">
        <f t="shared" si="10"/>
        <v>0.29758974741639038</v>
      </c>
      <c r="AB54" s="43">
        <f t="shared" si="11"/>
        <v>0.31611967434291899</v>
      </c>
    </row>
    <row r="55" spans="1:28">
      <c r="A55" s="48" t="s">
        <v>43</v>
      </c>
      <c r="B55" s="50">
        <v>100</v>
      </c>
      <c r="C55" s="50">
        <v>600</v>
      </c>
      <c r="D55" s="50">
        <v>2.7</v>
      </c>
      <c r="E55" s="50">
        <v>396.56745296418143</v>
      </c>
      <c r="F55" s="50">
        <v>10874.101934550545</v>
      </c>
      <c r="G55" s="57" t="s">
        <v>85</v>
      </c>
      <c r="H55" s="50">
        <v>0.89700000000000002</v>
      </c>
      <c r="I55" s="50">
        <v>237</v>
      </c>
      <c r="J55" s="50">
        <v>660</v>
      </c>
      <c r="K55" s="50">
        <v>2519</v>
      </c>
      <c r="L55" s="50">
        <v>0.9</v>
      </c>
      <c r="M55" s="50">
        <v>25.58</v>
      </c>
      <c r="N55" s="51">
        <v>13.67</v>
      </c>
      <c r="O55" s="43">
        <f t="shared" si="0"/>
        <v>9.9999999999999978E-2</v>
      </c>
      <c r="P55" s="43">
        <f t="shared" si="1"/>
        <v>966.16245296418151</v>
      </c>
      <c r="Q55" s="43">
        <f t="shared" si="2"/>
        <v>9.7857054378793496E-5</v>
      </c>
      <c r="R55" s="43">
        <v>35</v>
      </c>
      <c r="S55" s="43">
        <f t="shared" si="3"/>
        <v>0.16666666666666666</v>
      </c>
      <c r="T55" s="43">
        <f t="shared" si="4"/>
        <v>1.3631303343691941</v>
      </c>
      <c r="U55" s="43" t="str" cm="1">
        <f t="array" ref="U55">_xlfn.IFS(T55&lt;3,"Group I",T55&lt;5,"Group II",T55&lt;10,"Group III",T55&lt;20,"Group IV",T55&lt;50,"Group V",T55&lt;100,"Group VI",T55&lt;200,"Group VII",T55&lt;500,"Group VIII",T55&lt;1000,"Group IX",TRUE,"Group X")</f>
        <v>Group I</v>
      </c>
      <c r="V55" s="43">
        <f t="shared" si="5"/>
        <v>0.13453738246065533</v>
      </c>
      <c r="W55" s="43">
        <f t="shared" si="6"/>
        <v>0.2145987341772152</v>
      </c>
      <c r="X55" s="43">
        <f t="shared" si="7"/>
        <v>-0.66837284407310515</v>
      </c>
      <c r="Y55" s="43">
        <f t="shared" si="8"/>
        <v>0.53440187646598913</v>
      </c>
      <c r="Z55" s="43">
        <f t="shared" si="9"/>
        <v>-0.27213202557481275</v>
      </c>
      <c r="AA55" s="43">
        <f t="shared" si="10"/>
        <v>7.2363411182489679E-2</v>
      </c>
      <c r="AB55" s="43">
        <f t="shared" si="11"/>
        <v>0.2055316393437252</v>
      </c>
    </row>
    <row r="56" spans="1:28">
      <c r="A56" s="48" t="s">
        <v>43</v>
      </c>
      <c r="B56" s="50">
        <v>150</v>
      </c>
      <c r="C56" s="50">
        <v>600</v>
      </c>
      <c r="D56" s="50">
        <v>2.7</v>
      </c>
      <c r="E56" s="50">
        <v>396.56745296418143</v>
      </c>
      <c r="F56" s="50">
        <v>10874.101934550545</v>
      </c>
      <c r="G56" s="57" t="s">
        <v>85</v>
      </c>
      <c r="H56" s="50">
        <v>0.89700000000000002</v>
      </c>
      <c r="I56" s="50">
        <v>237</v>
      </c>
      <c r="J56" s="50">
        <v>660</v>
      </c>
      <c r="K56" s="50">
        <v>2519</v>
      </c>
      <c r="L56" s="50">
        <v>0.9</v>
      </c>
      <c r="M56" s="50">
        <v>31.13</v>
      </c>
      <c r="N56" s="51">
        <v>19.420000000000002</v>
      </c>
      <c r="O56" s="43">
        <f t="shared" si="0"/>
        <v>9.9999999999999978E-2</v>
      </c>
      <c r="P56" s="43">
        <f t="shared" si="1"/>
        <v>966.16245296418151</v>
      </c>
      <c r="Q56" s="43">
        <f t="shared" si="2"/>
        <v>9.7857054378793496E-5</v>
      </c>
      <c r="R56" s="43">
        <v>35</v>
      </c>
      <c r="S56" s="43">
        <f t="shared" si="3"/>
        <v>0.25</v>
      </c>
      <c r="T56" s="43">
        <f t="shared" si="4"/>
        <v>2.0446955015537909</v>
      </c>
      <c r="U56" s="43" t="str" cm="1">
        <f t="array" ref="U56">_xlfn.IFS(T56&lt;3,"Group I",T56&lt;5,"Group II",T56&lt;10,"Group III",T56&lt;20,"Group IV",T56&lt;50,"Group V",T56&lt;100,"Group VI",T56&lt;200,"Group VII",T56&lt;500,"Group VIII",T56&lt;1000,"Group IX",TRUE,"Group X")</f>
        <v>Group I</v>
      </c>
      <c r="V56" s="43">
        <f t="shared" si="5"/>
        <v>0.31062864151633651</v>
      </c>
      <c r="W56" s="43">
        <f t="shared" si="6"/>
        <v>0.2145987341772152</v>
      </c>
      <c r="X56" s="43">
        <f t="shared" si="7"/>
        <v>-0.66837284407310515</v>
      </c>
      <c r="Y56" s="43">
        <f t="shared" si="8"/>
        <v>0.62383552842916812</v>
      </c>
      <c r="Z56" s="43">
        <f t="shared" si="9"/>
        <v>-0.20492989511052914</v>
      </c>
      <c r="AA56" s="43">
        <f t="shared" si="10"/>
        <v>0.1085451167737345</v>
      </c>
      <c r="AB56" s="43">
        <f t="shared" si="11"/>
        <v>0.23191896933136164</v>
      </c>
    </row>
    <row r="57" spans="1:28">
      <c r="A57" s="48" t="s">
        <v>43</v>
      </c>
      <c r="B57" s="50">
        <v>200</v>
      </c>
      <c r="C57" s="50">
        <v>600</v>
      </c>
      <c r="D57" s="50">
        <v>2.7</v>
      </c>
      <c r="E57" s="50">
        <v>396.56745296418143</v>
      </c>
      <c r="F57" s="50">
        <v>10874.101934550545</v>
      </c>
      <c r="G57" s="57" t="s">
        <v>85</v>
      </c>
      <c r="H57" s="50">
        <v>0.89700000000000002</v>
      </c>
      <c r="I57" s="50">
        <v>237</v>
      </c>
      <c r="J57" s="50">
        <v>660</v>
      </c>
      <c r="K57" s="50">
        <v>2519</v>
      </c>
      <c r="L57" s="50">
        <v>0.9</v>
      </c>
      <c r="M57" s="50">
        <v>74.39</v>
      </c>
      <c r="N57" s="51">
        <v>25.17</v>
      </c>
      <c r="O57" s="43">
        <f t="shared" si="0"/>
        <v>9.9999999999999978E-2</v>
      </c>
      <c r="P57" s="43">
        <f t="shared" si="1"/>
        <v>966.16245296418151</v>
      </c>
      <c r="Q57" s="43">
        <f t="shared" si="2"/>
        <v>9.7857054378793496E-5</v>
      </c>
      <c r="R57" s="43">
        <v>35</v>
      </c>
      <c r="S57" s="43">
        <f t="shared" si="3"/>
        <v>0.33333333333333331</v>
      </c>
      <c r="T57" s="43">
        <f t="shared" si="4"/>
        <v>2.7262606687383881</v>
      </c>
      <c r="U57" s="43" t="str" cm="1">
        <f t="array" ref="U57">_xlfn.IFS(T57&lt;3,"Group I",T57&lt;5,"Group II",T57&lt;10,"Group III",T57&lt;20,"Group IV",T57&lt;50,"Group V",T57&lt;100,"Group VI",T57&lt;200,"Group VII",T57&lt;500,"Group VIII",T57&lt;1000,"Group IX",TRUE,"Group X")</f>
        <v>Group I</v>
      </c>
      <c r="V57" s="43">
        <f t="shared" si="5"/>
        <v>0.43556737812463653</v>
      </c>
      <c r="W57" s="43">
        <f t="shared" si="6"/>
        <v>0.2145987341772152</v>
      </c>
      <c r="X57" s="43">
        <f t="shared" si="7"/>
        <v>-0.66837284407310515</v>
      </c>
      <c r="Y57" s="43">
        <f t="shared" si="8"/>
        <v>0.3383519290227181</v>
      </c>
      <c r="Z57" s="43">
        <f t="shared" si="9"/>
        <v>-0.47063134316001926</v>
      </c>
      <c r="AA57" s="43">
        <f t="shared" si="10"/>
        <v>0.14472682236497936</v>
      </c>
      <c r="AB57" s="43">
        <f t="shared" si="11"/>
        <v>0.25267107142865258</v>
      </c>
    </row>
    <row r="58" spans="1:28">
      <c r="A58" s="48" t="s">
        <v>43</v>
      </c>
      <c r="B58" s="50">
        <v>250</v>
      </c>
      <c r="C58" s="50">
        <v>600</v>
      </c>
      <c r="D58" s="50">
        <v>2.7</v>
      </c>
      <c r="E58" s="50">
        <v>396.56745296418143</v>
      </c>
      <c r="F58" s="50">
        <v>10874.101934550545</v>
      </c>
      <c r="G58" s="57" t="s">
        <v>85</v>
      </c>
      <c r="H58" s="50">
        <v>0.89700000000000002</v>
      </c>
      <c r="I58" s="50">
        <v>237</v>
      </c>
      <c r="J58" s="50">
        <v>660</v>
      </c>
      <c r="K58" s="50">
        <v>2519</v>
      </c>
      <c r="L58" s="50">
        <v>0.9</v>
      </c>
      <c r="M58" s="50">
        <v>107.67</v>
      </c>
      <c r="N58" s="51">
        <v>48</v>
      </c>
      <c r="O58" s="43">
        <f t="shared" si="0"/>
        <v>9.9999999999999978E-2</v>
      </c>
      <c r="P58" s="43">
        <f t="shared" si="1"/>
        <v>966.16245296418151</v>
      </c>
      <c r="Q58" s="43">
        <f t="shared" si="2"/>
        <v>9.7857054378793496E-5</v>
      </c>
      <c r="R58" s="43">
        <v>35</v>
      </c>
      <c r="S58" s="43">
        <f t="shared" si="3"/>
        <v>0.41666666666666669</v>
      </c>
      <c r="T58" s="43">
        <f t="shared" si="4"/>
        <v>3.4078258359229849</v>
      </c>
      <c r="U58" s="43" t="str" cm="1">
        <f t="array" ref="U58">_xlfn.IFS(T58&lt;3,"Group I",T58&lt;5,"Group II",T58&lt;10,"Group III",T58&lt;20,"Group IV",T58&lt;50,"Group V",T58&lt;100,"Group VI",T58&lt;200,"Group VII",T58&lt;500,"Group VIII",T58&lt;1000,"Group IX",TRUE,"Group X")</f>
        <v>Group II</v>
      </c>
      <c r="V58" s="43">
        <f t="shared" si="5"/>
        <v>0.53247739113269288</v>
      </c>
      <c r="W58" s="43">
        <f t="shared" si="6"/>
        <v>0.2145987341772152</v>
      </c>
      <c r="X58" s="43">
        <f t="shared" si="7"/>
        <v>-0.66837284407310515</v>
      </c>
      <c r="Y58" s="43">
        <f t="shared" si="8"/>
        <v>0.44580663137364168</v>
      </c>
      <c r="Z58" s="43">
        <f t="shared" si="9"/>
        <v>-0.35085347567731506</v>
      </c>
      <c r="AA58" s="43">
        <f t="shared" si="10"/>
        <v>0.1809085279562242</v>
      </c>
      <c r="AB58" s="43">
        <f t="shared" si="11"/>
        <v>0.2700380820963374</v>
      </c>
    </row>
    <row r="59" spans="1:28">
      <c r="A59" s="48" t="s">
        <v>43</v>
      </c>
      <c r="B59" s="50">
        <v>300</v>
      </c>
      <c r="C59" s="50">
        <v>600</v>
      </c>
      <c r="D59" s="50">
        <v>2.7</v>
      </c>
      <c r="E59" s="50">
        <v>396.56745296418143</v>
      </c>
      <c r="F59" s="50">
        <v>10874.101934550545</v>
      </c>
      <c r="G59" s="57" t="s">
        <v>85</v>
      </c>
      <c r="H59" s="50">
        <v>0.89700000000000002</v>
      </c>
      <c r="I59" s="50">
        <v>237</v>
      </c>
      <c r="J59" s="50">
        <v>660</v>
      </c>
      <c r="K59" s="50">
        <v>2519</v>
      </c>
      <c r="L59" s="50">
        <v>0.9</v>
      </c>
      <c r="M59" s="50">
        <v>178.9</v>
      </c>
      <c r="N59" s="51">
        <v>108.6</v>
      </c>
      <c r="O59" s="43">
        <f t="shared" si="0"/>
        <v>9.9999999999999978E-2</v>
      </c>
      <c r="P59" s="43">
        <f t="shared" si="1"/>
        <v>966.16245296418151</v>
      </c>
      <c r="Q59" s="43">
        <f t="shared" si="2"/>
        <v>9.7857054378793496E-5</v>
      </c>
      <c r="R59" s="43">
        <v>35</v>
      </c>
      <c r="S59" s="43">
        <f t="shared" si="3"/>
        <v>0.5</v>
      </c>
      <c r="T59" s="43">
        <f t="shared" si="4"/>
        <v>4.0893910031075817</v>
      </c>
      <c r="U59" s="43" t="str" cm="1">
        <f t="array" ref="U59">_xlfn.IFS(T59&lt;3,"Group I",T59&lt;5,"Group II",T59&lt;10,"Group III",T59&lt;20,"Group IV",T59&lt;50,"Group V",T59&lt;100,"Group VI",T59&lt;200,"Group VII",T59&lt;500,"Group VIII",T59&lt;1000,"Group IX",TRUE,"Group X")</f>
        <v>Group II</v>
      </c>
      <c r="V59" s="43">
        <f t="shared" si="5"/>
        <v>0.61165863718031765</v>
      </c>
      <c r="W59" s="43">
        <f t="shared" si="6"/>
        <v>0.2145987341772152</v>
      </c>
      <c r="X59" s="43">
        <f t="shared" si="7"/>
        <v>-0.66837284407310515</v>
      </c>
      <c r="Y59" s="43">
        <f t="shared" si="8"/>
        <v>0.60704304080491889</v>
      </c>
      <c r="Z59" s="43">
        <f t="shared" si="9"/>
        <v>-0.2167805153145449</v>
      </c>
      <c r="AA59" s="43">
        <f t="shared" si="10"/>
        <v>0.21709023354746901</v>
      </c>
      <c r="AB59" s="43">
        <f t="shared" si="11"/>
        <v>0.28511043191546942</v>
      </c>
    </row>
    <row r="60" spans="1:28">
      <c r="A60" s="48" t="s">
        <v>43</v>
      </c>
      <c r="B60" s="50">
        <v>100</v>
      </c>
      <c r="C60" s="50">
        <v>900</v>
      </c>
      <c r="D60" s="50">
        <v>2.7</v>
      </c>
      <c r="E60" s="50">
        <v>396.56745296418143</v>
      </c>
      <c r="F60" s="50">
        <v>10874.101934550545</v>
      </c>
      <c r="G60" s="57" t="s">
        <v>85</v>
      </c>
      <c r="H60" s="50">
        <v>0.89700000000000002</v>
      </c>
      <c r="I60" s="50">
        <v>237</v>
      </c>
      <c r="J60" s="50">
        <v>660</v>
      </c>
      <c r="K60" s="50">
        <v>2519</v>
      </c>
      <c r="L60" s="50">
        <v>0.9</v>
      </c>
      <c r="M60" s="50">
        <v>48.7</v>
      </c>
      <c r="N60" s="51">
        <v>20.2</v>
      </c>
      <c r="O60" s="43">
        <f t="shared" si="0"/>
        <v>9.9999999999999978E-2</v>
      </c>
      <c r="P60" s="43">
        <f t="shared" si="1"/>
        <v>966.16245296418151</v>
      </c>
      <c r="Q60" s="43">
        <f t="shared" si="2"/>
        <v>9.7857054378793496E-5</v>
      </c>
      <c r="R60" s="43">
        <v>35</v>
      </c>
      <c r="S60" s="43">
        <f t="shared" si="3"/>
        <v>0.1111111111111111</v>
      </c>
      <c r="T60" s="43">
        <f t="shared" si="4"/>
        <v>1.1129912573713148</v>
      </c>
      <c r="U60" s="43" t="str" cm="1">
        <f t="array" ref="U60">_xlfn.IFS(T60&lt;3,"Group I",T60&lt;5,"Group II",T60&lt;10,"Group III",T60&lt;20,"Group IV",T60&lt;50,"Group V",T60&lt;100,"Group VI",T60&lt;200,"Group VII",T60&lt;500,"Group VIII",T60&lt;1000,"Group IX",TRUE,"Group X")</f>
        <v>Group I</v>
      </c>
      <c r="V60" s="43">
        <f t="shared" si="5"/>
        <v>4.6491752932814642E-2</v>
      </c>
      <c r="W60" s="43">
        <f t="shared" si="6"/>
        <v>0.3218981012658228</v>
      </c>
      <c r="X60" s="43">
        <f t="shared" si="7"/>
        <v>-0.49228158501742392</v>
      </c>
      <c r="Y60" s="43">
        <f t="shared" si="8"/>
        <v>0.41478439425051333</v>
      </c>
      <c r="Z60" s="43">
        <f t="shared" si="9"/>
        <v>-0.38217759176801058</v>
      </c>
      <c r="AA60" s="43">
        <f t="shared" si="10"/>
        <v>6.0171692236854535E-2</v>
      </c>
      <c r="AB60" s="43">
        <f t="shared" si="11"/>
        <v>0.19348615450725484</v>
      </c>
    </row>
    <row r="61" spans="1:28">
      <c r="A61" s="48" t="s">
        <v>43</v>
      </c>
      <c r="B61" s="50">
        <v>150</v>
      </c>
      <c r="C61" s="50">
        <v>900</v>
      </c>
      <c r="D61" s="50">
        <v>2.7</v>
      </c>
      <c r="E61" s="50">
        <v>396.56745296418143</v>
      </c>
      <c r="F61" s="50">
        <v>10874.101934550545</v>
      </c>
      <c r="G61" s="57" t="s">
        <v>85</v>
      </c>
      <c r="H61" s="50">
        <v>0.89700000000000002</v>
      </c>
      <c r="I61" s="50">
        <v>237</v>
      </c>
      <c r="J61" s="50">
        <v>660</v>
      </c>
      <c r="K61" s="50">
        <v>2519</v>
      </c>
      <c r="L61" s="50">
        <v>0.9</v>
      </c>
      <c r="M61" s="50">
        <v>66.69</v>
      </c>
      <c r="N61" s="51">
        <v>25.39</v>
      </c>
      <c r="O61" s="43">
        <f t="shared" si="0"/>
        <v>9.9999999999999978E-2</v>
      </c>
      <c r="P61" s="43">
        <f t="shared" si="1"/>
        <v>966.16245296418151</v>
      </c>
      <c r="Q61" s="43">
        <f t="shared" si="2"/>
        <v>9.7857054378793496E-5</v>
      </c>
      <c r="R61" s="43">
        <v>35</v>
      </c>
      <c r="S61" s="43">
        <f t="shared" si="3"/>
        <v>0.16666666666666666</v>
      </c>
      <c r="T61" s="43">
        <f t="shared" si="4"/>
        <v>1.6694868860569723</v>
      </c>
      <c r="U61" s="43" t="str" cm="1">
        <f t="array" ref="U61">_xlfn.IFS(T61&lt;3,"Group I",T61&lt;5,"Group II",T61&lt;10,"Group III",T61&lt;20,"Group IV",T61&lt;50,"Group V",T61&lt;100,"Group VI",T61&lt;200,"Group VII",T61&lt;500,"Group VIII",T61&lt;1000,"Group IX",TRUE,"Group X")</f>
        <v>Group I</v>
      </c>
      <c r="V61" s="43">
        <f t="shared" si="5"/>
        <v>0.22258301198849592</v>
      </c>
      <c r="W61" s="43">
        <f t="shared" si="6"/>
        <v>0.3218981012658228</v>
      </c>
      <c r="X61" s="43">
        <f t="shared" si="7"/>
        <v>-0.49228158501742392</v>
      </c>
      <c r="Y61" s="43">
        <f t="shared" si="8"/>
        <v>0.38071674913780179</v>
      </c>
      <c r="Z61" s="43">
        <f t="shared" si="9"/>
        <v>-0.41939801654493081</v>
      </c>
      <c r="AA61" s="43">
        <f t="shared" si="10"/>
        <v>9.0257538355281802E-2</v>
      </c>
      <c r="AB61" s="43">
        <f t="shared" si="11"/>
        <v>0.21832701610561595</v>
      </c>
    </row>
    <row r="62" spans="1:28">
      <c r="A62" s="48" t="s">
        <v>43</v>
      </c>
      <c r="B62" s="50">
        <v>200</v>
      </c>
      <c r="C62" s="50">
        <v>900</v>
      </c>
      <c r="D62" s="50">
        <v>2.7</v>
      </c>
      <c r="E62" s="50">
        <v>396.56745296418143</v>
      </c>
      <c r="F62" s="50">
        <v>10874.101934550545</v>
      </c>
      <c r="G62" s="57" t="s">
        <v>85</v>
      </c>
      <c r="H62" s="50">
        <v>0.89700000000000002</v>
      </c>
      <c r="I62" s="50">
        <v>237</v>
      </c>
      <c r="J62" s="50">
        <v>660</v>
      </c>
      <c r="K62" s="50">
        <v>2519</v>
      </c>
      <c r="L62" s="50">
        <v>0.9</v>
      </c>
      <c r="M62" s="50">
        <v>70.2</v>
      </c>
      <c r="N62" s="51">
        <v>39.46</v>
      </c>
      <c r="O62" s="43">
        <f t="shared" si="0"/>
        <v>9.9999999999999978E-2</v>
      </c>
      <c r="P62" s="43">
        <f t="shared" si="1"/>
        <v>966.16245296418151</v>
      </c>
      <c r="Q62" s="43">
        <f t="shared" si="2"/>
        <v>9.7857054378793496E-5</v>
      </c>
      <c r="R62" s="43">
        <v>35</v>
      </c>
      <c r="S62" s="43">
        <f t="shared" si="3"/>
        <v>0.22222222222222221</v>
      </c>
      <c r="T62" s="43">
        <f t="shared" si="4"/>
        <v>2.2259825147426295</v>
      </c>
      <c r="U62" s="43" t="str" cm="1">
        <f t="array" ref="U62">_xlfn.IFS(T62&lt;3,"Group I",T62&lt;5,"Group II",T62&lt;10,"Group III",T62&lt;20,"Group IV",T62&lt;50,"Group V",T62&lt;100,"Group VI",T62&lt;200,"Group VII",T62&lt;500,"Group VIII",T62&lt;1000,"Group IX",TRUE,"Group X")</f>
        <v>Group I</v>
      </c>
      <c r="V62" s="43">
        <f t="shared" si="5"/>
        <v>0.34752174859679585</v>
      </c>
      <c r="W62" s="43">
        <f t="shared" si="6"/>
        <v>0.3218981012658228</v>
      </c>
      <c r="X62" s="43">
        <f t="shared" si="7"/>
        <v>-0.49228158501742392</v>
      </c>
      <c r="Y62" s="43">
        <f t="shared" si="8"/>
        <v>0.56210826210826215</v>
      </c>
      <c r="Z62" s="43">
        <f t="shared" si="9"/>
        <v>-0.25018003121363286</v>
      </c>
      <c r="AA62" s="43">
        <f t="shared" si="10"/>
        <v>0.12034338447370907</v>
      </c>
      <c r="AB62" s="43">
        <f t="shared" si="11"/>
        <v>0.23786291065483323</v>
      </c>
    </row>
    <row r="63" spans="1:28">
      <c r="A63" s="48" t="s">
        <v>43</v>
      </c>
      <c r="B63" s="50">
        <v>250</v>
      </c>
      <c r="C63" s="50">
        <v>900</v>
      </c>
      <c r="D63" s="50">
        <v>2.7</v>
      </c>
      <c r="E63" s="50">
        <v>396.56745296418143</v>
      </c>
      <c r="F63" s="50">
        <v>10874.101934550545</v>
      </c>
      <c r="G63" s="57" t="s">
        <v>85</v>
      </c>
      <c r="H63" s="50">
        <v>0.89700000000000002</v>
      </c>
      <c r="I63" s="50">
        <v>237</v>
      </c>
      <c r="J63" s="50">
        <v>660</v>
      </c>
      <c r="K63" s="50">
        <v>2519</v>
      </c>
      <c r="L63" s="50">
        <v>0.9</v>
      </c>
      <c r="M63" s="50">
        <v>76.489999999999995</v>
      </c>
      <c r="N63" s="51">
        <v>38.74</v>
      </c>
      <c r="O63" s="43">
        <f t="shared" si="0"/>
        <v>9.9999999999999978E-2</v>
      </c>
      <c r="P63" s="43">
        <f t="shared" si="1"/>
        <v>966.16245296418151</v>
      </c>
      <c r="Q63" s="43">
        <f t="shared" si="2"/>
        <v>9.7857054378793496E-5</v>
      </c>
      <c r="R63" s="43">
        <v>35</v>
      </c>
      <c r="S63" s="43">
        <f t="shared" si="3"/>
        <v>0.27777777777777779</v>
      </c>
      <c r="T63" s="43">
        <f t="shared" si="4"/>
        <v>2.7824781434282868</v>
      </c>
      <c r="U63" s="43" t="str" cm="1">
        <f t="array" ref="U63">_xlfn.IFS(T63&lt;3,"Group I",T63&lt;5,"Group II",T63&lt;10,"Group III",T63&lt;20,"Group IV",T63&lt;50,"Group V",T63&lt;100,"Group VI",T63&lt;200,"Group VII",T63&lt;500,"Group VIII",T63&lt;1000,"Group IX",TRUE,"Group X")</f>
        <v>Group I</v>
      </c>
      <c r="V63" s="43">
        <f t="shared" si="5"/>
        <v>0.44443176160485226</v>
      </c>
      <c r="W63" s="43">
        <f t="shared" si="6"/>
        <v>0.3218981012658228</v>
      </c>
      <c r="X63" s="43">
        <f t="shared" si="7"/>
        <v>-0.49228158501742392</v>
      </c>
      <c r="Y63" s="43">
        <f t="shared" si="8"/>
        <v>0.50647143417440199</v>
      </c>
      <c r="Z63" s="43">
        <f t="shared" si="9"/>
        <v>-0.29544504453920034</v>
      </c>
      <c r="AA63" s="43">
        <f t="shared" si="10"/>
        <v>0.15042923059213631</v>
      </c>
      <c r="AB63" s="43">
        <f t="shared" si="11"/>
        <v>0.2542121020499214</v>
      </c>
    </row>
    <row r="64" spans="1:28" ht="18.600000000000001" thickBot="1">
      <c r="A64" s="53" t="s">
        <v>43</v>
      </c>
      <c r="B64" s="54">
        <v>300</v>
      </c>
      <c r="C64" s="54">
        <v>900</v>
      </c>
      <c r="D64" s="54">
        <v>2.7</v>
      </c>
      <c r="E64" s="54">
        <v>396.56745296418143</v>
      </c>
      <c r="F64" s="54">
        <v>10874.101934550545</v>
      </c>
      <c r="G64" s="57" t="s">
        <v>85</v>
      </c>
      <c r="H64" s="54">
        <v>0.89700000000000002</v>
      </c>
      <c r="I64" s="54">
        <v>237</v>
      </c>
      <c r="J64" s="54">
        <v>660</v>
      </c>
      <c r="K64" s="54">
        <v>2519</v>
      </c>
      <c r="L64" s="54">
        <v>0.9</v>
      </c>
      <c r="M64" s="54">
        <v>101.74</v>
      </c>
      <c r="N64" s="55">
        <v>40.32</v>
      </c>
      <c r="O64" s="43">
        <f t="shared" si="0"/>
        <v>9.9999999999999978E-2</v>
      </c>
      <c r="P64" s="43">
        <f t="shared" si="1"/>
        <v>966.16245296418151</v>
      </c>
      <c r="Q64" s="43">
        <f t="shared" si="2"/>
        <v>9.7857054378793496E-5</v>
      </c>
      <c r="R64" s="43">
        <v>35</v>
      </c>
      <c r="S64" s="43">
        <f t="shared" si="3"/>
        <v>0.33333333333333331</v>
      </c>
      <c r="T64" s="43">
        <f t="shared" si="4"/>
        <v>3.3389737721139445</v>
      </c>
      <c r="U64" s="43" t="str" cm="1">
        <f t="array" ref="U64">_xlfn.IFS(T64&lt;3,"Group I",T64&lt;5,"Group II",T64&lt;10,"Group III",T64&lt;20,"Group IV",T64&lt;50,"Group V",T64&lt;100,"Group VI",T64&lt;200,"Group VII",T64&lt;500,"Group VIII",T64&lt;1000,"Group IX",TRUE,"Group X")</f>
        <v>Group II</v>
      </c>
      <c r="V64" s="43">
        <f t="shared" si="5"/>
        <v>0.52361300765247709</v>
      </c>
      <c r="W64" s="43">
        <f t="shared" si="6"/>
        <v>0.3218981012658228</v>
      </c>
      <c r="X64" s="43">
        <f t="shared" si="7"/>
        <v>-0.49228158501742392</v>
      </c>
      <c r="Y64" s="43">
        <f t="shared" si="8"/>
        <v>0.39630430509140951</v>
      </c>
      <c r="Z64" s="43">
        <f t="shared" si="9"/>
        <v>-0.401971209857867</v>
      </c>
      <c r="AA64" s="43">
        <f t="shared" si="10"/>
        <v>0.1805150767105636</v>
      </c>
      <c r="AB64" s="43">
        <f t="shared" si="11"/>
        <v>0.26840111457959254</v>
      </c>
    </row>
    <row r="65" spans="1:28">
      <c r="A65" s="56" t="s">
        <v>44</v>
      </c>
      <c r="B65" s="57">
        <v>200</v>
      </c>
      <c r="C65" s="57">
        <v>200</v>
      </c>
      <c r="D65" s="57">
        <v>7.14</v>
      </c>
      <c r="E65" s="57">
        <v>112.41970021413277</v>
      </c>
      <c r="F65" s="57">
        <v>1763.5362496176201</v>
      </c>
      <c r="G65" s="57" t="s">
        <v>86</v>
      </c>
      <c r="H65" s="57">
        <v>0.38800000000000001</v>
      </c>
      <c r="I65" s="57">
        <v>116</v>
      </c>
      <c r="J65" s="57">
        <v>420</v>
      </c>
      <c r="K65" s="57">
        <v>907</v>
      </c>
      <c r="L65" s="57">
        <v>0.65</v>
      </c>
      <c r="M65" s="61">
        <v>295.37</v>
      </c>
      <c r="N65" s="62">
        <v>799.53</v>
      </c>
      <c r="O65" s="43">
        <f t="shared" si="0"/>
        <v>0.35</v>
      </c>
      <c r="P65" s="43">
        <f t="shared" si="1"/>
        <v>265.67970021413277</v>
      </c>
      <c r="Q65" s="43">
        <f t="shared" si="2"/>
        <v>4.1872419070721072E-5</v>
      </c>
      <c r="R65" s="43">
        <v>35</v>
      </c>
      <c r="S65" s="43">
        <f t="shared" si="3"/>
        <v>1</v>
      </c>
      <c r="T65" s="43">
        <f t="shared" si="4"/>
        <v>34.744449025154033</v>
      </c>
      <c r="U65" s="43" t="str" cm="1">
        <f t="array" ref="U65">_xlfn.IFS(T65&lt;3,"Group I",T65&lt;5,"Group II",T65&lt;10,"Group III",T65&lt;20,"Group IV",T65&lt;50,"Group V",T65&lt;100,"Group VI",T65&lt;200,"Group VII",T65&lt;500,"Group VIII",T65&lt;1000,"Group IX",TRUE,"Group X")</f>
        <v>Group V</v>
      </c>
      <c r="V65" s="43">
        <f t="shared" si="5"/>
        <v>1.5408854290610146</v>
      </c>
      <c r="W65" s="43">
        <f t="shared" si="6"/>
        <v>0.16717448275862068</v>
      </c>
      <c r="X65" s="43">
        <f t="shared" si="7"/>
        <v>-0.77683001184228007</v>
      </c>
      <c r="Y65" s="43">
        <f t="shared" si="8"/>
        <v>2.7068761214747603</v>
      </c>
      <c r="Z65" s="43">
        <f t="shared" si="9"/>
        <v>0.43246838100472301</v>
      </c>
      <c r="AA65" s="43">
        <f t="shared" si="10"/>
        <v>1.8238526935582682</v>
      </c>
      <c r="AB65" s="43">
        <f t="shared" si="11"/>
        <v>0.53929919163528328</v>
      </c>
    </row>
    <row r="66" spans="1:28">
      <c r="A66" s="48" t="s">
        <v>44</v>
      </c>
      <c r="B66" s="50">
        <v>200</v>
      </c>
      <c r="C66" s="50">
        <v>400</v>
      </c>
      <c r="D66" s="50">
        <v>7.14</v>
      </c>
      <c r="E66" s="50">
        <v>112.41970021413277</v>
      </c>
      <c r="F66" s="50">
        <v>1763.5362496176201</v>
      </c>
      <c r="G66" s="57" t="s">
        <v>86</v>
      </c>
      <c r="H66" s="50">
        <v>0.38800000000000001</v>
      </c>
      <c r="I66" s="50">
        <v>116</v>
      </c>
      <c r="J66" s="50">
        <v>420</v>
      </c>
      <c r="K66" s="50">
        <v>907</v>
      </c>
      <c r="L66" s="50">
        <v>0.65</v>
      </c>
      <c r="M66" s="59">
        <v>257.63</v>
      </c>
      <c r="N66" s="60">
        <v>419.56</v>
      </c>
      <c r="O66" s="43">
        <f t="shared" si="0"/>
        <v>0.35</v>
      </c>
      <c r="P66" s="43">
        <f t="shared" si="1"/>
        <v>265.67970021413277</v>
      </c>
      <c r="Q66" s="43">
        <f t="shared" si="2"/>
        <v>4.1872419070721072E-5</v>
      </c>
      <c r="R66" s="43">
        <v>35</v>
      </c>
      <c r="S66" s="43">
        <f t="shared" si="3"/>
        <v>0.5</v>
      </c>
      <c r="T66" s="43">
        <f t="shared" si="4"/>
        <v>24.568035514276747</v>
      </c>
      <c r="U66" s="43" t="str" cm="1">
        <f t="array" ref="U66">_xlfn.IFS(T66&lt;3,"Group I",T66&lt;5,"Group II",T66&lt;10,"Group III",T66&lt;20,"Group IV",T66&lt;50,"Group V",T66&lt;100,"Group VI",T66&lt;200,"Group VII",T66&lt;500,"Group VIII",T66&lt;1000,"Group IX",TRUE,"Group X")</f>
        <v>Group V</v>
      </c>
      <c r="V66" s="43">
        <f t="shared" si="5"/>
        <v>1.3903704312290239</v>
      </c>
      <c r="W66" s="43">
        <f t="shared" si="6"/>
        <v>0.33434896551724136</v>
      </c>
      <c r="X66" s="43">
        <f t="shared" si="7"/>
        <v>-0.47580001617829887</v>
      </c>
      <c r="Y66" s="43">
        <f t="shared" si="8"/>
        <v>1.628537049256686</v>
      </c>
      <c r="Z66" s="43">
        <f t="shared" si="9"/>
        <v>0.21179764322309563</v>
      </c>
      <c r="AA66" s="43">
        <f t="shared" si="10"/>
        <v>1.3304914253203119</v>
      </c>
      <c r="AB66" s="43">
        <f t="shared" si="11"/>
        <v>0.48639751947866477</v>
      </c>
    </row>
    <row r="67" spans="1:28">
      <c r="A67" s="48" t="s">
        <v>44</v>
      </c>
      <c r="B67" s="50">
        <v>200</v>
      </c>
      <c r="C67" s="50">
        <v>600</v>
      </c>
      <c r="D67" s="50">
        <v>7.14</v>
      </c>
      <c r="E67" s="50">
        <v>112.41970021413277</v>
      </c>
      <c r="F67" s="50">
        <v>1763.5362496176201</v>
      </c>
      <c r="G67" s="57" t="s">
        <v>86</v>
      </c>
      <c r="H67" s="50">
        <v>0.38800000000000001</v>
      </c>
      <c r="I67" s="50">
        <v>116</v>
      </c>
      <c r="J67" s="50">
        <v>420</v>
      </c>
      <c r="K67" s="50">
        <v>907</v>
      </c>
      <c r="L67" s="50">
        <v>0.65</v>
      </c>
      <c r="M67" s="59">
        <v>249.25</v>
      </c>
      <c r="N67" s="60">
        <v>196.23</v>
      </c>
      <c r="O67" s="43">
        <f t="shared" si="0"/>
        <v>0.35</v>
      </c>
      <c r="P67" s="43">
        <f t="shared" si="1"/>
        <v>265.67970021413277</v>
      </c>
      <c r="Q67" s="43">
        <f t="shared" si="2"/>
        <v>4.1872419070721072E-5</v>
      </c>
      <c r="R67" s="43">
        <v>35</v>
      </c>
      <c r="S67" s="43">
        <f t="shared" si="3"/>
        <v>0.33333333333333331</v>
      </c>
      <c r="T67" s="43">
        <f t="shared" si="4"/>
        <v>20.059716997517913</v>
      </c>
      <c r="U67" s="43" t="str" cm="1">
        <f t="array" ref="U67">_xlfn.IFS(T67&lt;3,"Group I",T67&lt;5,"Group II",T67&lt;10,"Group III",T67&lt;20,"Group IV",T67&lt;50,"Group V",T67&lt;100,"Group VI",T67&lt;200,"Group VII",T67&lt;500,"Group VIII",T67&lt;1000,"Group IX",TRUE,"Group X")</f>
        <v>Group V</v>
      </c>
      <c r="V67" s="43">
        <f t="shared" si="5"/>
        <v>1.3023248017011833</v>
      </c>
      <c r="W67" s="43">
        <f t="shared" si="6"/>
        <v>0.50152344827586204</v>
      </c>
      <c r="X67" s="43">
        <f t="shared" si="7"/>
        <v>-0.29970875712261758</v>
      </c>
      <c r="Y67" s="43">
        <f t="shared" si="8"/>
        <v>0.78728184553660974</v>
      </c>
      <c r="Z67" s="43">
        <f t="shared" si="9"/>
        <v>-0.1038697631320656</v>
      </c>
      <c r="AA67" s="43">
        <f t="shared" si="10"/>
        <v>1.1063314907343669</v>
      </c>
      <c r="AB67" s="43">
        <f t="shared" si="11"/>
        <v>0.45789147552317044</v>
      </c>
    </row>
    <row r="68" spans="1:28">
      <c r="A68" s="48" t="s">
        <v>44</v>
      </c>
      <c r="B68" s="50">
        <v>200</v>
      </c>
      <c r="C68" s="50">
        <v>800</v>
      </c>
      <c r="D68" s="50">
        <v>7.14</v>
      </c>
      <c r="E68" s="50">
        <v>112.41970021413277</v>
      </c>
      <c r="F68" s="50">
        <v>1763.5362496176201</v>
      </c>
      <c r="G68" s="57" t="s">
        <v>86</v>
      </c>
      <c r="H68" s="50">
        <v>0.38800000000000001</v>
      </c>
      <c r="I68" s="50">
        <v>116</v>
      </c>
      <c r="J68" s="50">
        <v>420</v>
      </c>
      <c r="K68" s="50">
        <v>907</v>
      </c>
      <c r="L68" s="50">
        <v>0.65</v>
      </c>
      <c r="M68" s="59">
        <v>159.72</v>
      </c>
      <c r="N68" s="60">
        <v>179.32</v>
      </c>
      <c r="O68" s="43">
        <f t="shared" ref="O68:O131" si="12">1-L68</f>
        <v>0.35</v>
      </c>
      <c r="P68" s="43">
        <f t="shared" ref="P68:P131" si="13">H68*(J68-25)+E68</f>
        <v>265.67970021413277</v>
      </c>
      <c r="Q68" s="43">
        <f t="shared" ref="Q68:Q131" si="14">I68/(D68*H68*10^6)</f>
        <v>4.1872419070721072E-5</v>
      </c>
      <c r="R68" s="43">
        <v>35</v>
      </c>
      <c r="S68" s="43">
        <f t="shared" ref="S68:S131" si="15">B68/C68</f>
        <v>0.25</v>
      </c>
      <c r="T68" s="43">
        <f t="shared" ref="T68:T131" si="16">(O68*B68)/(D68*P68*1000000*SQRT(PI()*(R68*0.000001)^3*Q68*(C68/1000)))</f>
        <v>17.372224512577016</v>
      </c>
      <c r="U68" s="43" t="str" cm="1">
        <f t="array" ref="U68">_xlfn.IFS(T68&lt;3,"Group I",T68&lt;5,"Group II",T68&lt;10,"Group III",T68&lt;20,"Group IV",T68&lt;50,"Group V",T68&lt;100,"Group VI",T68&lt;200,"Group VII",T68&lt;500,"Group VIII",T68&lt;1000,"Group IX",TRUE,"Group X")</f>
        <v>Group IV</v>
      </c>
      <c r="V68" s="43">
        <f t="shared" ref="V68:V131" si="17">LOG(T68)</f>
        <v>1.2398554333970333</v>
      </c>
      <c r="W68" s="43">
        <f t="shared" ref="W68:W131" si="18">(C68/1000)*(R68/1000000)/Q68</f>
        <v>0.66869793103448272</v>
      </c>
      <c r="X68" s="43">
        <f t="shared" ref="X68:X131" si="19">LOG(W68)</f>
        <v>-0.17477002051431764</v>
      </c>
      <c r="Y68" s="43">
        <f t="shared" ref="Y68:Y131" si="20">N68/M68</f>
        <v>1.1227147508139244</v>
      </c>
      <c r="Z68" s="43">
        <f t="shared" ref="Z68:Z131" si="21">LOG(Y68)</f>
        <v>5.0269428671454307E-2</v>
      </c>
      <c r="AA68" s="43">
        <f t="shared" ref="AA68:AA131" si="22">(10^-0.7321)*W68^0.04497*T68*0.307</f>
        <v>0.97058684569380804</v>
      </c>
      <c r="AB68" s="43">
        <f t="shared" ref="AB68:AB131" si="23">(10^-0.7272)*T68^0.2979</f>
        <v>0.43868515032930722</v>
      </c>
    </row>
    <row r="69" spans="1:28">
      <c r="A69" s="48" t="s">
        <v>44</v>
      </c>
      <c r="B69" s="50">
        <v>200</v>
      </c>
      <c r="C69" s="50">
        <v>1200</v>
      </c>
      <c r="D69" s="50">
        <v>7.14</v>
      </c>
      <c r="E69" s="50">
        <v>112.41970021413277</v>
      </c>
      <c r="F69" s="50">
        <v>1763.5362496176201</v>
      </c>
      <c r="G69" s="57" t="s">
        <v>86</v>
      </c>
      <c r="H69" s="50">
        <v>0.38800000000000001</v>
      </c>
      <c r="I69" s="50">
        <v>116</v>
      </c>
      <c r="J69" s="50">
        <v>420</v>
      </c>
      <c r="K69" s="50">
        <v>907</v>
      </c>
      <c r="L69" s="50">
        <v>0.65</v>
      </c>
      <c r="M69" s="59">
        <v>136.47999999999999</v>
      </c>
      <c r="N69" s="60">
        <v>105.85</v>
      </c>
      <c r="O69" s="43">
        <f t="shared" si="12"/>
        <v>0.35</v>
      </c>
      <c r="P69" s="43">
        <f t="shared" si="13"/>
        <v>265.67970021413277</v>
      </c>
      <c r="Q69" s="43">
        <f t="shared" si="14"/>
        <v>4.1872419070721072E-5</v>
      </c>
      <c r="R69" s="43">
        <v>35</v>
      </c>
      <c r="S69" s="43">
        <f t="shared" si="15"/>
        <v>0.16666666666666666</v>
      </c>
      <c r="T69" s="43">
        <f t="shared" si="16"/>
        <v>14.184361917627967</v>
      </c>
      <c r="U69" s="43" t="str" cm="1">
        <f t="array" ref="U69">_xlfn.IFS(T69&lt;3,"Group I",T69&lt;5,"Group II",T69&lt;10,"Group III",T69&lt;20,"Group IV",T69&lt;50,"Group V",T69&lt;100,"Group VI",T69&lt;200,"Group VII",T69&lt;500,"Group VIII",T69&lt;1000,"Group IX",TRUE,"Group X")</f>
        <v>Group IV</v>
      </c>
      <c r="V69" s="43">
        <f t="shared" si="17"/>
        <v>1.1518098038691926</v>
      </c>
      <c r="W69" s="43">
        <f t="shared" si="18"/>
        <v>1.0030468965517241</v>
      </c>
      <c r="X69" s="43">
        <f t="shared" si="19"/>
        <v>1.3212385413635928E-3</v>
      </c>
      <c r="Y69" s="43">
        <f t="shared" si="20"/>
        <v>0.77557151230949595</v>
      </c>
      <c r="Z69" s="43">
        <f t="shared" si="21"/>
        <v>-0.11037815146801699</v>
      </c>
      <c r="AA69" s="43">
        <f t="shared" si="22"/>
        <v>0.80706329364361418</v>
      </c>
      <c r="AB69" s="43">
        <f t="shared" si="23"/>
        <v>0.41297536013277553</v>
      </c>
    </row>
    <row r="70" spans="1:28">
      <c r="A70" s="48" t="s">
        <v>44</v>
      </c>
      <c r="B70" s="50">
        <v>200</v>
      </c>
      <c r="C70" s="50">
        <v>1600</v>
      </c>
      <c r="D70" s="50">
        <v>7.14</v>
      </c>
      <c r="E70" s="50">
        <v>112.41970021413277</v>
      </c>
      <c r="F70" s="50">
        <v>1763.5362496176201</v>
      </c>
      <c r="G70" s="57" t="s">
        <v>86</v>
      </c>
      <c r="H70" s="50">
        <v>0.38800000000000001</v>
      </c>
      <c r="I70" s="50">
        <v>116</v>
      </c>
      <c r="J70" s="50">
        <v>420</v>
      </c>
      <c r="K70" s="50">
        <v>907</v>
      </c>
      <c r="L70" s="50">
        <v>0.65</v>
      </c>
      <c r="M70" s="59">
        <v>132.22999999999999</v>
      </c>
      <c r="N70" s="60">
        <v>66.89</v>
      </c>
      <c r="O70" s="43">
        <f t="shared" si="12"/>
        <v>0.35</v>
      </c>
      <c r="P70" s="43">
        <f t="shared" si="13"/>
        <v>265.67970021413277</v>
      </c>
      <c r="Q70" s="43">
        <f t="shared" si="14"/>
        <v>4.1872419070721072E-5</v>
      </c>
      <c r="R70" s="43">
        <v>35</v>
      </c>
      <c r="S70" s="43">
        <f t="shared" si="15"/>
        <v>0.125</v>
      </c>
      <c r="T70" s="43">
        <f t="shared" si="16"/>
        <v>12.284017757138374</v>
      </c>
      <c r="U70" s="43" t="str" cm="1">
        <f t="array" ref="U70">_xlfn.IFS(T70&lt;3,"Group I",T70&lt;5,"Group II",T70&lt;10,"Group III",T70&lt;20,"Group IV",T70&lt;50,"Group V",T70&lt;100,"Group VI",T70&lt;200,"Group VII",T70&lt;500,"Group VIII",T70&lt;1000,"Group IX",TRUE,"Group X")</f>
        <v>Group IV</v>
      </c>
      <c r="V70" s="43">
        <f t="shared" si="17"/>
        <v>1.0893404355650427</v>
      </c>
      <c r="W70" s="43">
        <f t="shared" si="18"/>
        <v>1.3373958620689654</v>
      </c>
      <c r="X70" s="43">
        <f t="shared" si="19"/>
        <v>0.12625997514966356</v>
      </c>
      <c r="Y70" s="43">
        <f t="shared" si="20"/>
        <v>0.5058609997731226</v>
      </c>
      <c r="Z70" s="43">
        <f t="shared" si="21"/>
        <v>-0.2959688019834571</v>
      </c>
      <c r="AA70" s="43">
        <f t="shared" si="22"/>
        <v>0.70803825346492777</v>
      </c>
      <c r="AB70" s="43">
        <f t="shared" si="23"/>
        <v>0.39565304799603968</v>
      </c>
    </row>
    <row r="71" spans="1:28">
      <c r="A71" s="48" t="s">
        <v>44</v>
      </c>
      <c r="B71" s="50">
        <v>200</v>
      </c>
      <c r="C71" s="50">
        <v>2000</v>
      </c>
      <c r="D71" s="50">
        <v>7.14</v>
      </c>
      <c r="E71" s="50">
        <v>112.41970021413277</v>
      </c>
      <c r="F71" s="50">
        <v>1763.5362496176201</v>
      </c>
      <c r="G71" s="57" t="s">
        <v>86</v>
      </c>
      <c r="H71" s="50">
        <v>0.38800000000000001</v>
      </c>
      <c r="I71" s="50">
        <v>116</v>
      </c>
      <c r="J71" s="50">
        <v>420</v>
      </c>
      <c r="K71" s="50">
        <v>907</v>
      </c>
      <c r="L71" s="50">
        <v>0.65</v>
      </c>
      <c r="M71" s="59">
        <v>120.11</v>
      </c>
      <c r="N71" s="60">
        <v>60.12</v>
      </c>
      <c r="O71" s="43">
        <f t="shared" si="12"/>
        <v>0.35</v>
      </c>
      <c r="P71" s="43">
        <f t="shared" si="13"/>
        <v>265.67970021413277</v>
      </c>
      <c r="Q71" s="43">
        <f t="shared" si="14"/>
        <v>4.1872419070721072E-5</v>
      </c>
      <c r="R71" s="43">
        <v>35</v>
      </c>
      <c r="S71" s="43">
        <f t="shared" si="15"/>
        <v>0.1</v>
      </c>
      <c r="T71" s="43">
        <f t="shared" si="16"/>
        <v>10.987159496710364</v>
      </c>
      <c r="U71" s="43" t="str" cm="1">
        <f t="array" ref="U71">_xlfn.IFS(T71&lt;3,"Group I",T71&lt;5,"Group II",T71&lt;10,"Group III",T71&lt;20,"Group IV",T71&lt;50,"Group V",T71&lt;100,"Group VI",T71&lt;200,"Group VII",T71&lt;500,"Group VIII",T71&lt;1000,"Group IX",TRUE,"Group X")</f>
        <v>Group IV</v>
      </c>
      <c r="V71" s="43">
        <f t="shared" si="17"/>
        <v>1.0408854290610146</v>
      </c>
      <c r="W71" s="43">
        <f t="shared" si="18"/>
        <v>1.6717448275862068</v>
      </c>
      <c r="X71" s="43">
        <f t="shared" si="19"/>
        <v>0.22316998815771996</v>
      </c>
      <c r="Y71" s="43">
        <f t="shared" si="20"/>
        <v>0.50054117059362246</v>
      </c>
      <c r="Z71" s="43">
        <f t="shared" si="21"/>
        <v>-0.30056019505526038</v>
      </c>
      <c r="AA71" s="43">
        <f t="shared" si="22"/>
        <v>0.63967556133043768</v>
      </c>
      <c r="AB71" s="43">
        <f t="shared" si="23"/>
        <v>0.38271877625615242</v>
      </c>
    </row>
    <row r="72" spans="1:28">
      <c r="A72" s="48" t="s">
        <v>44</v>
      </c>
      <c r="B72" s="50">
        <v>200</v>
      </c>
      <c r="C72" s="50">
        <v>2400</v>
      </c>
      <c r="D72" s="50">
        <v>7.14</v>
      </c>
      <c r="E72" s="50">
        <v>112.41970021413277</v>
      </c>
      <c r="F72" s="50">
        <v>1763.5362496176201</v>
      </c>
      <c r="G72" s="57" t="s">
        <v>86</v>
      </c>
      <c r="H72" s="50">
        <v>0.38800000000000001</v>
      </c>
      <c r="I72" s="50">
        <v>116</v>
      </c>
      <c r="J72" s="50">
        <v>420</v>
      </c>
      <c r="K72" s="50">
        <v>907</v>
      </c>
      <c r="L72" s="50">
        <v>0.65</v>
      </c>
      <c r="M72" s="59">
        <v>115.59</v>
      </c>
      <c r="N72" s="60">
        <v>47.67</v>
      </c>
      <c r="O72" s="43">
        <f t="shared" si="12"/>
        <v>0.35</v>
      </c>
      <c r="P72" s="43">
        <f t="shared" si="13"/>
        <v>265.67970021413277</v>
      </c>
      <c r="Q72" s="43">
        <f t="shared" si="14"/>
        <v>4.1872419070721072E-5</v>
      </c>
      <c r="R72" s="43">
        <v>35</v>
      </c>
      <c r="S72" s="43">
        <f t="shared" si="15"/>
        <v>8.3333333333333329E-2</v>
      </c>
      <c r="T72" s="43">
        <f t="shared" si="16"/>
        <v>10.029858498758957</v>
      </c>
      <c r="U72" s="43" t="str" cm="1">
        <f t="array" ref="U72">_xlfn.IFS(T72&lt;3,"Group I",T72&lt;5,"Group II",T72&lt;10,"Group III",T72&lt;20,"Group IV",T72&lt;50,"Group V",T72&lt;100,"Group VI",T72&lt;200,"Group VII",T72&lt;500,"Group VIII",T72&lt;1000,"Group IX",TRUE,"Group X")</f>
        <v>Group IV</v>
      </c>
      <c r="V72" s="43">
        <f t="shared" si="17"/>
        <v>1.0012948060372022</v>
      </c>
      <c r="W72" s="43">
        <f t="shared" si="18"/>
        <v>2.0060937931034482</v>
      </c>
      <c r="X72" s="43">
        <f t="shared" si="19"/>
        <v>0.30235123420534477</v>
      </c>
      <c r="Y72" s="43">
        <f t="shared" si="20"/>
        <v>0.41240591746690891</v>
      </c>
      <c r="Z72" s="43">
        <f t="shared" si="21"/>
        <v>-0.38467511180562136</v>
      </c>
      <c r="AA72" s="43">
        <f t="shared" si="22"/>
        <v>0.58874863944668243</v>
      </c>
      <c r="AB72" s="43">
        <f t="shared" si="23"/>
        <v>0.37246521761937773</v>
      </c>
    </row>
    <row r="73" spans="1:28">
      <c r="A73" s="48" t="s">
        <v>44</v>
      </c>
      <c r="B73" s="50">
        <v>350</v>
      </c>
      <c r="C73" s="50">
        <v>400</v>
      </c>
      <c r="D73" s="50">
        <v>7.14</v>
      </c>
      <c r="E73" s="50">
        <v>112.41970021413277</v>
      </c>
      <c r="F73" s="50">
        <v>1763.5362496176201</v>
      </c>
      <c r="G73" s="57" t="s">
        <v>86</v>
      </c>
      <c r="H73" s="50">
        <v>0.38800000000000001</v>
      </c>
      <c r="I73" s="50">
        <v>116</v>
      </c>
      <c r="J73" s="50">
        <v>420</v>
      </c>
      <c r="K73" s="50">
        <v>907</v>
      </c>
      <c r="L73" s="50">
        <v>0.65</v>
      </c>
      <c r="M73" s="59">
        <v>318.73</v>
      </c>
      <c r="N73" s="60">
        <v>715.1</v>
      </c>
      <c r="O73" s="43">
        <f t="shared" si="12"/>
        <v>0.35</v>
      </c>
      <c r="P73" s="43">
        <f t="shared" si="13"/>
        <v>265.67970021413277</v>
      </c>
      <c r="Q73" s="43">
        <f t="shared" si="14"/>
        <v>4.1872419070721072E-5</v>
      </c>
      <c r="R73" s="43">
        <v>35</v>
      </c>
      <c r="S73" s="43">
        <f t="shared" si="15"/>
        <v>0.875</v>
      </c>
      <c r="T73" s="43">
        <f t="shared" si="16"/>
        <v>42.994062149984302</v>
      </c>
      <c r="U73" s="43" t="str" cm="1">
        <f t="array" ref="U73">_xlfn.IFS(T73&lt;3,"Group I",T73&lt;5,"Group II",T73&lt;10,"Group III",T73&lt;20,"Group IV",T73&lt;50,"Group V",T73&lt;100,"Group VI",T73&lt;200,"Group VII",T73&lt;500,"Group VIII",T73&lt;1000,"Group IX",TRUE,"Group X")</f>
        <v>Group V</v>
      </c>
      <c r="V73" s="43">
        <f t="shared" si="17"/>
        <v>1.6334084799153183</v>
      </c>
      <c r="W73" s="43">
        <f t="shared" si="18"/>
        <v>0.33434896551724136</v>
      </c>
      <c r="X73" s="43">
        <f t="shared" si="19"/>
        <v>-0.47580001617829887</v>
      </c>
      <c r="Y73" s="43">
        <f t="shared" si="20"/>
        <v>2.2435917547767703</v>
      </c>
      <c r="Z73" s="43">
        <f t="shared" si="21"/>
        <v>0.35094383530363593</v>
      </c>
      <c r="AA73" s="43">
        <f t="shared" si="22"/>
        <v>2.3283599943105457</v>
      </c>
      <c r="AB73" s="43">
        <f t="shared" si="23"/>
        <v>0.57463541228927284</v>
      </c>
    </row>
    <row r="74" spans="1:28">
      <c r="A74" s="48" t="s">
        <v>44</v>
      </c>
      <c r="B74" s="50">
        <v>350</v>
      </c>
      <c r="C74" s="50">
        <v>600</v>
      </c>
      <c r="D74" s="50">
        <v>7.14</v>
      </c>
      <c r="E74" s="50">
        <v>112.41970021413277</v>
      </c>
      <c r="F74" s="50">
        <v>1763.5362496176201</v>
      </c>
      <c r="G74" s="57" t="s">
        <v>86</v>
      </c>
      <c r="H74" s="50">
        <v>0.38800000000000001</v>
      </c>
      <c r="I74" s="50">
        <v>116</v>
      </c>
      <c r="J74" s="50">
        <v>420</v>
      </c>
      <c r="K74" s="50">
        <v>907</v>
      </c>
      <c r="L74" s="50">
        <v>0.65</v>
      </c>
      <c r="M74" s="59">
        <v>268.32</v>
      </c>
      <c r="N74" s="60">
        <v>405.89</v>
      </c>
      <c r="O74" s="43">
        <f t="shared" si="12"/>
        <v>0.35</v>
      </c>
      <c r="P74" s="43">
        <f t="shared" si="13"/>
        <v>265.67970021413277</v>
      </c>
      <c r="Q74" s="43">
        <f t="shared" si="14"/>
        <v>4.1872419070721072E-5</v>
      </c>
      <c r="R74" s="43">
        <v>35</v>
      </c>
      <c r="S74" s="43">
        <f t="shared" si="15"/>
        <v>0.58333333333333337</v>
      </c>
      <c r="T74" s="43">
        <f t="shared" si="16"/>
        <v>35.104504745656349</v>
      </c>
      <c r="U74" s="43" t="str" cm="1">
        <f t="array" ref="U74">_xlfn.IFS(T74&lt;3,"Group I",T74&lt;5,"Group II",T74&lt;10,"Group III",T74&lt;20,"Group IV",T74&lt;50,"Group V",T74&lt;100,"Group VI",T74&lt;200,"Group VII",T74&lt;500,"Group VIII",T74&lt;1000,"Group IX",TRUE,"Group X")</f>
        <v>Group V</v>
      </c>
      <c r="V74" s="43">
        <f t="shared" si="17"/>
        <v>1.5453628503874777</v>
      </c>
      <c r="W74" s="43">
        <f t="shared" si="18"/>
        <v>0.50152344827586204</v>
      </c>
      <c r="X74" s="43">
        <f t="shared" si="19"/>
        <v>-0.29970875712261758</v>
      </c>
      <c r="Y74" s="43">
        <f t="shared" si="20"/>
        <v>1.5127087060226594</v>
      </c>
      <c r="Z74" s="43">
        <f t="shared" si="21"/>
        <v>0.17975530637969558</v>
      </c>
      <c r="AA74" s="43">
        <f t="shared" si="22"/>
        <v>1.9360801087851425</v>
      </c>
      <c r="AB74" s="43">
        <f t="shared" si="23"/>
        <v>0.54095805649465678</v>
      </c>
    </row>
    <row r="75" spans="1:28">
      <c r="A75" s="48" t="s">
        <v>44</v>
      </c>
      <c r="B75" s="50">
        <v>350</v>
      </c>
      <c r="C75" s="50">
        <v>800</v>
      </c>
      <c r="D75" s="50">
        <v>7.14</v>
      </c>
      <c r="E75" s="50">
        <v>112.41970021413277</v>
      </c>
      <c r="F75" s="50">
        <v>1763.5362496176201</v>
      </c>
      <c r="G75" s="57" t="s">
        <v>86</v>
      </c>
      <c r="H75" s="50">
        <v>0.38800000000000001</v>
      </c>
      <c r="I75" s="50">
        <v>116</v>
      </c>
      <c r="J75" s="50">
        <v>420</v>
      </c>
      <c r="K75" s="50">
        <v>907</v>
      </c>
      <c r="L75" s="50">
        <v>0.65</v>
      </c>
      <c r="M75" s="59">
        <v>248.1</v>
      </c>
      <c r="N75" s="60">
        <v>307</v>
      </c>
      <c r="O75" s="43">
        <f t="shared" si="12"/>
        <v>0.35</v>
      </c>
      <c r="P75" s="43">
        <f t="shared" si="13"/>
        <v>265.67970021413277</v>
      </c>
      <c r="Q75" s="43">
        <f t="shared" si="14"/>
        <v>4.1872419070721072E-5</v>
      </c>
      <c r="R75" s="43">
        <v>35</v>
      </c>
      <c r="S75" s="43">
        <f t="shared" si="15"/>
        <v>0.4375</v>
      </c>
      <c r="T75" s="43">
        <f t="shared" si="16"/>
        <v>30.401392897009774</v>
      </c>
      <c r="U75" s="43" t="str" cm="1">
        <f t="array" ref="U75">_xlfn.IFS(T75&lt;3,"Group I",T75&lt;5,"Group II",T75&lt;10,"Group III",T75&lt;20,"Group IV",T75&lt;50,"Group V",T75&lt;100,"Group VI",T75&lt;200,"Group VII",T75&lt;500,"Group VIII",T75&lt;1000,"Group IX",TRUE,"Group X")</f>
        <v>Group V</v>
      </c>
      <c r="V75" s="43">
        <f t="shared" si="17"/>
        <v>1.4828934820833277</v>
      </c>
      <c r="W75" s="43">
        <f t="shared" si="18"/>
        <v>0.66869793103448272</v>
      </c>
      <c r="X75" s="43">
        <f t="shared" si="19"/>
        <v>-0.17477002051431764</v>
      </c>
      <c r="Y75" s="43">
        <f t="shared" si="20"/>
        <v>1.2374042724707779</v>
      </c>
      <c r="Z75" s="43">
        <f t="shared" si="21"/>
        <v>9.2511611204977362E-2</v>
      </c>
      <c r="AA75" s="43">
        <f t="shared" si="22"/>
        <v>1.6985269799641638</v>
      </c>
      <c r="AB75" s="43">
        <f t="shared" si="23"/>
        <v>0.51826749136149819</v>
      </c>
    </row>
    <row r="76" spans="1:28">
      <c r="A76" s="48" t="s">
        <v>44</v>
      </c>
      <c r="B76" s="50">
        <v>350</v>
      </c>
      <c r="C76" s="50">
        <v>1000</v>
      </c>
      <c r="D76" s="50">
        <v>7.14</v>
      </c>
      <c r="E76" s="50">
        <v>112.41970021413277</v>
      </c>
      <c r="F76" s="50">
        <v>1763.5362496176201</v>
      </c>
      <c r="G76" s="57" t="s">
        <v>86</v>
      </c>
      <c r="H76" s="50">
        <v>0.38800000000000001</v>
      </c>
      <c r="I76" s="50">
        <v>116</v>
      </c>
      <c r="J76" s="50">
        <v>420</v>
      </c>
      <c r="K76" s="50">
        <v>907</v>
      </c>
      <c r="L76" s="50">
        <v>0.65</v>
      </c>
      <c r="M76" s="59">
        <v>215.63</v>
      </c>
      <c r="N76" s="60">
        <v>217.02</v>
      </c>
      <c r="O76" s="43">
        <f t="shared" si="12"/>
        <v>0.35</v>
      </c>
      <c r="P76" s="43">
        <f t="shared" si="13"/>
        <v>265.67970021413277</v>
      </c>
      <c r="Q76" s="43">
        <f t="shared" si="14"/>
        <v>4.1872419070721072E-5</v>
      </c>
      <c r="R76" s="43">
        <v>35</v>
      </c>
      <c r="S76" s="43">
        <f t="shared" si="15"/>
        <v>0.35</v>
      </c>
      <c r="T76" s="43">
        <f t="shared" si="16"/>
        <v>27.191832451357254</v>
      </c>
      <c r="U76" s="43" t="str" cm="1">
        <f t="array" ref="U76">_xlfn.IFS(T76&lt;3,"Group I",T76&lt;5,"Group II",T76&lt;10,"Group III",T76&lt;20,"Group IV",T76&lt;50,"Group V",T76&lt;100,"Group VI",T76&lt;200,"Group VII",T76&lt;500,"Group VIII",T76&lt;1000,"Group IX",TRUE,"Group X")</f>
        <v>Group V</v>
      </c>
      <c r="V76" s="43">
        <f t="shared" si="17"/>
        <v>1.4344384755792996</v>
      </c>
      <c r="W76" s="43">
        <f t="shared" si="18"/>
        <v>0.8358724137931034</v>
      </c>
      <c r="X76" s="43">
        <f t="shared" si="19"/>
        <v>-7.7860007506261236E-2</v>
      </c>
      <c r="Y76" s="43">
        <f t="shared" si="20"/>
        <v>1.006446227333859</v>
      </c>
      <c r="Z76" s="43">
        <f t="shared" si="21"/>
        <v>2.7905762479909853E-3</v>
      </c>
      <c r="AA76" s="43">
        <f t="shared" si="22"/>
        <v>1.5345303647457362</v>
      </c>
      <c r="AB76" s="43">
        <f t="shared" si="23"/>
        <v>0.5013248376875995</v>
      </c>
    </row>
    <row r="77" spans="1:28">
      <c r="A77" s="48" t="s">
        <v>44</v>
      </c>
      <c r="B77" s="50">
        <v>350</v>
      </c>
      <c r="C77" s="50">
        <v>1200</v>
      </c>
      <c r="D77" s="50">
        <v>7.14</v>
      </c>
      <c r="E77" s="50">
        <v>112.41970021413277</v>
      </c>
      <c r="F77" s="50">
        <v>1763.5362496176201</v>
      </c>
      <c r="G77" s="57" t="s">
        <v>86</v>
      </c>
      <c r="H77" s="50">
        <v>0.38800000000000001</v>
      </c>
      <c r="I77" s="50">
        <v>116</v>
      </c>
      <c r="J77" s="50">
        <v>420</v>
      </c>
      <c r="K77" s="50">
        <v>907</v>
      </c>
      <c r="L77" s="50">
        <v>0.65</v>
      </c>
      <c r="M77" s="59">
        <v>167.35</v>
      </c>
      <c r="N77" s="60">
        <v>191.25</v>
      </c>
      <c r="O77" s="43">
        <f t="shared" si="12"/>
        <v>0.35</v>
      </c>
      <c r="P77" s="43">
        <f t="shared" si="13"/>
        <v>265.67970021413277</v>
      </c>
      <c r="Q77" s="43">
        <f t="shared" si="14"/>
        <v>4.1872419070721072E-5</v>
      </c>
      <c r="R77" s="43">
        <v>35</v>
      </c>
      <c r="S77" s="43">
        <f t="shared" si="15"/>
        <v>0.29166666666666669</v>
      </c>
      <c r="T77" s="43">
        <f t="shared" si="16"/>
        <v>24.822633355848943</v>
      </c>
      <c r="U77" s="43" t="str" cm="1">
        <f t="array" ref="U77">_xlfn.IFS(T77&lt;3,"Group I",T77&lt;5,"Group II",T77&lt;10,"Group III",T77&lt;20,"Group IV",T77&lt;50,"Group V",T77&lt;100,"Group VI",T77&lt;200,"Group VII",T77&lt;500,"Group VIII",T77&lt;1000,"Group IX",TRUE,"Group X")</f>
        <v>Group V</v>
      </c>
      <c r="V77" s="43">
        <f t="shared" si="17"/>
        <v>1.3948478525554873</v>
      </c>
      <c r="W77" s="43">
        <f t="shared" si="18"/>
        <v>1.0030468965517241</v>
      </c>
      <c r="X77" s="43">
        <f t="shared" si="19"/>
        <v>1.3212385413635928E-3</v>
      </c>
      <c r="Y77" s="43">
        <f t="shared" si="20"/>
        <v>1.1428144607110846</v>
      </c>
      <c r="Z77" s="43">
        <f t="shared" si="21"/>
        <v>5.7975727131859299E-2</v>
      </c>
      <c r="AA77" s="43">
        <f t="shared" si="22"/>
        <v>1.4123607638763247</v>
      </c>
      <c r="AB77" s="43">
        <f t="shared" si="23"/>
        <v>0.48789366070280238</v>
      </c>
    </row>
    <row r="78" spans="1:28">
      <c r="A78" s="48" t="s">
        <v>44</v>
      </c>
      <c r="B78" s="50">
        <v>350</v>
      </c>
      <c r="C78" s="50">
        <v>1600</v>
      </c>
      <c r="D78" s="50">
        <v>7.14</v>
      </c>
      <c r="E78" s="50">
        <v>112.41970021413277</v>
      </c>
      <c r="F78" s="50">
        <v>1763.5362496176201</v>
      </c>
      <c r="G78" s="57" t="s">
        <v>86</v>
      </c>
      <c r="H78" s="50">
        <v>0.38800000000000001</v>
      </c>
      <c r="I78" s="50">
        <v>116</v>
      </c>
      <c r="J78" s="50">
        <v>420</v>
      </c>
      <c r="K78" s="50">
        <v>907</v>
      </c>
      <c r="L78" s="50">
        <v>0.65</v>
      </c>
      <c r="M78" s="59">
        <v>182.7</v>
      </c>
      <c r="N78" s="60">
        <v>128.62</v>
      </c>
      <c r="O78" s="43">
        <f t="shared" si="12"/>
        <v>0.35</v>
      </c>
      <c r="P78" s="43">
        <f t="shared" si="13"/>
        <v>265.67970021413277</v>
      </c>
      <c r="Q78" s="43">
        <f t="shared" si="14"/>
        <v>4.1872419070721072E-5</v>
      </c>
      <c r="R78" s="43">
        <v>35</v>
      </c>
      <c r="S78" s="43">
        <f t="shared" si="15"/>
        <v>0.21875</v>
      </c>
      <c r="T78" s="43">
        <f t="shared" si="16"/>
        <v>21.497031074992151</v>
      </c>
      <c r="U78" s="43" t="str" cm="1">
        <f t="array" ref="U78">_xlfn.IFS(T78&lt;3,"Group I",T78&lt;5,"Group II",T78&lt;10,"Group III",T78&lt;20,"Group IV",T78&lt;50,"Group V",T78&lt;100,"Group VI",T78&lt;200,"Group VII",T78&lt;500,"Group VIII",T78&lt;1000,"Group IX",TRUE,"Group X")</f>
        <v>Group V</v>
      </c>
      <c r="V78" s="43">
        <f t="shared" si="17"/>
        <v>1.3323784842513371</v>
      </c>
      <c r="W78" s="43">
        <f t="shared" si="18"/>
        <v>1.3373958620689654</v>
      </c>
      <c r="X78" s="43">
        <f t="shared" si="19"/>
        <v>0.12625997514966356</v>
      </c>
      <c r="Y78" s="43">
        <f t="shared" si="20"/>
        <v>0.70399562123700066</v>
      </c>
      <c r="Z78" s="43">
        <f t="shared" si="21"/>
        <v>-0.1524300421057887</v>
      </c>
      <c r="AA78" s="43">
        <f t="shared" si="22"/>
        <v>1.2390669435636235</v>
      </c>
      <c r="AB78" s="43">
        <f t="shared" si="23"/>
        <v>0.46742888944499322</v>
      </c>
    </row>
    <row r="79" spans="1:28">
      <c r="A79" s="48" t="s">
        <v>44</v>
      </c>
      <c r="B79" s="50">
        <v>350</v>
      </c>
      <c r="C79" s="50">
        <v>2000</v>
      </c>
      <c r="D79" s="50">
        <v>7.14</v>
      </c>
      <c r="E79" s="50">
        <v>112.41970021413277</v>
      </c>
      <c r="F79" s="50">
        <v>1763.5362496176201</v>
      </c>
      <c r="G79" s="57" t="s">
        <v>86</v>
      </c>
      <c r="H79" s="50">
        <v>0.38800000000000001</v>
      </c>
      <c r="I79" s="50">
        <v>116</v>
      </c>
      <c r="J79" s="50">
        <v>420</v>
      </c>
      <c r="K79" s="50">
        <v>907</v>
      </c>
      <c r="L79" s="50">
        <v>0.65</v>
      </c>
      <c r="M79" s="59">
        <v>170.37</v>
      </c>
      <c r="N79" s="60">
        <v>84.41</v>
      </c>
      <c r="O79" s="43">
        <f t="shared" si="12"/>
        <v>0.35</v>
      </c>
      <c r="P79" s="43">
        <f t="shared" si="13"/>
        <v>265.67970021413277</v>
      </c>
      <c r="Q79" s="43">
        <f t="shared" si="14"/>
        <v>4.1872419070721072E-5</v>
      </c>
      <c r="R79" s="43">
        <v>35</v>
      </c>
      <c r="S79" s="43">
        <f t="shared" si="15"/>
        <v>0.17499999999999999</v>
      </c>
      <c r="T79" s="43">
        <f t="shared" si="16"/>
        <v>19.227529119243133</v>
      </c>
      <c r="U79" s="43" t="str" cm="1">
        <f t="array" ref="U79">_xlfn.IFS(T79&lt;3,"Group I",T79&lt;5,"Group II",T79&lt;10,"Group III",T79&lt;20,"Group IV",T79&lt;50,"Group V",T79&lt;100,"Group VI",T79&lt;200,"Group VII",T79&lt;500,"Group VIII",T79&lt;1000,"Group IX",TRUE,"Group X")</f>
        <v>Group IV</v>
      </c>
      <c r="V79" s="43">
        <f t="shared" si="17"/>
        <v>1.283923477747309</v>
      </c>
      <c r="W79" s="43">
        <f t="shared" si="18"/>
        <v>1.6717448275862068</v>
      </c>
      <c r="X79" s="43">
        <f t="shared" si="19"/>
        <v>0.22316998815771996</v>
      </c>
      <c r="Y79" s="43">
        <f t="shared" si="20"/>
        <v>0.49545107706755881</v>
      </c>
      <c r="Z79" s="43">
        <f t="shared" si="21"/>
        <v>-0.30499922313343941</v>
      </c>
      <c r="AA79" s="43">
        <f t="shared" si="22"/>
        <v>1.1194322323282657</v>
      </c>
      <c r="AB79" s="43">
        <f t="shared" si="23"/>
        <v>0.45214819767280234</v>
      </c>
    </row>
    <row r="80" spans="1:28">
      <c r="A80" s="48" t="s">
        <v>44</v>
      </c>
      <c r="B80" s="50">
        <v>350</v>
      </c>
      <c r="C80" s="50">
        <v>2400</v>
      </c>
      <c r="D80" s="50">
        <v>7.14</v>
      </c>
      <c r="E80" s="50">
        <v>112.41970021413277</v>
      </c>
      <c r="F80" s="50">
        <v>1763.5362496176201</v>
      </c>
      <c r="G80" s="57" t="s">
        <v>86</v>
      </c>
      <c r="H80" s="50">
        <v>0.38800000000000001</v>
      </c>
      <c r="I80" s="50">
        <v>116</v>
      </c>
      <c r="J80" s="50">
        <v>420</v>
      </c>
      <c r="K80" s="50">
        <v>907</v>
      </c>
      <c r="L80" s="50">
        <v>0.65</v>
      </c>
      <c r="M80" s="50">
        <v>163.69999999999999</v>
      </c>
      <c r="N80" s="51">
        <v>86.93</v>
      </c>
      <c r="O80" s="43">
        <f t="shared" si="12"/>
        <v>0.35</v>
      </c>
      <c r="P80" s="43">
        <f t="shared" si="13"/>
        <v>265.67970021413277</v>
      </c>
      <c r="Q80" s="43">
        <f t="shared" si="14"/>
        <v>4.1872419070721072E-5</v>
      </c>
      <c r="R80" s="43">
        <v>35</v>
      </c>
      <c r="S80" s="43">
        <f t="shared" si="15"/>
        <v>0.14583333333333334</v>
      </c>
      <c r="T80" s="43">
        <f t="shared" si="16"/>
        <v>17.552252372828175</v>
      </c>
      <c r="U80" s="43" t="str" cm="1">
        <f t="array" ref="U80">_xlfn.IFS(T80&lt;3,"Group I",T80&lt;5,"Group II",T80&lt;10,"Group III",T80&lt;20,"Group IV",T80&lt;50,"Group V",T80&lt;100,"Group VI",T80&lt;200,"Group VII",T80&lt;500,"Group VIII",T80&lt;1000,"Group IX",TRUE,"Group X")</f>
        <v>Group IV</v>
      </c>
      <c r="V80" s="43">
        <f t="shared" si="17"/>
        <v>1.2443328547234966</v>
      </c>
      <c r="W80" s="43">
        <f t="shared" si="18"/>
        <v>2.0060937931034482</v>
      </c>
      <c r="X80" s="43">
        <f t="shared" si="19"/>
        <v>0.30235123420534477</v>
      </c>
      <c r="Y80" s="43">
        <f t="shared" si="20"/>
        <v>0.5310323762981064</v>
      </c>
      <c r="Z80" s="43">
        <f t="shared" si="21"/>
        <v>-0.27487899978676389</v>
      </c>
      <c r="AA80" s="43">
        <f t="shared" si="22"/>
        <v>1.0303101190316941</v>
      </c>
      <c r="AB80" s="43">
        <f t="shared" si="23"/>
        <v>0.44003453002706588</v>
      </c>
    </row>
    <row r="81" spans="1:28">
      <c r="A81" s="48" t="s">
        <v>44</v>
      </c>
      <c r="B81" s="50">
        <v>100</v>
      </c>
      <c r="C81" s="50">
        <v>300</v>
      </c>
      <c r="D81" s="50">
        <v>7.14</v>
      </c>
      <c r="E81" s="50">
        <v>112.41970021413277</v>
      </c>
      <c r="F81" s="50">
        <v>1763.5362496176201</v>
      </c>
      <c r="G81" s="57" t="s">
        <v>86</v>
      </c>
      <c r="H81" s="50">
        <v>0.38800000000000001</v>
      </c>
      <c r="I81" s="50">
        <v>116</v>
      </c>
      <c r="J81" s="50">
        <v>420</v>
      </c>
      <c r="K81" s="50">
        <v>907</v>
      </c>
      <c r="L81" s="50">
        <v>0.65</v>
      </c>
      <c r="M81" s="59">
        <v>199.47</v>
      </c>
      <c r="N81" s="60">
        <v>262</v>
      </c>
      <c r="O81" s="43">
        <f t="shared" si="12"/>
        <v>0.35</v>
      </c>
      <c r="P81" s="43">
        <f t="shared" si="13"/>
        <v>265.67970021413277</v>
      </c>
      <c r="Q81" s="43">
        <f t="shared" si="14"/>
        <v>4.1872419070721072E-5</v>
      </c>
      <c r="R81" s="43">
        <v>35</v>
      </c>
      <c r="S81" s="43">
        <f t="shared" si="15"/>
        <v>0.33333333333333331</v>
      </c>
      <c r="T81" s="43">
        <f t="shared" si="16"/>
        <v>14.184361917627967</v>
      </c>
      <c r="U81" s="43" t="str" cm="1">
        <f t="array" ref="U81">_xlfn.IFS(T81&lt;3,"Group I",T81&lt;5,"Group II",T81&lt;10,"Group III",T81&lt;20,"Group IV",T81&lt;50,"Group V",T81&lt;100,"Group VI",T81&lt;200,"Group VII",T81&lt;500,"Group VIII",T81&lt;1000,"Group IX",TRUE,"Group X")</f>
        <v>Group IV</v>
      </c>
      <c r="V81" s="43">
        <f t="shared" si="17"/>
        <v>1.1518098038691926</v>
      </c>
      <c r="W81" s="43">
        <f t="shared" si="18"/>
        <v>0.25076172413793102</v>
      </c>
      <c r="X81" s="43">
        <f t="shared" si="19"/>
        <v>-0.60073875278659883</v>
      </c>
      <c r="Y81" s="43">
        <f t="shared" si="20"/>
        <v>1.3134807239183837</v>
      </c>
      <c r="Z81" s="43">
        <f t="shared" si="21"/>
        <v>0.11842370364869233</v>
      </c>
      <c r="AA81" s="43">
        <f t="shared" si="22"/>
        <v>0.75828586000035048</v>
      </c>
      <c r="AB81" s="43">
        <f t="shared" si="23"/>
        <v>0.41297536013277553</v>
      </c>
    </row>
    <row r="82" spans="1:28">
      <c r="A82" s="48" t="s">
        <v>44</v>
      </c>
      <c r="B82" s="50">
        <v>150</v>
      </c>
      <c r="C82" s="50">
        <v>300</v>
      </c>
      <c r="D82" s="50">
        <v>7.14</v>
      </c>
      <c r="E82" s="50">
        <v>112.41970021413277</v>
      </c>
      <c r="F82" s="50">
        <v>1763.5362496176201</v>
      </c>
      <c r="G82" s="57" t="s">
        <v>86</v>
      </c>
      <c r="H82" s="50">
        <v>0.38800000000000001</v>
      </c>
      <c r="I82" s="50">
        <v>116</v>
      </c>
      <c r="J82" s="50">
        <v>420</v>
      </c>
      <c r="K82" s="50">
        <v>907</v>
      </c>
      <c r="L82" s="50">
        <v>0.65</v>
      </c>
      <c r="M82" s="59">
        <v>255.88</v>
      </c>
      <c r="N82" s="60">
        <v>485.44</v>
      </c>
      <c r="O82" s="43">
        <f t="shared" si="12"/>
        <v>0.35</v>
      </c>
      <c r="P82" s="43">
        <f t="shared" si="13"/>
        <v>265.67970021413277</v>
      </c>
      <c r="Q82" s="43">
        <f t="shared" si="14"/>
        <v>4.1872419070721072E-5</v>
      </c>
      <c r="R82" s="43">
        <v>35</v>
      </c>
      <c r="S82" s="43">
        <f t="shared" si="15"/>
        <v>0.5</v>
      </c>
      <c r="T82" s="43">
        <f t="shared" si="16"/>
        <v>21.276542876441951</v>
      </c>
      <c r="U82" s="43" t="str" cm="1">
        <f t="array" ref="U82">_xlfn.IFS(T82&lt;3,"Group I",T82&lt;5,"Group II",T82&lt;10,"Group III",T82&lt;20,"Group IV",T82&lt;50,"Group V",T82&lt;100,"Group VI",T82&lt;200,"Group VII",T82&lt;500,"Group VIII",T82&lt;1000,"Group IX",TRUE,"Group X")</f>
        <v>Group V</v>
      </c>
      <c r="V82" s="43">
        <f t="shared" si="17"/>
        <v>1.327901062924874</v>
      </c>
      <c r="W82" s="43">
        <f t="shared" si="18"/>
        <v>0.25076172413793102</v>
      </c>
      <c r="X82" s="43">
        <f t="shared" si="19"/>
        <v>-0.60073875278659883</v>
      </c>
      <c r="Y82" s="43">
        <f t="shared" si="20"/>
        <v>1.8971392840393935</v>
      </c>
      <c r="Z82" s="43">
        <f t="shared" si="21"/>
        <v>0.2780992170611114</v>
      </c>
      <c r="AA82" s="43">
        <f t="shared" si="22"/>
        <v>1.1374287900005255</v>
      </c>
      <c r="AB82" s="43">
        <f t="shared" si="23"/>
        <v>0.46599550408424856</v>
      </c>
    </row>
    <row r="83" spans="1:28">
      <c r="A83" s="48" t="s">
        <v>44</v>
      </c>
      <c r="B83" s="50">
        <v>200</v>
      </c>
      <c r="C83" s="50">
        <v>300</v>
      </c>
      <c r="D83" s="50">
        <v>7.14</v>
      </c>
      <c r="E83" s="50">
        <v>112.41970021413277</v>
      </c>
      <c r="F83" s="50">
        <v>1763.5362496176201</v>
      </c>
      <c r="G83" s="57" t="s">
        <v>86</v>
      </c>
      <c r="H83" s="50">
        <v>0.38800000000000001</v>
      </c>
      <c r="I83" s="50">
        <v>116</v>
      </c>
      <c r="J83" s="50">
        <v>420</v>
      </c>
      <c r="K83" s="50">
        <v>907</v>
      </c>
      <c r="L83" s="50">
        <v>0.65</v>
      </c>
      <c r="M83" s="59">
        <v>263.5</v>
      </c>
      <c r="N83" s="60">
        <v>651.4</v>
      </c>
      <c r="O83" s="43">
        <f t="shared" si="12"/>
        <v>0.35</v>
      </c>
      <c r="P83" s="43">
        <f t="shared" si="13"/>
        <v>265.67970021413277</v>
      </c>
      <c r="Q83" s="43">
        <f t="shared" si="14"/>
        <v>4.1872419070721072E-5</v>
      </c>
      <c r="R83" s="43">
        <v>35</v>
      </c>
      <c r="S83" s="43">
        <f t="shared" si="15"/>
        <v>0.66666666666666663</v>
      </c>
      <c r="T83" s="43">
        <f t="shared" si="16"/>
        <v>28.368723835255935</v>
      </c>
      <c r="U83" s="43" t="str" cm="1">
        <f t="array" ref="U83">_xlfn.IFS(T83&lt;3,"Group I",T83&lt;5,"Group II",T83&lt;10,"Group III",T83&lt;20,"Group IV",T83&lt;50,"Group V",T83&lt;100,"Group VI",T83&lt;200,"Group VII",T83&lt;500,"Group VIII",T83&lt;1000,"Group IX",TRUE,"Group X")</f>
        <v>Group V</v>
      </c>
      <c r="V83" s="43">
        <f t="shared" si="17"/>
        <v>1.4528397995331739</v>
      </c>
      <c r="W83" s="43">
        <f t="shared" si="18"/>
        <v>0.25076172413793102</v>
      </c>
      <c r="X83" s="43">
        <f t="shared" si="19"/>
        <v>-0.60073875278659883</v>
      </c>
      <c r="Y83" s="43">
        <f t="shared" si="20"/>
        <v>2.4721062618595826</v>
      </c>
      <c r="Z83" s="43">
        <f t="shared" si="21"/>
        <v>0.39306713468028892</v>
      </c>
      <c r="AA83" s="43">
        <f t="shared" si="22"/>
        <v>1.516571720000701</v>
      </c>
      <c r="AB83" s="43">
        <f t="shared" si="23"/>
        <v>0.5076927671650362</v>
      </c>
    </row>
    <row r="84" spans="1:28">
      <c r="A84" s="48" t="s">
        <v>44</v>
      </c>
      <c r="B84" s="50">
        <v>250</v>
      </c>
      <c r="C84" s="50">
        <v>300</v>
      </c>
      <c r="D84" s="50">
        <v>7.14</v>
      </c>
      <c r="E84" s="50">
        <v>112.41970021413277</v>
      </c>
      <c r="F84" s="50">
        <v>1763.5362496176201</v>
      </c>
      <c r="G84" s="57" t="s">
        <v>86</v>
      </c>
      <c r="H84" s="50">
        <v>0.38800000000000001</v>
      </c>
      <c r="I84" s="50">
        <v>116</v>
      </c>
      <c r="J84" s="50">
        <v>420</v>
      </c>
      <c r="K84" s="50">
        <v>907</v>
      </c>
      <c r="L84" s="50">
        <v>0.65</v>
      </c>
      <c r="M84" s="59">
        <v>265.97000000000003</v>
      </c>
      <c r="N84" s="60">
        <v>869.3</v>
      </c>
      <c r="O84" s="43">
        <f t="shared" si="12"/>
        <v>0.35</v>
      </c>
      <c r="P84" s="43">
        <f t="shared" si="13"/>
        <v>265.67970021413277</v>
      </c>
      <c r="Q84" s="43">
        <f t="shared" si="14"/>
        <v>4.1872419070721072E-5</v>
      </c>
      <c r="R84" s="43">
        <v>35</v>
      </c>
      <c r="S84" s="43">
        <f t="shared" si="15"/>
        <v>0.83333333333333337</v>
      </c>
      <c r="T84" s="43">
        <f t="shared" si="16"/>
        <v>35.460904794069918</v>
      </c>
      <c r="U84" s="43" t="str" cm="1">
        <f t="array" ref="U84">_xlfn.IFS(T84&lt;3,"Group I",T84&lt;5,"Group II",T84&lt;10,"Group III",T84&lt;20,"Group IV",T84&lt;50,"Group V",T84&lt;100,"Group VI",T84&lt;200,"Group VII",T84&lt;500,"Group VIII",T84&lt;1000,"Group IX",TRUE,"Group X")</f>
        <v>Group V</v>
      </c>
      <c r="V84" s="43">
        <f t="shared" si="17"/>
        <v>1.5497498125412303</v>
      </c>
      <c r="W84" s="43">
        <f t="shared" si="18"/>
        <v>0.25076172413793102</v>
      </c>
      <c r="X84" s="43">
        <f t="shared" si="19"/>
        <v>-0.60073875278659883</v>
      </c>
      <c r="Y84" s="43">
        <f t="shared" si="20"/>
        <v>3.2684137308719023</v>
      </c>
      <c r="Z84" s="43">
        <f t="shared" si="21"/>
        <v>0.5143370263370467</v>
      </c>
      <c r="AA84" s="43">
        <f t="shared" si="22"/>
        <v>1.8957146500008759</v>
      </c>
      <c r="AB84" s="43">
        <f t="shared" si="23"/>
        <v>0.54258835554168694</v>
      </c>
    </row>
    <row r="85" spans="1:28">
      <c r="A85" s="48" t="s">
        <v>44</v>
      </c>
      <c r="B85" s="50">
        <v>300</v>
      </c>
      <c r="C85" s="50">
        <v>300</v>
      </c>
      <c r="D85" s="50">
        <v>7.14</v>
      </c>
      <c r="E85" s="50">
        <v>112.41970021413277</v>
      </c>
      <c r="F85" s="50">
        <v>1763.5362496176201</v>
      </c>
      <c r="G85" s="57" t="s">
        <v>86</v>
      </c>
      <c r="H85" s="50">
        <v>0.38800000000000001</v>
      </c>
      <c r="I85" s="50">
        <v>116</v>
      </c>
      <c r="J85" s="50">
        <v>420</v>
      </c>
      <c r="K85" s="50">
        <v>907</v>
      </c>
      <c r="L85" s="50">
        <v>0.65</v>
      </c>
      <c r="M85" s="59">
        <v>270.60000000000002</v>
      </c>
      <c r="N85" s="60">
        <v>995.4</v>
      </c>
      <c r="O85" s="43">
        <f t="shared" si="12"/>
        <v>0.35</v>
      </c>
      <c r="P85" s="43">
        <f t="shared" si="13"/>
        <v>265.67970021413277</v>
      </c>
      <c r="Q85" s="43">
        <f t="shared" si="14"/>
        <v>4.1872419070721072E-5</v>
      </c>
      <c r="R85" s="43">
        <v>35</v>
      </c>
      <c r="S85" s="43">
        <f t="shared" si="15"/>
        <v>1</v>
      </c>
      <c r="T85" s="43">
        <f t="shared" si="16"/>
        <v>42.553085752883902</v>
      </c>
      <c r="U85" s="43" t="str" cm="1">
        <f t="array" ref="U85">_xlfn.IFS(T85&lt;3,"Group I",T85&lt;5,"Group II",T85&lt;10,"Group III",T85&lt;20,"Group IV",T85&lt;50,"Group V",T85&lt;100,"Group VI",T85&lt;200,"Group VII",T85&lt;500,"Group VIII",T85&lt;1000,"Group IX",TRUE,"Group X")</f>
        <v>Group V</v>
      </c>
      <c r="V85" s="43">
        <f t="shared" si="17"/>
        <v>1.6289310585888552</v>
      </c>
      <c r="W85" s="43">
        <f t="shared" si="18"/>
        <v>0.25076172413793102</v>
      </c>
      <c r="X85" s="43">
        <f t="shared" si="19"/>
        <v>-0.60073875278659883</v>
      </c>
      <c r="Y85" s="43">
        <f t="shared" si="20"/>
        <v>3.678492239467849</v>
      </c>
      <c r="Z85" s="43">
        <f t="shared" si="21"/>
        <v>0.56566984414640009</v>
      </c>
      <c r="AA85" s="43">
        <f t="shared" si="22"/>
        <v>2.2748575800010511</v>
      </c>
      <c r="AB85" s="43">
        <f t="shared" si="23"/>
        <v>0.57287327476131888</v>
      </c>
    </row>
    <row r="86" spans="1:28">
      <c r="A86" s="48" t="s">
        <v>44</v>
      </c>
      <c r="B86" s="50">
        <v>100</v>
      </c>
      <c r="C86" s="50">
        <v>600</v>
      </c>
      <c r="D86" s="50">
        <v>7.14</v>
      </c>
      <c r="E86" s="50">
        <v>112.41970021413277</v>
      </c>
      <c r="F86" s="50">
        <v>1763.5362496176201</v>
      </c>
      <c r="G86" s="57" t="s">
        <v>86</v>
      </c>
      <c r="H86" s="50">
        <v>0.38800000000000001</v>
      </c>
      <c r="I86" s="50">
        <v>116</v>
      </c>
      <c r="J86" s="50">
        <v>420</v>
      </c>
      <c r="K86" s="50">
        <v>907</v>
      </c>
      <c r="L86" s="50">
        <v>0.65</v>
      </c>
      <c r="M86" s="59">
        <v>133.59</v>
      </c>
      <c r="N86" s="60">
        <v>128.65</v>
      </c>
      <c r="O86" s="43">
        <f t="shared" si="12"/>
        <v>0.35</v>
      </c>
      <c r="P86" s="43">
        <f t="shared" si="13"/>
        <v>265.67970021413277</v>
      </c>
      <c r="Q86" s="43">
        <f t="shared" si="14"/>
        <v>4.1872419070721072E-5</v>
      </c>
      <c r="R86" s="43">
        <v>35</v>
      </c>
      <c r="S86" s="43">
        <f t="shared" si="15"/>
        <v>0.16666666666666666</v>
      </c>
      <c r="T86" s="43">
        <f t="shared" si="16"/>
        <v>10.029858498758957</v>
      </c>
      <c r="U86" s="43" t="str" cm="1">
        <f t="array" ref="U86">_xlfn.IFS(T86&lt;3,"Group I",T86&lt;5,"Group II",T86&lt;10,"Group III",T86&lt;20,"Group IV",T86&lt;50,"Group V",T86&lt;100,"Group VI",T86&lt;200,"Group VII",T86&lt;500,"Group VIII",T86&lt;1000,"Group IX",TRUE,"Group X")</f>
        <v>Group IV</v>
      </c>
      <c r="V86" s="43">
        <f t="shared" si="17"/>
        <v>1.0012948060372022</v>
      </c>
      <c r="W86" s="43">
        <f t="shared" si="18"/>
        <v>0.50152344827586204</v>
      </c>
      <c r="X86" s="43">
        <f t="shared" si="19"/>
        <v>-0.29970875712261758</v>
      </c>
      <c r="Y86" s="43">
        <f t="shared" si="20"/>
        <v>0.96302118422037575</v>
      </c>
      <c r="Z86" s="43">
        <f t="shared" si="21"/>
        <v>-1.6364159304519996E-2</v>
      </c>
      <c r="AA86" s="43">
        <f t="shared" si="22"/>
        <v>0.55316574536718344</v>
      </c>
      <c r="AB86" s="43">
        <f t="shared" si="23"/>
        <v>0.37246521761937773</v>
      </c>
    </row>
    <row r="87" spans="1:28">
      <c r="A87" s="48" t="s">
        <v>44</v>
      </c>
      <c r="B87" s="50">
        <v>150</v>
      </c>
      <c r="C87" s="50">
        <v>600</v>
      </c>
      <c r="D87" s="50">
        <v>7.14</v>
      </c>
      <c r="E87" s="50">
        <v>112.41970021413277</v>
      </c>
      <c r="F87" s="50">
        <v>1763.5362496176201</v>
      </c>
      <c r="G87" s="57" t="s">
        <v>86</v>
      </c>
      <c r="H87" s="50">
        <v>0.38800000000000001</v>
      </c>
      <c r="I87" s="50">
        <v>116</v>
      </c>
      <c r="J87" s="50">
        <v>420</v>
      </c>
      <c r="K87" s="50">
        <v>907</v>
      </c>
      <c r="L87" s="50">
        <v>0.65</v>
      </c>
      <c r="M87" s="59">
        <v>188.49</v>
      </c>
      <c r="N87" s="60">
        <v>211.42</v>
      </c>
      <c r="O87" s="43">
        <f t="shared" si="12"/>
        <v>0.35</v>
      </c>
      <c r="P87" s="43">
        <f t="shared" si="13"/>
        <v>265.67970021413277</v>
      </c>
      <c r="Q87" s="43">
        <f t="shared" si="14"/>
        <v>4.1872419070721072E-5</v>
      </c>
      <c r="R87" s="43">
        <v>35</v>
      </c>
      <c r="S87" s="43">
        <f t="shared" si="15"/>
        <v>0.25</v>
      </c>
      <c r="T87" s="43">
        <f t="shared" si="16"/>
        <v>15.044787748138436</v>
      </c>
      <c r="U87" s="43" t="str" cm="1">
        <f t="array" ref="U87">_xlfn.IFS(T87&lt;3,"Group I",T87&lt;5,"Group II",T87&lt;10,"Group III",T87&lt;20,"Group IV",T87&lt;50,"Group V",T87&lt;100,"Group VI",T87&lt;200,"Group VII",T87&lt;500,"Group VIII",T87&lt;1000,"Group IX",TRUE,"Group X")</f>
        <v>Group IV</v>
      </c>
      <c r="V87" s="43">
        <f t="shared" si="17"/>
        <v>1.1773860650928833</v>
      </c>
      <c r="W87" s="43">
        <f t="shared" si="18"/>
        <v>0.50152344827586204</v>
      </c>
      <c r="X87" s="43">
        <f t="shared" si="19"/>
        <v>-0.29970875712261758</v>
      </c>
      <c r="Y87" s="43">
        <f t="shared" si="20"/>
        <v>1.1216510159690167</v>
      </c>
      <c r="Z87" s="43">
        <f t="shared" si="21"/>
        <v>4.985775405514984E-2</v>
      </c>
      <c r="AA87" s="43">
        <f t="shared" si="22"/>
        <v>0.82974861805077527</v>
      </c>
      <c r="AB87" s="43">
        <f t="shared" si="23"/>
        <v>0.42028443726663939</v>
      </c>
    </row>
    <row r="88" spans="1:28">
      <c r="A88" s="48" t="s">
        <v>44</v>
      </c>
      <c r="B88" s="50">
        <v>200</v>
      </c>
      <c r="C88" s="50">
        <v>600</v>
      </c>
      <c r="D88" s="50">
        <v>7.14</v>
      </c>
      <c r="E88" s="50">
        <v>112.41970021413277</v>
      </c>
      <c r="F88" s="50">
        <v>1763.5362496176201</v>
      </c>
      <c r="G88" s="57" t="s">
        <v>86</v>
      </c>
      <c r="H88" s="50">
        <v>0.38800000000000001</v>
      </c>
      <c r="I88" s="50">
        <v>116</v>
      </c>
      <c r="J88" s="50">
        <v>420</v>
      </c>
      <c r="K88" s="50">
        <v>907</v>
      </c>
      <c r="L88" s="50">
        <v>0.65</v>
      </c>
      <c r="M88" s="59">
        <v>205.98</v>
      </c>
      <c r="N88" s="60">
        <v>286.8</v>
      </c>
      <c r="O88" s="43">
        <f t="shared" si="12"/>
        <v>0.35</v>
      </c>
      <c r="P88" s="43">
        <f t="shared" si="13"/>
        <v>265.67970021413277</v>
      </c>
      <c r="Q88" s="43">
        <f t="shared" si="14"/>
        <v>4.1872419070721072E-5</v>
      </c>
      <c r="R88" s="43">
        <v>35</v>
      </c>
      <c r="S88" s="43">
        <f t="shared" si="15"/>
        <v>0.33333333333333331</v>
      </c>
      <c r="T88" s="43">
        <f t="shared" si="16"/>
        <v>20.059716997517913</v>
      </c>
      <c r="U88" s="43" t="str" cm="1">
        <f t="array" ref="U88">_xlfn.IFS(T88&lt;3,"Group I",T88&lt;5,"Group II",T88&lt;10,"Group III",T88&lt;20,"Group IV",T88&lt;50,"Group V",T88&lt;100,"Group VI",T88&lt;200,"Group VII",T88&lt;500,"Group VIII",T88&lt;1000,"Group IX",TRUE,"Group X")</f>
        <v>Group V</v>
      </c>
      <c r="V88" s="43">
        <f t="shared" si="17"/>
        <v>1.3023248017011833</v>
      </c>
      <c r="W88" s="43">
        <f t="shared" si="18"/>
        <v>0.50152344827586204</v>
      </c>
      <c r="X88" s="43">
        <f t="shared" si="19"/>
        <v>-0.29970875712261758</v>
      </c>
      <c r="Y88" s="43">
        <f t="shared" si="20"/>
        <v>1.3923681910865133</v>
      </c>
      <c r="Z88" s="43">
        <f t="shared" si="21"/>
        <v>0.14375409318636878</v>
      </c>
      <c r="AA88" s="43">
        <f t="shared" si="22"/>
        <v>1.1063314907343669</v>
      </c>
      <c r="AB88" s="43">
        <f t="shared" si="23"/>
        <v>0.45789147552317044</v>
      </c>
    </row>
    <row r="89" spans="1:28">
      <c r="A89" s="48" t="s">
        <v>44</v>
      </c>
      <c r="B89" s="50">
        <v>250</v>
      </c>
      <c r="C89" s="50">
        <v>600</v>
      </c>
      <c r="D89" s="50">
        <v>7.14</v>
      </c>
      <c r="E89" s="50">
        <v>112.41970021413277</v>
      </c>
      <c r="F89" s="50">
        <v>1763.5362496176201</v>
      </c>
      <c r="G89" s="57" t="s">
        <v>86</v>
      </c>
      <c r="H89" s="50">
        <v>0.38800000000000001</v>
      </c>
      <c r="I89" s="50">
        <v>116</v>
      </c>
      <c r="J89" s="50">
        <v>420</v>
      </c>
      <c r="K89" s="50">
        <v>907</v>
      </c>
      <c r="L89" s="50">
        <v>0.65</v>
      </c>
      <c r="M89" s="59">
        <v>190.33</v>
      </c>
      <c r="N89" s="60">
        <v>403.32</v>
      </c>
      <c r="O89" s="43">
        <f t="shared" si="12"/>
        <v>0.35</v>
      </c>
      <c r="P89" s="43">
        <f t="shared" si="13"/>
        <v>265.67970021413277</v>
      </c>
      <c r="Q89" s="43">
        <f t="shared" si="14"/>
        <v>4.1872419070721072E-5</v>
      </c>
      <c r="R89" s="43">
        <v>35</v>
      </c>
      <c r="S89" s="43">
        <f t="shared" si="15"/>
        <v>0.41666666666666669</v>
      </c>
      <c r="T89" s="43">
        <f t="shared" si="16"/>
        <v>25.074646246897395</v>
      </c>
      <c r="U89" s="43" t="str" cm="1">
        <f t="array" ref="U89">_xlfn.IFS(T89&lt;3,"Group I",T89&lt;5,"Group II",T89&lt;10,"Group III",T89&lt;20,"Group IV",T89&lt;50,"Group V",T89&lt;100,"Group VI",T89&lt;200,"Group VII",T89&lt;500,"Group VIII",T89&lt;1000,"Group IX",TRUE,"Group X")</f>
        <v>Group V</v>
      </c>
      <c r="V89" s="43">
        <f t="shared" si="17"/>
        <v>1.3992348147092397</v>
      </c>
      <c r="W89" s="43">
        <f t="shared" si="18"/>
        <v>0.50152344827586204</v>
      </c>
      <c r="X89" s="43">
        <f t="shared" si="19"/>
        <v>-0.29970875712261758</v>
      </c>
      <c r="Y89" s="43">
        <f t="shared" si="20"/>
        <v>2.1190563757684022</v>
      </c>
      <c r="Z89" s="43">
        <f t="shared" si="21"/>
        <v>0.3261425109153453</v>
      </c>
      <c r="AA89" s="43">
        <f t="shared" si="22"/>
        <v>1.3829143634179588</v>
      </c>
      <c r="AB89" s="43">
        <f t="shared" si="23"/>
        <v>0.48936403823123775</v>
      </c>
    </row>
    <row r="90" spans="1:28">
      <c r="A90" s="48" t="s">
        <v>44</v>
      </c>
      <c r="B90" s="50">
        <v>300</v>
      </c>
      <c r="C90" s="50">
        <v>600</v>
      </c>
      <c r="D90" s="50">
        <v>7.14</v>
      </c>
      <c r="E90" s="50">
        <v>112.41970021413277</v>
      </c>
      <c r="F90" s="50">
        <v>1763.5362496176201</v>
      </c>
      <c r="G90" s="57" t="s">
        <v>86</v>
      </c>
      <c r="H90" s="50">
        <v>0.38800000000000001</v>
      </c>
      <c r="I90" s="50">
        <v>116</v>
      </c>
      <c r="J90" s="50">
        <v>420</v>
      </c>
      <c r="K90" s="50">
        <v>907</v>
      </c>
      <c r="L90" s="50">
        <v>0.65</v>
      </c>
      <c r="M90" s="59">
        <v>225.47</v>
      </c>
      <c r="N90" s="60">
        <v>491.6</v>
      </c>
      <c r="O90" s="43">
        <f t="shared" si="12"/>
        <v>0.35</v>
      </c>
      <c r="P90" s="43">
        <f t="shared" si="13"/>
        <v>265.67970021413277</v>
      </c>
      <c r="Q90" s="43">
        <f t="shared" si="14"/>
        <v>4.1872419070721072E-5</v>
      </c>
      <c r="R90" s="43">
        <v>35</v>
      </c>
      <c r="S90" s="43">
        <f t="shared" si="15"/>
        <v>0.5</v>
      </c>
      <c r="T90" s="43">
        <f t="shared" si="16"/>
        <v>30.089575496276872</v>
      </c>
      <c r="U90" s="43" t="str" cm="1">
        <f t="array" ref="U90">_xlfn.IFS(T90&lt;3,"Group I",T90&lt;5,"Group II",T90&lt;10,"Group III",T90&lt;20,"Group IV",T90&lt;50,"Group V",T90&lt;100,"Group VI",T90&lt;200,"Group VII",T90&lt;500,"Group VIII",T90&lt;1000,"Group IX",TRUE,"Group X")</f>
        <v>Group V</v>
      </c>
      <c r="V90" s="43">
        <f t="shared" si="17"/>
        <v>1.4784160607568646</v>
      </c>
      <c r="W90" s="43">
        <f t="shared" si="18"/>
        <v>0.50152344827586204</v>
      </c>
      <c r="X90" s="43">
        <f t="shared" si="19"/>
        <v>-0.29970875712261758</v>
      </c>
      <c r="Y90" s="43">
        <f t="shared" si="20"/>
        <v>2.1803344125604296</v>
      </c>
      <c r="Z90" s="43">
        <f t="shared" si="21"/>
        <v>0.33852310938046831</v>
      </c>
      <c r="AA90" s="43">
        <f t="shared" si="22"/>
        <v>1.6594972361015505</v>
      </c>
      <c r="AB90" s="43">
        <f t="shared" si="23"/>
        <v>0.51667820783229768</v>
      </c>
    </row>
    <row r="91" spans="1:28">
      <c r="A91" s="48" t="s">
        <v>44</v>
      </c>
      <c r="B91" s="50">
        <v>100</v>
      </c>
      <c r="C91" s="50">
        <v>900</v>
      </c>
      <c r="D91" s="50">
        <v>7.14</v>
      </c>
      <c r="E91" s="50">
        <v>112.41970021413277</v>
      </c>
      <c r="F91" s="50">
        <v>1763.5362496176201</v>
      </c>
      <c r="G91" s="57" t="s">
        <v>86</v>
      </c>
      <c r="H91" s="50">
        <v>0.38800000000000001</v>
      </c>
      <c r="I91" s="50">
        <v>116</v>
      </c>
      <c r="J91" s="50">
        <v>420</v>
      </c>
      <c r="K91" s="50">
        <v>907</v>
      </c>
      <c r="L91" s="50">
        <v>0.65</v>
      </c>
      <c r="M91" s="59">
        <v>103.56</v>
      </c>
      <c r="N91" s="60">
        <v>33.9</v>
      </c>
      <c r="O91" s="43">
        <f t="shared" si="12"/>
        <v>0.35</v>
      </c>
      <c r="P91" s="43">
        <f t="shared" si="13"/>
        <v>265.67970021413277</v>
      </c>
      <c r="Q91" s="43">
        <f t="shared" si="14"/>
        <v>4.1872419070721072E-5</v>
      </c>
      <c r="R91" s="43">
        <v>35</v>
      </c>
      <c r="S91" s="43">
        <f t="shared" si="15"/>
        <v>0.1111111111111111</v>
      </c>
      <c r="T91" s="43">
        <f t="shared" si="16"/>
        <v>8.1893451714255825</v>
      </c>
      <c r="U91" s="43" t="str" cm="1">
        <f t="array" ref="U91">_xlfn.IFS(T91&lt;3,"Group I",T91&lt;5,"Group II",T91&lt;10,"Group III",T91&lt;20,"Group IV",T91&lt;50,"Group V",T91&lt;100,"Group VI",T91&lt;200,"Group VII",T91&lt;500,"Group VIII",T91&lt;1000,"Group IX",TRUE,"Group X")</f>
        <v>Group III</v>
      </c>
      <c r="V91" s="43">
        <f t="shared" si="17"/>
        <v>0.91324917650936144</v>
      </c>
      <c r="W91" s="43">
        <f t="shared" si="18"/>
        <v>0.75228517241379311</v>
      </c>
      <c r="X91" s="43">
        <f t="shared" si="19"/>
        <v>-0.12361749806693632</v>
      </c>
      <c r="Y91" s="43">
        <f t="shared" si="20"/>
        <v>0.32734646581691773</v>
      </c>
      <c r="Z91" s="43">
        <f t="shared" si="21"/>
        <v>-0.48499234355975224</v>
      </c>
      <c r="AA91" s="43">
        <f t="shared" si="22"/>
        <v>0.45996890475857793</v>
      </c>
      <c r="AB91" s="43">
        <f t="shared" si="23"/>
        <v>0.3506363442387509</v>
      </c>
    </row>
    <row r="92" spans="1:28">
      <c r="A92" s="48" t="s">
        <v>44</v>
      </c>
      <c r="B92" s="50">
        <v>150</v>
      </c>
      <c r="C92" s="50">
        <v>900</v>
      </c>
      <c r="D92" s="50">
        <v>7.14</v>
      </c>
      <c r="E92" s="50">
        <v>112.41970021413277</v>
      </c>
      <c r="F92" s="50">
        <v>1763.5362496176201</v>
      </c>
      <c r="G92" s="57" t="s">
        <v>86</v>
      </c>
      <c r="H92" s="50">
        <v>0.38800000000000001</v>
      </c>
      <c r="I92" s="50">
        <v>116</v>
      </c>
      <c r="J92" s="50">
        <v>420</v>
      </c>
      <c r="K92" s="50">
        <v>907</v>
      </c>
      <c r="L92" s="50">
        <v>0.65</v>
      </c>
      <c r="M92" s="59">
        <v>112.2</v>
      </c>
      <c r="N92" s="60">
        <v>64.3</v>
      </c>
      <c r="O92" s="43">
        <f t="shared" si="12"/>
        <v>0.35</v>
      </c>
      <c r="P92" s="43">
        <f t="shared" si="13"/>
        <v>265.67970021413277</v>
      </c>
      <c r="Q92" s="43">
        <f t="shared" si="14"/>
        <v>4.1872419070721072E-5</v>
      </c>
      <c r="R92" s="43">
        <v>35</v>
      </c>
      <c r="S92" s="43">
        <f t="shared" si="15"/>
        <v>0.16666666666666666</v>
      </c>
      <c r="T92" s="43">
        <f t="shared" si="16"/>
        <v>12.284017757138374</v>
      </c>
      <c r="U92" s="43" t="str" cm="1">
        <f t="array" ref="U92">_xlfn.IFS(T92&lt;3,"Group I",T92&lt;5,"Group II",T92&lt;10,"Group III",T92&lt;20,"Group IV",T92&lt;50,"Group V",T92&lt;100,"Group VI",T92&lt;200,"Group VII",T92&lt;500,"Group VIII",T92&lt;1000,"Group IX",TRUE,"Group X")</f>
        <v>Group IV</v>
      </c>
      <c r="V92" s="43">
        <f t="shared" si="17"/>
        <v>1.0893404355650427</v>
      </c>
      <c r="W92" s="43">
        <f t="shared" si="18"/>
        <v>0.75228517241379311</v>
      </c>
      <c r="X92" s="43">
        <f t="shared" si="19"/>
        <v>-0.12361749806693632</v>
      </c>
      <c r="Y92" s="43">
        <f t="shared" si="20"/>
        <v>0.57308377896613183</v>
      </c>
      <c r="Z92" s="43">
        <f t="shared" si="21"/>
        <v>-0.2417818839959206</v>
      </c>
      <c r="AA92" s="43">
        <f t="shared" si="22"/>
        <v>0.68995335713786698</v>
      </c>
      <c r="AB92" s="43">
        <f t="shared" si="23"/>
        <v>0.39565304799603968</v>
      </c>
    </row>
    <row r="93" spans="1:28">
      <c r="A93" s="48" t="s">
        <v>44</v>
      </c>
      <c r="B93" s="50">
        <v>200</v>
      </c>
      <c r="C93" s="50">
        <v>900</v>
      </c>
      <c r="D93" s="50">
        <v>7.14</v>
      </c>
      <c r="E93" s="50">
        <v>112.41970021413277</v>
      </c>
      <c r="F93" s="50">
        <v>1763.5362496176201</v>
      </c>
      <c r="G93" s="57" t="s">
        <v>86</v>
      </c>
      <c r="H93" s="50">
        <v>0.38800000000000001</v>
      </c>
      <c r="I93" s="50">
        <v>116</v>
      </c>
      <c r="J93" s="50">
        <v>420</v>
      </c>
      <c r="K93" s="50">
        <v>907</v>
      </c>
      <c r="L93" s="50">
        <v>0.65</v>
      </c>
      <c r="M93" s="59">
        <v>131.5</v>
      </c>
      <c r="N93" s="60">
        <v>109.1</v>
      </c>
      <c r="O93" s="43">
        <f t="shared" si="12"/>
        <v>0.35</v>
      </c>
      <c r="P93" s="43">
        <f t="shared" si="13"/>
        <v>265.67970021413277</v>
      </c>
      <c r="Q93" s="43">
        <f t="shared" si="14"/>
        <v>4.1872419070721072E-5</v>
      </c>
      <c r="R93" s="43">
        <v>35</v>
      </c>
      <c r="S93" s="43">
        <f t="shared" si="15"/>
        <v>0.22222222222222221</v>
      </c>
      <c r="T93" s="43">
        <f t="shared" si="16"/>
        <v>16.378690342851165</v>
      </c>
      <c r="U93" s="43" t="str" cm="1">
        <f t="array" ref="U93">_xlfn.IFS(T93&lt;3,"Group I",T93&lt;5,"Group II",T93&lt;10,"Group III",T93&lt;20,"Group IV",T93&lt;50,"Group V",T93&lt;100,"Group VI",T93&lt;200,"Group VII",T93&lt;500,"Group VIII",T93&lt;1000,"Group IX",TRUE,"Group X")</f>
        <v>Group IV</v>
      </c>
      <c r="V93" s="43">
        <f t="shared" si="17"/>
        <v>1.2142791721733426</v>
      </c>
      <c r="W93" s="43">
        <f t="shared" si="18"/>
        <v>0.75228517241379311</v>
      </c>
      <c r="X93" s="43">
        <f t="shared" si="19"/>
        <v>-0.12361749806693632</v>
      </c>
      <c r="Y93" s="43">
        <f t="shared" si="20"/>
        <v>0.829657794676806</v>
      </c>
      <c r="Z93" s="43">
        <f t="shared" si="21"/>
        <v>-8.1101002237434841E-2</v>
      </c>
      <c r="AA93" s="43">
        <f t="shared" si="22"/>
        <v>0.91993780951715587</v>
      </c>
      <c r="AB93" s="43">
        <f t="shared" si="23"/>
        <v>0.43105607031366217</v>
      </c>
    </row>
    <row r="94" spans="1:28">
      <c r="A94" s="48" t="s">
        <v>44</v>
      </c>
      <c r="B94" s="50">
        <v>250</v>
      </c>
      <c r="C94" s="50">
        <v>900</v>
      </c>
      <c r="D94" s="50">
        <v>7.14</v>
      </c>
      <c r="E94" s="50">
        <v>112.41970021413277</v>
      </c>
      <c r="F94" s="50">
        <v>1763.5362496176201</v>
      </c>
      <c r="G94" s="57" t="s">
        <v>86</v>
      </c>
      <c r="H94" s="50">
        <v>0.38800000000000001</v>
      </c>
      <c r="I94" s="50">
        <v>116</v>
      </c>
      <c r="J94" s="50">
        <v>420</v>
      </c>
      <c r="K94" s="50">
        <v>907</v>
      </c>
      <c r="L94" s="50">
        <v>0.65</v>
      </c>
      <c r="M94" s="59">
        <v>140.91</v>
      </c>
      <c r="N94" s="60">
        <v>204.34</v>
      </c>
      <c r="O94" s="43">
        <f t="shared" si="12"/>
        <v>0.35</v>
      </c>
      <c r="P94" s="43">
        <f t="shared" si="13"/>
        <v>265.67970021413277</v>
      </c>
      <c r="Q94" s="43">
        <f t="shared" si="14"/>
        <v>4.1872419070721072E-5</v>
      </c>
      <c r="R94" s="43">
        <v>35</v>
      </c>
      <c r="S94" s="43">
        <f t="shared" si="15"/>
        <v>0.27777777777777779</v>
      </c>
      <c r="T94" s="43">
        <f t="shared" si="16"/>
        <v>20.473362928563958</v>
      </c>
      <c r="U94" s="43" t="str" cm="1">
        <f t="array" ref="U94">_xlfn.IFS(T94&lt;3,"Group I",T94&lt;5,"Group II",T94&lt;10,"Group III",T94&lt;20,"Group IV",T94&lt;50,"Group V",T94&lt;100,"Group VI",T94&lt;200,"Group VII",T94&lt;500,"Group VIII",T94&lt;1000,"Group IX",TRUE,"Group X")</f>
        <v>Group V</v>
      </c>
      <c r="V94" s="43">
        <f t="shared" si="17"/>
        <v>1.311189185181399</v>
      </c>
      <c r="W94" s="43">
        <f t="shared" si="18"/>
        <v>0.75228517241379311</v>
      </c>
      <c r="X94" s="43">
        <f t="shared" si="19"/>
        <v>-0.12361749806693632</v>
      </c>
      <c r="Y94" s="43">
        <f t="shared" si="20"/>
        <v>1.4501454829323683</v>
      </c>
      <c r="Z94" s="43">
        <f t="shared" si="21"/>
        <v>0.16141157414208335</v>
      </c>
      <c r="AA94" s="43">
        <f t="shared" si="22"/>
        <v>1.1499222618964451</v>
      </c>
      <c r="AB94" s="43">
        <f t="shared" si="23"/>
        <v>0.46068413706930395</v>
      </c>
    </row>
    <row r="95" spans="1:28" ht="18.600000000000001" thickBot="1">
      <c r="A95" s="53" t="s">
        <v>44</v>
      </c>
      <c r="B95" s="54">
        <v>300</v>
      </c>
      <c r="C95" s="54">
        <v>900</v>
      </c>
      <c r="D95" s="54">
        <v>7.14</v>
      </c>
      <c r="E95" s="54">
        <v>112.41970021413277</v>
      </c>
      <c r="F95" s="54">
        <v>1763.5362496176201</v>
      </c>
      <c r="G95" s="57" t="s">
        <v>86</v>
      </c>
      <c r="H95" s="54">
        <v>0.38800000000000001</v>
      </c>
      <c r="I95" s="54">
        <v>116</v>
      </c>
      <c r="J95" s="54">
        <v>420</v>
      </c>
      <c r="K95" s="54">
        <v>907</v>
      </c>
      <c r="L95" s="54">
        <v>0.65</v>
      </c>
      <c r="M95" s="63">
        <v>220.7</v>
      </c>
      <c r="N95" s="64">
        <v>296.97000000000003</v>
      </c>
      <c r="O95" s="43">
        <f t="shared" si="12"/>
        <v>0.35</v>
      </c>
      <c r="P95" s="43">
        <f t="shared" si="13"/>
        <v>265.67970021413277</v>
      </c>
      <c r="Q95" s="43">
        <f t="shared" si="14"/>
        <v>4.1872419070721072E-5</v>
      </c>
      <c r="R95" s="43">
        <v>35</v>
      </c>
      <c r="S95" s="43">
        <f t="shared" si="15"/>
        <v>0.33333333333333331</v>
      </c>
      <c r="T95" s="43">
        <f t="shared" si="16"/>
        <v>24.568035514276747</v>
      </c>
      <c r="U95" s="43" t="str" cm="1">
        <f t="array" ref="U95">_xlfn.IFS(T95&lt;3,"Group I",T95&lt;5,"Group II",T95&lt;10,"Group III",T95&lt;20,"Group IV",T95&lt;50,"Group V",T95&lt;100,"Group VI",T95&lt;200,"Group VII",T95&lt;500,"Group VIII",T95&lt;1000,"Group IX",TRUE,"Group X")</f>
        <v>Group V</v>
      </c>
      <c r="V95" s="43">
        <f t="shared" si="17"/>
        <v>1.3903704312290239</v>
      </c>
      <c r="W95" s="43">
        <f t="shared" si="18"/>
        <v>0.75228517241379311</v>
      </c>
      <c r="X95" s="43">
        <f t="shared" si="19"/>
        <v>-0.12361749806693632</v>
      </c>
      <c r="Y95" s="43">
        <f t="shared" si="20"/>
        <v>1.3455822383325784</v>
      </c>
      <c r="Z95" s="43">
        <f t="shared" si="21"/>
        <v>0.1289102458103609</v>
      </c>
      <c r="AA95" s="43">
        <f t="shared" si="22"/>
        <v>1.379906714275734</v>
      </c>
      <c r="AB95" s="43">
        <f t="shared" si="23"/>
        <v>0.48639751947866477</v>
      </c>
    </row>
    <row r="96" spans="1:28">
      <c r="A96" s="56" t="s">
        <v>45</v>
      </c>
      <c r="B96" s="57">
        <v>200</v>
      </c>
      <c r="C96" s="57">
        <v>200</v>
      </c>
      <c r="D96" s="57">
        <v>1.85</v>
      </c>
      <c r="E96" s="57">
        <v>1353.7230507444972</v>
      </c>
      <c r="F96" s="57">
        <v>32444.968855548443</v>
      </c>
      <c r="G96" s="57" t="s">
        <v>87</v>
      </c>
      <c r="H96" s="57">
        <v>1.825</v>
      </c>
      <c r="I96" s="57">
        <v>200</v>
      </c>
      <c r="J96" s="57">
        <v>1287</v>
      </c>
      <c r="K96" s="57">
        <v>2471</v>
      </c>
      <c r="L96" s="57">
        <v>0.5</v>
      </c>
      <c r="M96" s="57">
        <v>219.3</v>
      </c>
      <c r="N96" s="58">
        <v>321.99</v>
      </c>
      <c r="O96" s="43">
        <f t="shared" si="12"/>
        <v>0.5</v>
      </c>
      <c r="P96" s="43">
        <f t="shared" si="13"/>
        <v>3656.873050744497</v>
      </c>
      <c r="Q96" s="43">
        <f t="shared" si="14"/>
        <v>5.9237319511292114E-5</v>
      </c>
      <c r="R96" s="43">
        <v>35</v>
      </c>
      <c r="S96" s="43">
        <f t="shared" si="15"/>
        <v>1</v>
      </c>
      <c r="T96" s="43">
        <f t="shared" si="16"/>
        <v>11.701153798581503</v>
      </c>
      <c r="U96" s="43" t="str" cm="1">
        <f t="array" ref="U96">_xlfn.IFS(T96&lt;3,"Group I",T96&lt;5,"Group II",T96&lt;10,"Group III",T96&lt;20,"Group IV",T96&lt;50,"Group V",T96&lt;100,"Group VI",T96&lt;200,"Group VII",T96&lt;500,"Group VIII",T96&lt;1000,"Group IX",TRUE,"Group X")</f>
        <v>Group IV</v>
      </c>
      <c r="V96" s="43">
        <f t="shared" si="17"/>
        <v>1.0682286876992657</v>
      </c>
      <c r="W96" s="43">
        <f t="shared" si="18"/>
        <v>0.11816875</v>
      </c>
      <c r="X96" s="43">
        <f t="shared" si="19"/>
        <v>-0.92749735845421699</v>
      </c>
      <c r="Y96" s="43">
        <f t="shared" si="20"/>
        <v>1.4682626538987689</v>
      </c>
      <c r="Z96" s="43">
        <f t="shared" si="21"/>
        <v>0.16680375240260162</v>
      </c>
      <c r="AA96" s="43">
        <f t="shared" si="22"/>
        <v>0.60472442043677321</v>
      </c>
      <c r="AB96" s="43">
        <f t="shared" si="23"/>
        <v>0.38996472697076534</v>
      </c>
    </row>
    <row r="97" spans="1:28">
      <c r="A97" s="48" t="s">
        <v>45</v>
      </c>
      <c r="B97" s="50">
        <v>200</v>
      </c>
      <c r="C97" s="50">
        <v>400</v>
      </c>
      <c r="D97" s="50">
        <v>1.85</v>
      </c>
      <c r="E97" s="50">
        <v>1353.7230507444972</v>
      </c>
      <c r="F97" s="50">
        <v>32444.968855548443</v>
      </c>
      <c r="G97" s="57" t="s">
        <v>87</v>
      </c>
      <c r="H97" s="50">
        <v>1.825</v>
      </c>
      <c r="I97" s="50">
        <v>200</v>
      </c>
      <c r="J97" s="50">
        <v>1287</v>
      </c>
      <c r="K97" s="50">
        <v>2471</v>
      </c>
      <c r="L97" s="50">
        <v>0.5</v>
      </c>
      <c r="M97" s="50">
        <v>182.86</v>
      </c>
      <c r="N97" s="51">
        <v>238.89</v>
      </c>
      <c r="O97" s="43">
        <f t="shared" si="12"/>
        <v>0.5</v>
      </c>
      <c r="P97" s="43">
        <f t="shared" si="13"/>
        <v>3656.873050744497</v>
      </c>
      <c r="Q97" s="43">
        <f t="shared" si="14"/>
        <v>5.9237319511292114E-5</v>
      </c>
      <c r="R97" s="43">
        <v>35</v>
      </c>
      <c r="S97" s="43">
        <f t="shared" si="15"/>
        <v>0.5</v>
      </c>
      <c r="T97" s="43">
        <f t="shared" si="16"/>
        <v>8.2739651986837099</v>
      </c>
      <c r="U97" s="43" t="str" cm="1">
        <f t="array" ref="U97">_xlfn.IFS(T97&lt;3,"Group I",T97&lt;5,"Group II",T97&lt;10,"Group III",T97&lt;20,"Group IV",T97&lt;50,"Group V",T97&lt;100,"Group VI",T97&lt;200,"Group VII",T97&lt;500,"Group VIII",T97&lt;1000,"Group IX",TRUE,"Group X")</f>
        <v>Group III</v>
      </c>
      <c r="V97" s="43">
        <f t="shared" si="17"/>
        <v>0.9177136898672752</v>
      </c>
      <c r="W97" s="43">
        <f t="shared" si="18"/>
        <v>0.23633750000000001</v>
      </c>
      <c r="X97" s="43">
        <f t="shared" si="19"/>
        <v>-0.62646736279023585</v>
      </c>
      <c r="Y97" s="43">
        <f t="shared" si="20"/>
        <v>1.3064092748550802</v>
      </c>
      <c r="Z97" s="43">
        <f t="shared" si="21"/>
        <v>0.11607925501403986</v>
      </c>
      <c r="AA97" s="43">
        <f t="shared" si="22"/>
        <v>0.4411434426226688</v>
      </c>
      <c r="AB97" s="43">
        <f t="shared" si="23"/>
        <v>0.35171177488252231</v>
      </c>
    </row>
    <row r="98" spans="1:28">
      <c r="A98" s="48" t="s">
        <v>45</v>
      </c>
      <c r="B98" s="50">
        <v>200</v>
      </c>
      <c r="C98" s="50">
        <v>600</v>
      </c>
      <c r="D98" s="50">
        <v>1.85</v>
      </c>
      <c r="E98" s="50">
        <v>1353.7230507444972</v>
      </c>
      <c r="F98" s="50">
        <v>32444.968855548443</v>
      </c>
      <c r="G98" s="57" t="s">
        <v>87</v>
      </c>
      <c r="H98" s="50">
        <v>1.825</v>
      </c>
      <c r="I98" s="50">
        <v>200</v>
      </c>
      <c r="J98" s="50">
        <v>1287</v>
      </c>
      <c r="K98" s="50">
        <v>2471</v>
      </c>
      <c r="L98" s="50">
        <v>0.5</v>
      </c>
      <c r="M98" s="50">
        <v>141.77000000000001</v>
      </c>
      <c r="N98" s="51">
        <v>164.52</v>
      </c>
      <c r="O98" s="43">
        <f t="shared" si="12"/>
        <v>0.5</v>
      </c>
      <c r="P98" s="43">
        <f t="shared" si="13"/>
        <v>3656.873050744497</v>
      </c>
      <c r="Q98" s="43">
        <f t="shared" si="14"/>
        <v>5.9237319511292114E-5</v>
      </c>
      <c r="R98" s="43">
        <v>35</v>
      </c>
      <c r="S98" s="43">
        <f t="shared" si="15"/>
        <v>0.33333333333333331</v>
      </c>
      <c r="T98" s="43">
        <f t="shared" si="16"/>
        <v>6.7556642954402442</v>
      </c>
      <c r="U98" s="43" t="str" cm="1">
        <f t="array" ref="U98">_xlfn.IFS(T98&lt;3,"Group I",T98&lt;5,"Group II",T98&lt;10,"Group III",T98&lt;20,"Group IV",T98&lt;50,"Group V",T98&lt;100,"Group VI",T98&lt;200,"Group VII",T98&lt;500,"Group VIII",T98&lt;1000,"Group IX",TRUE,"Group X")</f>
        <v>Group III</v>
      </c>
      <c r="V98" s="43">
        <f t="shared" si="17"/>
        <v>0.82966806033943463</v>
      </c>
      <c r="W98" s="43">
        <f t="shared" si="18"/>
        <v>0.35450624999999997</v>
      </c>
      <c r="X98" s="43">
        <f t="shared" si="19"/>
        <v>-0.45037610373455467</v>
      </c>
      <c r="Y98" s="43">
        <f t="shared" si="20"/>
        <v>1.1604711857233547</v>
      </c>
      <c r="Z98" s="43">
        <f t="shared" si="21"/>
        <v>6.4634361477240748E-2</v>
      </c>
      <c r="AA98" s="43">
        <f t="shared" si="22"/>
        <v>0.3668200134299483</v>
      </c>
      <c r="AB98" s="43">
        <f t="shared" si="23"/>
        <v>0.33109918762012808</v>
      </c>
    </row>
    <row r="99" spans="1:28">
      <c r="A99" s="48" t="s">
        <v>45</v>
      </c>
      <c r="B99" s="50">
        <v>200</v>
      </c>
      <c r="C99" s="50">
        <v>800</v>
      </c>
      <c r="D99" s="50">
        <v>1.85</v>
      </c>
      <c r="E99" s="50">
        <v>1353.7230507444972</v>
      </c>
      <c r="F99" s="50">
        <v>32444.968855548443</v>
      </c>
      <c r="G99" s="57" t="s">
        <v>87</v>
      </c>
      <c r="H99" s="50">
        <v>1.825</v>
      </c>
      <c r="I99" s="50">
        <v>200</v>
      </c>
      <c r="J99" s="50">
        <v>1287</v>
      </c>
      <c r="K99" s="50">
        <v>2471</v>
      </c>
      <c r="L99" s="50">
        <v>0.5</v>
      </c>
      <c r="M99" s="50">
        <v>139.31</v>
      </c>
      <c r="N99" s="51">
        <v>101.62</v>
      </c>
      <c r="O99" s="43">
        <f t="shared" si="12"/>
        <v>0.5</v>
      </c>
      <c r="P99" s="43">
        <f t="shared" si="13"/>
        <v>3656.873050744497</v>
      </c>
      <c r="Q99" s="43">
        <f t="shared" si="14"/>
        <v>5.9237319511292114E-5</v>
      </c>
      <c r="R99" s="43">
        <v>35</v>
      </c>
      <c r="S99" s="43">
        <f t="shared" si="15"/>
        <v>0.25</v>
      </c>
      <c r="T99" s="43">
        <f t="shared" si="16"/>
        <v>5.8505768992907514</v>
      </c>
      <c r="U99" s="43" t="str" cm="1">
        <f t="array" ref="U99">_xlfn.IFS(T99&lt;3,"Group I",T99&lt;5,"Group II",T99&lt;10,"Group III",T99&lt;20,"Group IV",T99&lt;50,"Group V",T99&lt;100,"Group VI",T99&lt;200,"Group VII",T99&lt;500,"Group VIII",T99&lt;1000,"Group IX",TRUE,"Group X")</f>
        <v>Group III</v>
      </c>
      <c r="V99" s="43">
        <f t="shared" si="17"/>
        <v>0.76719869203528457</v>
      </c>
      <c r="W99" s="43">
        <f t="shared" si="18"/>
        <v>0.47267500000000001</v>
      </c>
      <c r="X99" s="43">
        <f t="shared" si="19"/>
        <v>-0.32543736712625465</v>
      </c>
      <c r="Y99" s="43">
        <f t="shared" si="20"/>
        <v>0.7294523006245065</v>
      </c>
      <c r="Z99" s="43">
        <f t="shared" si="21"/>
        <v>-0.13700310164970023</v>
      </c>
      <c r="AA99" s="43">
        <f t="shared" si="22"/>
        <v>0.32181193679663389</v>
      </c>
      <c r="AB99" s="43">
        <f t="shared" si="23"/>
        <v>0.3172111835650398</v>
      </c>
    </row>
    <row r="100" spans="1:28">
      <c r="A100" s="48" t="s">
        <v>45</v>
      </c>
      <c r="B100" s="50">
        <v>200</v>
      </c>
      <c r="C100" s="50">
        <v>1200</v>
      </c>
      <c r="D100" s="50">
        <v>1.85</v>
      </c>
      <c r="E100" s="50">
        <v>1353.7230507444972</v>
      </c>
      <c r="F100" s="50">
        <v>32444.968855548443</v>
      </c>
      <c r="G100" s="57" t="s">
        <v>87</v>
      </c>
      <c r="H100" s="50">
        <v>1.825</v>
      </c>
      <c r="I100" s="50">
        <v>200</v>
      </c>
      <c r="J100" s="50">
        <v>1287</v>
      </c>
      <c r="K100" s="50">
        <v>2471</v>
      </c>
      <c r="L100" s="50">
        <v>0.5</v>
      </c>
      <c r="M100" s="50">
        <v>100.18</v>
      </c>
      <c r="N100" s="51">
        <v>53.88</v>
      </c>
      <c r="O100" s="43">
        <f t="shared" si="12"/>
        <v>0.5</v>
      </c>
      <c r="P100" s="43">
        <f t="shared" si="13"/>
        <v>3656.873050744497</v>
      </c>
      <c r="Q100" s="43">
        <f t="shared" si="14"/>
        <v>5.9237319511292114E-5</v>
      </c>
      <c r="R100" s="43">
        <v>35</v>
      </c>
      <c r="S100" s="43">
        <f t="shared" si="15"/>
        <v>0.16666666666666666</v>
      </c>
      <c r="T100" s="43">
        <f t="shared" si="16"/>
        <v>4.776976034725636</v>
      </c>
      <c r="U100" s="43" t="str" cm="1">
        <f t="array" ref="U100">_xlfn.IFS(T100&lt;3,"Group I",T100&lt;5,"Group II",T100&lt;10,"Group III",T100&lt;20,"Group IV",T100&lt;50,"Group V",T100&lt;100,"Group VI",T100&lt;200,"Group VII",T100&lt;500,"Group VIII",T100&lt;1000,"Group IX",TRUE,"Group X")</f>
        <v>Group II</v>
      </c>
      <c r="V100" s="43">
        <f t="shared" si="17"/>
        <v>0.67915306250744401</v>
      </c>
      <c r="W100" s="43">
        <f t="shared" si="18"/>
        <v>0.70901249999999993</v>
      </c>
      <c r="X100" s="43">
        <f t="shared" si="19"/>
        <v>-0.14934610807057347</v>
      </c>
      <c r="Y100" s="43">
        <f t="shared" si="20"/>
        <v>0.53783190257536428</v>
      </c>
      <c r="Z100" s="43">
        <f t="shared" si="21"/>
        <v>-0.26935344030254754</v>
      </c>
      <c r="AA100" s="43">
        <f t="shared" si="22"/>
        <v>0.26759336662889088</v>
      </c>
      <c r="AB100" s="43">
        <f t="shared" si="23"/>
        <v>0.29862055433738388</v>
      </c>
    </row>
    <row r="101" spans="1:28">
      <c r="A101" s="48" t="s">
        <v>45</v>
      </c>
      <c r="B101" s="50">
        <v>200</v>
      </c>
      <c r="C101" s="50">
        <v>1600</v>
      </c>
      <c r="D101" s="50">
        <v>1.85</v>
      </c>
      <c r="E101" s="50">
        <v>1353.7230507444972</v>
      </c>
      <c r="F101" s="50">
        <v>32444.968855548443</v>
      </c>
      <c r="G101" s="57" t="s">
        <v>87</v>
      </c>
      <c r="H101" s="50">
        <v>1.825</v>
      </c>
      <c r="I101" s="50">
        <v>200</v>
      </c>
      <c r="J101" s="50">
        <v>1287</v>
      </c>
      <c r="K101" s="50">
        <v>2471</v>
      </c>
      <c r="L101" s="50">
        <v>0.5</v>
      </c>
      <c r="M101" s="50">
        <v>57.98</v>
      </c>
      <c r="N101" s="51">
        <v>31.56</v>
      </c>
      <c r="O101" s="43">
        <f t="shared" si="12"/>
        <v>0.5</v>
      </c>
      <c r="P101" s="43">
        <f t="shared" si="13"/>
        <v>3656.873050744497</v>
      </c>
      <c r="Q101" s="43">
        <f t="shared" si="14"/>
        <v>5.9237319511292114E-5</v>
      </c>
      <c r="R101" s="43">
        <v>35</v>
      </c>
      <c r="S101" s="43">
        <f t="shared" si="15"/>
        <v>0.125</v>
      </c>
      <c r="T101" s="43">
        <f t="shared" si="16"/>
        <v>4.136982599341855</v>
      </c>
      <c r="U101" s="43" t="str" cm="1">
        <f t="array" ref="U101">_xlfn.IFS(T101&lt;3,"Group I",T101&lt;5,"Group II",T101&lt;10,"Group III",T101&lt;20,"Group IV",T101&lt;50,"Group V",T101&lt;100,"Group VI",T101&lt;200,"Group VII",T101&lt;500,"Group VIII",T101&lt;1000,"Group IX",TRUE,"Group X")</f>
        <v>Group II</v>
      </c>
      <c r="V101" s="43">
        <f t="shared" si="17"/>
        <v>0.61668369420329394</v>
      </c>
      <c r="W101" s="43">
        <f t="shared" si="18"/>
        <v>0.94535000000000002</v>
      </c>
      <c r="X101" s="43">
        <f t="shared" si="19"/>
        <v>-2.4407371462273456E-2</v>
      </c>
      <c r="Y101" s="43">
        <f t="shared" si="20"/>
        <v>0.54432562952742325</v>
      </c>
      <c r="Z101" s="43">
        <f t="shared" si="21"/>
        <v>-0.26414121648159594</v>
      </c>
      <c r="AA101" s="43">
        <f t="shared" si="22"/>
        <v>0.23476019965093986</v>
      </c>
      <c r="AB101" s="43">
        <f t="shared" si="23"/>
        <v>0.28609487132565614</v>
      </c>
    </row>
    <row r="102" spans="1:28">
      <c r="A102" s="48" t="s">
        <v>45</v>
      </c>
      <c r="B102" s="50">
        <v>200</v>
      </c>
      <c r="C102" s="50">
        <v>2000</v>
      </c>
      <c r="D102" s="50">
        <v>1.85</v>
      </c>
      <c r="E102" s="50">
        <v>1353.7230507444972</v>
      </c>
      <c r="F102" s="50">
        <v>32444.968855548443</v>
      </c>
      <c r="G102" s="57" t="s">
        <v>87</v>
      </c>
      <c r="H102" s="50">
        <v>1.825</v>
      </c>
      <c r="I102" s="50">
        <v>200</v>
      </c>
      <c r="J102" s="50">
        <v>1287</v>
      </c>
      <c r="K102" s="50">
        <v>2471</v>
      </c>
      <c r="L102" s="50">
        <v>0.5</v>
      </c>
      <c r="M102" s="50">
        <v>42.84</v>
      </c>
      <c r="N102" s="51">
        <v>18.8</v>
      </c>
      <c r="O102" s="43">
        <f t="shared" si="12"/>
        <v>0.5</v>
      </c>
      <c r="P102" s="43">
        <f t="shared" si="13"/>
        <v>3656.873050744497</v>
      </c>
      <c r="Q102" s="43">
        <f t="shared" si="14"/>
        <v>5.9237319511292114E-5</v>
      </c>
      <c r="R102" s="43">
        <v>35</v>
      </c>
      <c r="S102" s="43">
        <f t="shared" si="15"/>
        <v>0.1</v>
      </c>
      <c r="T102" s="43">
        <f t="shared" si="16"/>
        <v>3.7002297255448666</v>
      </c>
      <c r="U102" s="43" t="str" cm="1">
        <f t="array" ref="U102">_xlfn.IFS(T102&lt;3,"Group I",T102&lt;5,"Group II",T102&lt;10,"Group III",T102&lt;20,"Group IV",T102&lt;50,"Group V",T102&lt;100,"Group VI",T102&lt;200,"Group VII",T102&lt;500,"Group VIII",T102&lt;1000,"Group IX",TRUE,"Group X")</f>
        <v>Group II</v>
      </c>
      <c r="V102" s="43">
        <f t="shared" si="17"/>
        <v>0.56822868769926593</v>
      </c>
      <c r="W102" s="43">
        <f t="shared" si="18"/>
        <v>1.1816875</v>
      </c>
      <c r="X102" s="43">
        <f t="shared" si="19"/>
        <v>7.2502641545782953E-2</v>
      </c>
      <c r="Y102" s="43">
        <f t="shared" si="20"/>
        <v>0.4388422035480859</v>
      </c>
      <c r="Z102" s="43">
        <f t="shared" si="21"/>
        <v>-0.35769161289613816</v>
      </c>
      <c r="AA102" s="43">
        <f t="shared" si="22"/>
        <v>0.21209357228210718</v>
      </c>
      <c r="AB102" s="43">
        <f t="shared" si="23"/>
        <v>0.27674215983295664</v>
      </c>
    </row>
    <row r="103" spans="1:28">
      <c r="A103" s="48" t="s">
        <v>45</v>
      </c>
      <c r="B103" s="50">
        <v>200</v>
      </c>
      <c r="C103" s="50">
        <v>2400</v>
      </c>
      <c r="D103" s="50">
        <v>1.85</v>
      </c>
      <c r="E103" s="50">
        <v>1353.7230507444972</v>
      </c>
      <c r="F103" s="50">
        <v>32444.968855548443</v>
      </c>
      <c r="G103" s="57" t="s">
        <v>87</v>
      </c>
      <c r="H103" s="50">
        <v>1.825</v>
      </c>
      <c r="I103" s="50">
        <v>200</v>
      </c>
      <c r="J103" s="50">
        <v>1287</v>
      </c>
      <c r="K103" s="50">
        <v>2471</v>
      </c>
      <c r="L103" s="50">
        <v>0.5</v>
      </c>
      <c r="M103" s="50">
        <v>38.53</v>
      </c>
      <c r="N103" s="51">
        <v>10.9</v>
      </c>
      <c r="O103" s="43">
        <f t="shared" si="12"/>
        <v>0.5</v>
      </c>
      <c r="P103" s="43">
        <f t="shared" si="13"/>
        <v>3656.873050744497</v>
      </c>
      <c r="Q103" s="43">
        <f t="shared" si="14"/>
        <v>5.9237319511292114E-5</v>
      </c>
      <c r="R103" s="43">
        <v>35</v>
      </c>
      <c r="S103" s="43">
        <f t="shared" si="15"/>
        <v>8.3333333333333329E-2</v>
      </c>
      <c r="T103" s="43">
        <f t="shared" si="16"/>
        <v>3.3778321477201221</v>
      </c>
      <c r="U103" s="43" t="str" cm="1">
        <f t="array" ref="U103">_xlfn.IFS(T103&lt;3,"Group I",T103&lt;5,"Group II",T103&lt;10,"Group III",T103&lt;20,"Group IV",T103&lt;50,"Group V",T103&lt;100,"Group VI",T103&lt;200,"Group VII",T103&lt;500,"Group VIII",T103&lt;1000,"Group IX",TRUE,"Group X")</f>
        <v>Group II</v>
      </c>
      <c r="V103" s="43">
        <f t="shared" si="17"/>
        <v>0.52863806467545349</v>
      </c>
      <c r="W103" s="43">
        <f t="shared" si="18"/>
        <v>1.4180249999999999</v>
      </c>
      <c r="X103" s="43">
        <f t="shared" si="19"/>
        <v>0.15168388759340773</v>
      </c>
      <c r="Y103" s="43">
        <f t="shared" si="20"/>
        <v>0.28289644432909422</v>
      </c>
      <c r="Z103" s="43">
        <f t="shared" si="21"/>
        <v>-0.54837251107237728</v>
      </c>
      <c r="AA103" s="43">
        <f t="shared" si="22"/>
        <v>0.19520802366869403</v>
      </c>
      <c r="AB103" s="43">
        <f t="shared" si="23"/>
        <v>0.2693278594663196</v>
      </c>
    </row>
    <row r="104" spans="1:28">
      <c r="A104" s="48" t="s">
        <v>45</v>
      </c>
      <c r="B104" s="50">
        <v>350</v>
      </c>
      <c r="C104" s="50">
        <v>400</v>
      </c>
      <c r="D104" s="50">
        <v>1.85</v>
      </c>
      <c r="E104" s="50">
        <v>1353.7230507444972</v>
      </c>
      <c r="F104" s="50">
        <v>32444.968855548443</v>
      </c>
      <c r="G104" s="57" t="s">
        <v>87</v>
      </c>
      <c r="H104" s="50">
        <v>1.825</v>
      </c>
      <c r="I104" s="50">
        <v>200</v>
      </c>
      <c r="J104" s="50">
        <v>1287</v>
      </c>
      <c r="K104" s="50">
        <v>2471</v>
      </c>
      <c r="L104" s="50">
        <v>0.5</v>
      </c>
      <c r="M104" s="50">
        <v>160.82</v>
      </c>
      <c r="N104" s="51">
        <v>236</v>
      </c>
      <c r="O104" s="43">
        <f t="shared" si="12"/>
        <v>0.5</v>
      </c>
      <c r="P104" s="43">
        <f t="shared" si="13"/>
        <v>3656.873050744497</v>
      </c>
      <c r="Q104" s="43">
        <f t="shared" si="14"/>
        <v>5.9237319511292114E-5</v>
      </c>
      <c r="R104" s="43">
        <v>35</v>
      </c>
      <c r="S104" s="43">
        <f t="shared" si="15"/>
        <v>0.875</v>
      </c>
      <c r="T104" s="43">
        <f t="shared" si="16"/>
        <v>14.479439097696494</v>
      </c>
      <c r="U104" s="43" t="str" cm="1">
        <f t="array" ref="U104">_xlfn.IFS(T104&lt;3,"Group I",T104&lt;5,"Group II",T104&lt;10,"Group III",T104&lt;20,"Group IV",T104&lt;50,"Group V",T104&lt;100,"Group VI",T104&lt;200,"Group VII",T104&lt;500,"Group VIII",T104&lt;1000,"Group IX",TRUE,"Group X")</f>
        <v>Group IV</v>
      </c>
      <c r="V104" s="43">
        <f t="shared" si="17"/>
        <v>1.1607517385535697</v>
      </c>
      <c r="W104" s="43">
        <f t="shared" si="18"/>
        <v>0.23633750000000001</v>
      </c>
      <c r="X104" s="43">
        <f t="shared" si="19"/>
        <v>-0.62646736279023585</v>
      </c>
      <c r="Y104" s="43">
        <f t="shared" si="20"/>
        <v>1.4674791692575551</v>
      </c>
      <c r="Z104" s="43">
        <f t="shared" si="21"/>
        <v>0.1665719451900399</v>
      </c>
      <c r="AA104" s="43">
        <f t="shared" si="22"/>
        <v>0.77200102458967035</v>
      </c>
      <c r="AB104" s="43">
        <f t="shared" si="23"/>
        <v>0.41551618310725214</v>
      </c>
    </row>
    <row r="105" spans="1:28">
      <c r="A105" s="48" t="s">
        <v>45</v>
      </c>
      <c r="B105" s="50">
        <v>350</v>
      </c>
      <c r="C105" s="50">
        <v>600</v>
      </c>
      <c r="D105" s="50">
        <v>1.85</v>
      </c>
      <c r="E105" s="50">
        <v>1353.7230507444972</v>
      </c>
      <c r="F105" s="50">
        <v>32444.968855548443</v>
      </c>
      <c r="G105" s="57" t="s">
        <v>87</v>
      </c>
      <c r="H105" s="50">
        <v>1.825</v>
      </c>
      <c r="I105" s="50">
        <v>200</v>
      </c>
      <c r="J105" s="50">
        <v>1287</v>
      </c>
      <c r="K105" s="50">
        <v>2471</v>
      </c>
      <c r="L105" s="50">
        <v>0.5</v>
      </c>
      <c r="M105" s="50">
        <v>135.04</v>
      </c>
      <c r="N105" s="51">
        <v>139.11000000000001</v>
      </c>
      <c r="O105" s="43">
        <f t="shared" si="12"/>
        <v>0.5</v>
      </c>
      <c r="P105" s="43">
        <f t="shared" si="13"/>
        <v>3656.873050744497</v>
      </c>
      <c r="Q105" s="43">
        <f t="shared" si="14"/>
        <v>5.9237319511292114E-5</v>
      </c>
      <c r="R105" s="43">
        <v>35</v>
      </c>
      <c r="S105" s="43">
        <f t="shared" si="15"/>
        <v>0.58333333333333337</v>
      </c>
      <c r="T105" s="43">
        <f t="shared" si="16"/>
        <v>11.822412517020426</v>
      </c>
      <c r="U105" s="43" t="str" cm="1">
        <f t="array" ref="U105">_xlfn.IFS(T105&lt;3,"Group I",T105&lt;5,"Group II",T105&lt;10,"Group III",T105&lt;20,"Group IV",T105&lt;50,"Group V",T105&lt;100,"Group VI",T105&lt;200,"Group VII",T105&lt;500,"Group VIII",T105&lt;1000,"Group IX",TRUE,"Group X")</f>
        <v>Group IV</v>
      </c>
      <c r="V105" s="43">
        <f t="shared" si="17"/>
        <v>1.072706109025729</v>
      </c>
      <c r="W105" s="43">
        <f t="shared" si="18"/>
        <v>0.35450624999999997</v>
      </c>
      <c r="X105" s="43">
        <f t="shared" si="19"/>
        <v>-0.45037610373455467</v>
      </c>
      <c r="Y105" s="43">
        <f t="shared" si="20"/>
        <v>1.0301392180094788</v>
      </c>
      <c r="Z105" s="43">
        <f t="shared" si="21"/>
        <v>1.2895921333887098E-2</v>
      </c>
      <c r="AA105" s="43">
        <f t="shared" si="22"/>
        <v>0.64193502350240939</v>
      </c>
      <c r="AB105" s="43">
        <f t="shared" si="23"/>
        <v>0.39116424440376113</v>
      </c>
    </row>
    <row r="106" spans="1:28">
      <c r="A106" s="48" t="s">
        <v>45</v>
      </c>
      <c r="B106" s="50">
        <v>350</v>
      </c>
      <c r="C106" s="50">
        <v>800</v>
      </c>
      <c r="D106" s="50">
        <v>1.85</v>
      </c>
      <c r="E106" s="50">
        <v>1353.7230507444972</v>
      </c>
      <c r="F106" s="50">
        <v>32444.968855548443</v>
      </c>
      <c r="G106" s="57" t="s">
        <v>87</v>
      </c>
      <c r="H106" s="50">
        <v>1.825</v>
      </c>
      <c r="I106" s="50">
        <v>200</v>
      </c>
      <c r="J106" s="50">
        <v>1287</v>
      </c>
      <c r="K106" s="50">
        <v>2471</v>
      </c>
      <c r="L106" s="50">
        <v>0.5</v>
      </c>
      <c r="M106" s="50">
        <v>166.91</v>
      </c>
      <c r="N106" s="51">
        <v>104.25</v>
      </c>
      <c r="O106" s="43">
        <f t="shared" si="12"/>
        <v>0.5</v>
      </c>
      <c r="P106" s="43">
        <f t="shared" si="13"/>
        <v>3656.873050744497</v>
      </c>
      <c r="Q106" s="43">
        <f t="shared" si="14"/>
        <v>5.9237319511292114E-5</v>
      </c>
      <c r="R106" s="43">
        <v>35</v>
      </c>
      <c r="S106" s="43">
        <f t="shared" si="15"/>
        <v>0.4375</v>
      </c>
      <c r="T106" s="43">
        <f t="shared" si="16"/>
        <v>10.238509573758815</v>
      </c>
      <c r="U106" s="43" t="str" cm="1">
        <f t="array" ref="U106">_xlfn.IFS(T106&lt;3,"Group I",T106&lt;5,"Group II",T106&lt;10,"Group III",T106&lt;20,"Group IV",T106&lt;50,"Group V",T106&lt;100,"Group VI",T106&lt;200,"Group VII",T106&lt;500,"Group VIII",T106&lt;1000,"Group IX",TRUE,"Group X")</f>
        <v>Group IV</v>
      </c>
      <c r="V106" s="43">
        <f t="shared" si="17"/>
        <v>1.0102367407215791</v>
      </c>
      <c r="W106" s="43">
        <f t="shared" si="18"/>
        <v>0.47267500000000001</v>
      </c>
      <c r="X106" s="43">
        <f t="shared" si="19"/>
        <v>-0.32543736712625465</v>
      </c>
      <c r="Y106" s="43">
        <f t="shared" si="20"/>
        <v>0.62458810137199694</v>
      </c>
      <c r="Z106" s="43">
        <f t="shared" si="21"/>
        <v>-0.2044062934931162</v>
      </c>
      <c r="AA106" s="43">
        <f t="shared" si="22"/>
        <v>0.56317088939410931</v>
      </c>
      <c r="AB106" s="43">
        <f t="shared" si="23"/>
        <v>0.37475680271979744</v>
      </c>
    </row>
    <row r="107" spans="1:28">
      <c r="A107" s="48" t="s">
        <v>45</v>
      </c>
      <c r="B107" s="50">
        <v>350</v>
      </c>
      <c r="C107" s="50">
        <v>1000</v>
      </c>
      <c r="D107" s="50">
        <v>1.85</v>
      </c>
      <c r="E107" s="50">
        <v>1353.7230507444972</v>
      </c>
      <c r="F107" s="50">
        <v>32444.968855548443</v>
      </c>
      <c r="G107" s="57" t="s">
        <v>87</v>
      </c>
      <c r="H107" s="50">
        <v>1.825</v>
      </c>
      <c r="I107" s="50">
        <v>200</v>
      </c>
      <c r="J107" s="50">
        <v>1287</v>
      </c>
      <c r="K107" s="50">
        <v>2471</v>
      </c>
      <c r="L107" s="50">
        <v>0.5</v>
      </c>
      <c r="M107" s="50">
        <v>133.63999999999999</v>
      </c>
      <c r="N107" s="51">
        <v>69.2</v>
      </c>
      <c r="O107" s="43">
        <f t="shared" si="12"/>
        <v>0.5</v>
      </c>
      <c r="P107" s="43">
        <f t="shared" si="13"/>
        <v>3656.873050744497</v>
      </c>
      <c r="Q107" s="43">
        <f t="shared" si="14"/>
        <v>5.9237319511292114E-5</v>
      </c>
      <c r="R107" s="43">
        <v>35</v>
      </c>
      <c r="S107" s="43">
        <f t="shared" si="15"/>
        <v>0.35</v>
      </c>
      <c r="T107" s="43">
        <f t="shared" si="16"/>
        <v>9.1576013580828448</v>
      </c>
      <c r="U107" s="43" t="str" cm="1">
        <f t="array" ref="U107">_xlfn.IFS(T107&lt;3,"Group I",T107&lt;5,"Group II",T107&lt;10,"Group III",T107&lt;20,"Group IV",T107&lt;50,"Group V",T107&lt;100,"Group VI",T107&lt;200,"Group VII",T107&lt;500,"Group VIII",T107&lt;1000,"Group IX",TRUE,"Group X")</f>
        <v>Group III</v>
      </c>
      <c r="V107" s="43">
        <f t="shared" si="17"/>
        <v>0.96178173421755098</v>
      </c>
      <c r="W107" s="43">
        <f t="shared" si="18"/>
        <v>0.59084375</v>
      </c>
      <c r="X107" s="43">
        <f t="shared" si="19"/>
        <v>-0.22852735411819824</v>
      </c>
      <c r="Y107" s="43">
        <f t="shared" si="20"/>
        <v>0.51780903920981747</v>
      </c>
      <c r="Z107" s="43">
        <f t="shared" si="21"/>
        <v>-0.28583037250933585</v>
      </c>
      <c r="AA107" s="43">
        <f t="shared" si="22"/>
        <v>0.50879546837363543</v>
      </c>
      <c r="AB107" s="43">
        <f t="shared" si="23"/>
        <v>0.36250564896956095</v>
      </c>
    </row>
    <row r="108" spans="1:28">
      <c r="A108" s="48" t="s">
        <v>45</v>
      </c>
      <c r="B108" s="50">
        <v>350</v>
      </c>
      <c r="C108" s="50">
        <v>1200</v>
      </c>
      <c r="D108" s="50">
        <v>1.85</v>
      </c>
      <c r="E108" s="50">
        <v>1353.7230507444972</v>
      </c>
      <c r="F108" s="50">
        <v>32444.968855548443</v>
      </c>
      <c r="G108" s="57" t="s">
        <v>87</v>
      </c>
      <c r="H108" s="50">
        <v>1.825</v>
      </c>
      <c r="I108" s="50">
        <v>200</v>
      </c>
      <c r="J108" s="50">
        <v>1287</v>
      </c>
      <c r="K108" s="50">
        <v>2471</v>
      </c>
      <c r="L108" s="50">
        <v>0.5</v>
      </c>
      <c r="M108" s="50">
        <v>115.47</v>
      </c>
      <c r="N108" s="51">
        <v>44.65</v>
      </c>
      <c r="O108" s="43">
        <f t="shared" si="12"/>
        <v>0.5</v>
      </c>
      <c r="P108" s="43">
        <f t="shared" si="13"/>
        <v>3656.873050744497</v>
      </c>
      <c r="Q108" s="43">
        <f t="shared" si="14"/>
        <v>5.9237319511292114E-5</v>
      </c>
      <c r="R108" s="43">
        <v>35</v>
      </c>
      <c r="S108" s="43">
        <f t="shared" si="15"/>
        <v>0.29166666666666669</v>
      </c>
      <c r="T108" s="43">
        <f t="shared" si="16"/>
        <v>8.3597080607698633</v>
      </c>
      <c r="U108" s="43" t="str" cm="1">
        <f t="array" ref="U108">_xlfn.IFS(T108&lt;3,"Group I",T108&lt;5,"Group II",T108&lt;10,"Group III",T108&lt;20,"Group IV",T108&lt;50,"Group V",T108&lt;100,"Group VI",T108&lt;200,"Group VII",T108&lt;500,"Group VIII",T108&lt;1000,"Group IX",TRUE,"Group X")</f>
        <v>Group III</v>
      </c>
      <c r="V108" s="43">
        <f t="shared" si="17"/>
        <v>0.92219111119373853</v>
      </c>
      <c r="W108" s="43">
        <f t="shared" si="18"/>
        <v>0.70901249999999993</v>
      </c>
      <c r="X108" s="43">
        <f t="shared" si="19"/>
        <v>-0.14934610807057347</v>
      </c>
      <c r="Y108" s="43">
        <f t="shared" si="20"/>
        <v>0.38668052307958778</v>
      </c>
      <c r="Z108" s="43">
        <f t="shared" si="21"/>
        <v>-0.41264770258968814</v>
      </c>
      <c r="AA108" s="43">
        <f t="shared" si="22"/>
        <v>0.46828839160055902</v>
      </c>
      <c r="AB108" s="43">
        <f t="shared" si="23"/>
        <v>0.35279362761479033</v>
      </c>
    </row>
    <row r="109" spans="1:28">
      <c r="A109" s="48" t="s">
        <v>45</v>
      </c>
      <c r="B109" s="50">
        <v>350</v>
      </c>
      <c r="C109" s="50">
        <v>1600</v>
      </c>
      <c r="D109" s="50">
        <v>1.85</v>
      </c>
      <c r="E109" s="50">
        <v>1353.7230507444972</v>
      </c>
      <c r="F109" s="50">
        <v>32444.968855548443</v>
      </c>
      <c r="G109" s="57" t="s">
        <v>87</v>
      </c>
      <c r="H109" s="50">
        <v>1.825</v>
      </c>
      <c r="I109" s="50">
        <v>200</v>
      </c>
      <c r="J109" s="50">
        <v>1287</v>
      </c>
      <c r="K109" s="50">
        <v>2471</v>
      </c>
      <c r="L109" s="50">
        <v>0.5</v>
      </c>
      <c r="M109" s="50">
        <v>104.91</v>
      </c>
      <c r="N109" s="51">
        <v>30</v>
      </c>
      <c r="O109" s="43">
        <f t="shared" si="12"/>
        <v>0.5</v>
      </c>
      <c r="P109" s="43">
        <f t="shared" si="13"/>
        <v>3656.873050744497</v>
      </c>
      <c r="Q109" s="43">
        <f t="shared" si="14"/>
        <v>5.9237319511292114E-5</v>
      </c>
      <c r="R109" s="43">
        <v>35</v>
      </c>
      <c r="S109" s="43">
        <f t="shared" si="15"/>
        <v>0.21875</v>
      </c>
      <c r="T109" s="43">
        <f t="shared" si="16"/>
        <v>7.2397195488482469</v>
      </c>
      <c r="U109" s="43" t="str" cm="1">
        <f t="array" ref="U109">_xlfn.IFS(T109&lt;3,"Group I",T109&lt;5,"Group II",T109&lt;10,"Group III",T109&lt;20,"Group IV",T109&lt;50,"Group V",T109&lt;100,"Group VI",T109&lt;200,"Group VII",T109&lt;500,"Group VIII",T109&lt;1000,"Group IX",TRUE,"Group X")</f>
        <v>Group III</v>
      </c>
      <c r="V109" s="43">
        <f t="shared" si="17"/>
        <v>0.85972174288958847</v>
      </c>
      <c r="W109" s="43">
        <f t="shared" si="18"/>
        <v>0.94535000000000002</v>
      </c>
      <c r="X109" s="43">
        <f t="shared" si="19"/>
        <v>-2.4407371462273456E-2</v>
      </c>
      <c r="Y109" s="43">
        <f t="shared" si="20"/>
        <v>0.2859593937660852</v>
      </c>
      <c r="Z109" s="43">
        <f t="shared" si="21"/>
        <v>-0.54369563230924478</v>
      </c>
      <c r="AA109" s="43">
        <f t="shared" si="22"/>
        <v>0.41083034938914476</v>
      </c>
      <c r="AB109" s="43">
        <f t="shared" si="23"/>
        <v>0.33799564708774404</v>
      </c>
    </row>
    <row r="110" spans="1:28">
      <c r="A110" s="48" t="s">
        <v>45</v>
      </c>
      <c r="B110" s="50">
        <v>350</v>
      </c>
      <c r="C110" s="50">
        <v>2000</v>
      </c>
      <c r="D110" s="50">
        <v>1.85</v>
      </c>
      <c r="E110" s="50">
        <v>1353.7230507444972</v>
      </c>
      <c r="F110" s="50">
        <v>32444.968855548443</v>
      </c>
      <c r="G110" s="57" t="s">
        <v>87</v>
      </c>
      <c r="H110" s="50">
        <v>1.825</v>
      </c>
      <c r="I110" s="50">
        <v>200</v>
      </c>
      <c r="J110" s="50">
        <v>1287</v>
      </c>
      <c r="K110" s="50">
        <v>2471</v>
      </c>
      <c r="L110" s="50">
        <v>0.5</v>
      </c>
      <c r="M110" s="50">
        <v>99.67</v>
      </c>
      <c r="N110" s="51">
        <v>21.17</v>
      </c>
      <c r="O110" s="43">
        <f t="shared" si="12"/>
        <v>0.5</v>
      </c>
      <c r="P110" s="43">
        <f t="shared" si="13"/>
        <v>3656.873050744497</v>
      </c>
      <c r="Q110" s="43">
        <f t="shared" si="14"/>
        <v>5.9237319511292114E-5</v>
      </c>
      <c r="R110" s="43">
        <v>35</v>
      </c>
      <c r="S110" s="43">
        <f t="shared" si="15"/>
        <v>0.17499999999999999</v>
      </c>
      <c r="T110" s="43">
        <f t="shared" si="16"/>
        <v>6.475402019703516</v>
      </c>
      <c r="U110" s="43" t="str" cm="1">
        <f t="array" ref="U110">_xlfn.IFS(T110&lt;3,"Group I",T110&lt;5,"Group II",T110&lt;10,"Group III",T110&lt;20,"Group IV",T110&lt;50,"Group V",T110&lt;100,"Group VI",T110&lt;200,"Group VII",T110&lt;500,"Group VIII",T110&lt;1000,"Group IX",TRUE,"Group X")</f>
        <v>Group III</v>
      </c>
      <c r="V110" s="43">
        <f t="shared" si="17"/>
        <v>0.81126673638556024</v>
      </c>
      <c r="W110" s="43">
        <f t="shared" si="18"/>
        <v>1.1816875</v>
      </c>
      <c r="X110" s="43">
        <f t="shared" si="19"/>
        <v>7.2502641545782953E-2</v>
      </c>
      <c r="Y110" s="43">
        <f t="shared" si="20"/>
        <v>0.21240092304605199</v>
      </c>
      <c r="Z110" s="43">
        <f t="shared" si="21"/>
        <v>-0.67284360024152967</v>
      </c>
      <c r="AA110" s="43">
        <f t="shared" si="22"/>
        <v>0.37116375149368752</v>
      </c>
      <c r="AB110" s="43">
        <f t="shared" si="23"/>
        <v>0.32694625022735208</v>
      </c>
    </row>
    <row r="111" spans="1:28">
      <c r="A111" s="48" t="s">
        <v>45</v>
      </c>
      <c r="B111" s="50">
        <v>350</v>
      </c>
      <c r="C111" s="50">
        <v>2400</v>
      </c>
      <c r="D111" s="50">
        <v>1.85</v>
      </c>
      <c r="E111" s="50">
        <v>1353.7230507444972</v>
      </c>
      <c r="F111" s="50">
        <v>32444.968855548443</v>
      </c>
      <c r="G111" s="57" t="s">
        <v>87</v>
      </c>
      <c r="H111" s="50">
        <v>1.825</v>
      </c>
      <c r="I111" s="50">
        <v>200</v>
      </c>
      <c r="J111" s="50">
        <v>1287</v>
      </c>
      <c r="K111" s="50">
        <v>2471</v>
      </c>
      <c r="L111" s="50">
        <v>0.5</v>
      </c>
      <c r="M111" s="50">
        <v>58.77</v>
      </c>
      <c r="N111" s="51">
        <v>12.95</v>
      </c>
      <c r="O111" s="43">
        <f t="shared" si="12"/>
        <v>0.5</v>
      </c>
      <c r="P111" s="43">
        <f t="shared" si="13"/>
        <v>3656.873050744497</v>
      </c>
      <c r="Q111" s="43">
        <f t="shared" si="14"/>
        <v>5.9237319511292114E-5</v>
      </c>
      <c r="R111" s="43">
        <v>35</v>
      </c>
      <c r="S111" s="43">
        <f t="shared" si="15"/>
        <v>0.14583333333333334</v>
      </c>
      <c r="T111" s="43">
        <f t="shared" si="16"/>
        <v>5.9112062585102132</v>
      </c>
      <c r="U111" s="43" t="str" cm="1">
        <f t="array" ref="U111">_xlfn.IFS(T111&lt;3,"Group I",T111&lt;5,"Group II",T111&lt;10,"Group III",T111&lt;20,"Group IV",T111&lt;50,"Group V",T111&lt;100,"Group VI",T111&lt;200,"Group VII",T111&lt;500,"Group VIII",T111&lt;1000,"Group IX",TRUE,"Group X")</f>
        <v>Group III</v>
      </c>
      <c r="V111" s="43">
        <f t="shared" si="17"/>
        <v>0.77167611336174791</v>
      </c>
      <c r="W111" s="43">
        <f t="shared" si="18"/>
        <v>1.4180249999999999</v>
      </c>
      <c r="X111" s="43">
        <f t="shared" si="19"/>
        <v>0.15168388759340773</v>
      </c>
      <c r="Y111" s="43">
        <f t="shared" si="20"/>
        <v>0.22035051897226474</v>
      </c>
      <c r="Z111" s="43">
        <f t="shared" si="21"/>
        <v>-0.65688592229712817</v>
      </c>
      <c r="AA111" s="43">
        <f t="shared" si="22"/>
        <v>0.34161404142021451</v>
      </c>
      <c r="AB111" s="43">
        <f t="shared" si="23"/>
        <v>0.31818691372295227</v>
      </c>
    </row>
    <row r="112" spans="1:28">
      <c r="A112" s="48" t="s">
        <v>45</v>
      </c>
      <c r="B112" s="50">
        <v>100</v>
      </c>
      <c r="C112" s="50">
        <v>300</v>
      </c>
      <c r="D112" s="50">
        <v>1.85</v>
      </c>
      <c r="E112" s="50">
        <v>1353.7230507444972</v>
      </c>
      <c r="F112" s="50">
        <v>32444.968855548443</v>
      </c>
      <c r="G112" s="57" t="s">
        <v>87</v>
      </c>
      <c r="H112" s="50">
        <v>1.825</v>
      </c>
      <c r="I112" s="50">
        <v>200</v>
      </c>
      <c r="J112" s="50">
        <v>1287</v>
      </c>
      <c r="K112" s="50">
        <v>2471</v>
      </c>
      <c r="L112" s="50">
        <v>0.5</v>
      </c>
      <c r="M112" s="50">
        <v>87.9</v>
      </c>
      <c r="N112" s="51">
        <v>69.78</v>
      </c>
      <c r="O112" s="43">
        <f t="shared" si="12"/>
        <v>0.5</v>
      </c>
      <c r="P112" s="43">
        <f t="shared" si="13"/>
        <v>3656.873050744497</v>
      </c>
      <c r="Q112" s="43">
        <f t="shared" si="14"/>
        <v>5.9237319511292114E-5</v>
      </c>
      <c r="R112" s="43">
        <v>35</v>
      </c>
      <c r="S112" s="43">
        <f t="shared" si="15"/>
        <v>0.33333333333333331</v>
      </c>
      <c r="T112" s="43">
        <f t="shared" si="16"/>
        <v>4.776976034725636</v>
      </c>
      <c r="U112" s="43" t="str" cm="1">
        <f t="array" ref="U112">_xlfn.IFS(T112&lt;3,"Group I",T112&lt;5,"Group II",T112&lt;10,"Group III",T112&lt;20,"Group IV",T112&lt;50,"Group V",T112&lt;100,"Group VI",T112&lt;200,"Group VII",T112&lt;500,"Group VIII",T112&lt;1000,"Group IX",TRUE,"Group X")</f>
        <v>Group II</v>
      </c>
      <c r="V112" s="43">
        <f t="shared" si="17"/>
        <v>0.67915306250744401</v>
      </c>
      <c r="W112" s="43">
        <f t="shared" si="18"/>
        <v>0.17725312499999998</v>
      </c>
      <c r="X112" s="43">
        <f t="shared" si="19"/>
        <v>-0.75140609939853586</v>
      </c>
      <c r="Y112" s="43">
        <f t="shared" si="20"/>
        <v>0.7938566552901023</v>
      </c>
      <c r="Z112" s="43">
        <f t="shared" si="21"/>
        <v>-0.10025790996167989</v>
      </c>
      <c r="AA112" s="43">
        <f t="shared" si="22"/>
        <v>0.25142051155430234</v>
      </c>
      <c r="AB112" s="43">
        <f t="shared" si="23"/>
        <v>0.29862055433738388</v>
      </c>
    </row>
    <row r="113" spans="1:28">
      <c r="A113" s="48" t="s">
        <v>45</v>
      </c>
      <c r="B113" s="50">
        <v>150</v>
      </c>
      <c r="C113" s="50">
        <v>300</v>
      </c>
      <c r="D113" s="50">
        <v>1.85</v>
      </c>
      <c r="E113" s="50">
        <v>1353.7230507444972</v>
      </c>
      <c r="F113" s="50">
        <v>32444.968855548443</v>
      </c>
      <c r="G113" s="57" t="s">
        <v>87</v>
      </c>
      <c r="H113" s="50">
        <v>1.825</v>
      </c>
      <c r="I113" s="50">
        <v>200</v>
      </c>
      <c r="J113" s="50">
        <v>1287</v>
      </c>
      <c r="K113" s="50">
        <v>2471</v>
      </c>
      <c r="L113" s="50">
        <v>0.5</v>
      </c>
      <c r="M113" s="50">
        <v>107.14</v>
      </c>
      <c r="N113" s="51">
        <v>141.35</v>
      </c>
      <c r="O113" s="43">
        <f t="shared" si="12"/>
        <v>0.5</v>
      </c>
      <c r="P113" s="43">
        <f t="shared" si="13"/>
        <v>3656.873050744497</v>
      </c>
      <c r="Q113" s="43">
        <f t="shared" si="14"/>
        <v>5.9237319511292114E-5</v>
      </c>
      <c r="R113" s="43">
        <v>35</v>
      </c>
      <c r="S113" s="43">
        <f t="shared" si="15"/>
        <v>0.5</v>
      </c>
      <c r="T113" s="43">
        <f t="shared" si="16"/>
        <v>7.1654640520884545</v>
      </c>
      <c r="U113" s="43" t="str" cm="1">
        <f t="array" ref="U113">_xlfn.IFS(T113&lt;3,"Group I",T113&lt;5,"Group II",T113&lt;10,"Group III",T113&lt;20,"Group IV",T113&lt;50,"Group V",T113&lt;100,"Group VI",T113&lt;200,"Group VII",T113&lt;500,"Group VIII",T113&lt;1000,"Group IX",TRUE,"Group X")</f>
        <v>Group III</v>
      </c>
      <c r="V113" s="43">
        <f t="shared" si="17"/>
        <v>0.85524432156312535</v>
      </c>
      <c r="W113" s="43">
        <f t="shared" si="18"/>
        <v>0.17725312499999998</v>
      </c>
      <c r="X113" s="43">
        <f t="shared" si="19"/>
        <v>-0.75140609939853586</v>
      </c>
      <c r="Y113" s="43">
        <f t="shared" si="20"/>
        <v>1.3193018480492813</v>
      </c>
      <c r="Z113" s="43">
        <f t="shared" si="21"/>
        <v>0.12034417078869782</v>
      </c>
      <c r="AA113" s="43">
        <f t="shared" si="22"/>
        <v>0.37713076733145356</v>
      </c>
      <c r="AB113" s="43">
        <f t="shared" si="23"/>
        <v>0.3369591728272287</v>
      </c>
    </row>
    <row r="114" spans="1:28">
      <c r="A114" s="48" t="s">
        <v>45</v>
      </c>
      <c r="B114" s="50">
        <v>200</v>
      </c>
      <c r="C114" s="50">
        <v>300</v>
      </c>
      <c r="D114" s="50">
        <v>1.85</v>
      </c>
      <c r="E114" s="50">
        <v>1353.7230507444972</v>
      </c>
      <c r="F114" s="50">
        <v>32444.968855548443</v>
      </c>
      <c r="G114" s="57" t="s">
        <v>87</v>
      </c>
      <c r="H114" s="50">
        <v>1.825</v>
      </c>
      <c r="I114" s="50">
        <v>200</v>
      </c>
      <c r="J114" s="50">
        <v>1287</v>
      </c>
      <c r="K114" s="50">
        <v>2471</v>
      </c>
      <c r="L114" s="50">
        <v>0.5</v>
      </c>
      <c r="M114" s="50">
        <v>142.58000000000001</v>
      </c>
      <c r="N114" s="51">
        <v>248.74</v>
      </c>
      <c r="O114" s="43">
        <f t="shared" si="12"/>
        <v>0.5</v>
      </c>
      <c r="P114" s="43">
        <f t="shared" si="13"/>
        <v>3656.873050744497</v>
      </c>
      <c r="Q114" s="43">
        <f t="shared" si="14"/>
        <v>5.9237319511292114E-5</v>
      </c>
      <c r="R114" s="43">
        <v>35</v>
      </c>
      <c r="S114" s="43">
        <f t="shared" si="15"/>
        <v>0.66666666666666663</v>
      </c>
      <c r="T114" s="43">
        <f t="shared" si="16"/>
        <v>9.5539520694512721</v>
      </c>
      <c r="U114" s="43" t="str" cm="1">
        <f t="array" ref="U114">_xlfn.IFS(T114&lt;3,"Group I",T114&lt;5,"Group II",T114&lt;10,"Group III",T114&lt;20,"Group IV",T114&lt;50,"Group V",T114&lt;100,"Group VI",T114&lt;200,"Group VII",T114&lt;500,"Group VIII",T114&lt;1000,"Group IX",TRUE,"Group X")</f>
        <v>Group III</v>
      </c>
      <c r="V114" s="43">
        <f t="shared" si="17"/>
        <v>0.98018305817142526</v>
      </c>
      <c r="W114" s="43">
        <f t="shared" si="18"/>
        <v>0.17725312499999998</v>
      </c>
      <c r="X114" s="43">
        <f t="shared" si="19"/>
        <v>-0.75140609939853586</v>
      </c>
      <c r="Y114" s="43">
        <f t="shared" si="20"/>
        <v>1.744564455042783</v>
      </c>
      <c r="Z114" s="43">
        <f t="shared" si="21"/>
        <v>0.2416870196151972</v>
      </c>
      <c r="AA114" s="43">
        <f t="shared" si="22"/>
        <v>0.50284102310860468</v>
      </c>
      <c r="AB114" s="43">
        <f t="shared" si="23"/>
        <v>0.3671102690367779</v>
      </c>
    </row>
    <row r="115" spans="1:28">
      <c r="A115" s="48" t="s">
        <v>45</v>
      </c>
      <c r="B115" s="50">
        <v>250</v>
      </c>
      <c r="C115" s="50">
        <v>300</v>
      </c>
      <c r="D115" s="50">
        <v>1.85</v>
      </c>
      <c r="E115" s="50">
        <v>1353.7230507444972</v>
      </c>
      <c r="F115" s="50">
        <v>32444.968855548443</v>
      </c>
      <c r="G115" s="57" t="s">
        <v>87</v>
      </c>
      <c r="H115" s="50">
        <v>1.825</v>
      </c>
      <c r="I115" s="50">
        <v>200</v>
      </c>
      <c r="J115" s="50">
        <v>1287</v>
      </c>
      <c r="K115" s="50">
        <v>2471</v>
      </c>
      <c r="L115" s="50">
        <v>0.5</v>
      </c>
      <c r="M115" s="50">
        <v>161.22999999999999</v>
      </c>
      <c r="N115" s="51">
        <v>319.27999999999997</v>
      </c>
      <c r="O115" s="43">
        <f t="shared" si="12"/>
        <v>0.5</v>
      </c>
      <c r="P115" s="43">
        <f t="shared" si="13"/>
        <v>3656.873050744497</v>
      </c>
      <c r="Q115" s="43">
        <f t="shared" si="14"/>
        <v>5.9237319511292114E-5</v>
      </c>
      <c r="R115" s="43">
        <v>35</v>
      </c>
      <c r="S115" s="43">
        <f t="shared" si="15"/>
        <v>0.83333333333333337</v>
      </c>
      <c r="T115" s="43">
        <f t="shared" si="16"/>
        <v>11.942440086814091</v>
      </c>
      <c r="U115" s="43" t="str" cm="1">
        <f t="array" ref="U115">_xlfn.IFS(T115&lt;3,"Group I",T115&lt;5,"Group II",T115&lt;10,"Group III",T115&lt;20,"Group IV",T115&lt;50,"Group V",T115&lt;100,"Group VI",T115&lt;200,"Group VII",T115&lt;500,"Group VIII",T115&lt;1000,"Group IX",TRUE,"Group X")</f>
        <v>Group IV</v>
      </c>
      <c r="V115" s="43">
        <f t="shared" si="17"/>
        <v>1.0770930711794817</v>
      </c>
      <c r="W115" s="43">
        <f t="shared" si="18"/>
        <v>0.17725312499999998</v>
      </c>
      <c r="X115" s="43">
        <f t="shared" si="19"/>
        <v>-0.75140609939853586</v>
      </c>
      <c r="Y115" s="43">
        <f t="shared" si="20"/>
        <v>1.9802766234571729</v>
      </c>
      <c r="Z115" s="43">
        <f t="shared" si="21"/>
        <v>0.29672586079171531</v>
      </c>
      <c r="AA115" s="43">
        <f t="shared" si="22"/>
        <v>0.62855127888575602</v>
      </c>
      <c r="AB115" s="43">
        <f t="shared" si="23"/>
        <v>0.39234310603125211</v>
      </c>
    </row>
    <row r="116" spans="1:28">
      <c r="A116" s="48" t="s">
        <v>45</v>
      </c>
      <c r="B116" s="50">
        <v>300</v>
      </c>
      <c r="C116" s="50">
        <v>300</v>
      </c>
      <c r="D116" s="50">
        <v>1.85</v>
      </c>
      <c r="E116" s="50">
        <v>1353.7230507444972</v>
      </c>
      <c r="F116" s="50">
        <v>32444.968855548443</v>
      </c>
      <c r="G116" s="57" t="s">
        <v>87</v>
      </c>
      <c r="H116" s="50">
        <v>1.825</v>
      </c>
      <c r="I116" s="50">
        <v>200</v>
      </c>
      <c r="J116" s="50">
        <v>1287</v>
      </c>
      <c r="K116" s="50">
        <v>2471</v>
      </c>
      <c r="L116" s="50">
        <v>0.5</v>
      </c>
      <c r="M116" s="50">
        <v>165.32</v>
      </c>
      <c r="N116" s="51">
        <v>360</v>
      </c>
      <c r="O116" s="43">
        <f t="shared" si="12"/>
        <v>0.5</v>
      </c>
      <c r="P116" s="43">
        <f t="shared" si="13"/>
        <v>3656.873050744497</v>
      </c>
      <c r="Q116" s="43">
        <f t="shared" si="14"/>
        <v>5.9237319511292114E-5</v>
      </c>
      <c r="R116" s="43">
        <v>35</v>
      </c>
      <c r="S116" s="43">
        <f t="shared" si="15"/>
        <v>1</v>
      </c>
      <c r="T116" s="43">
        <f t="shared" si="16"/>
        <v>14.330928104176909</v>
      </c>
      <c r="U116" s="43" t="str" cm="1">
        <f t="array" ref="U116">_xlfn.IFS(T116&lt;3,"Group I",T116&lt;5,"Group II",T116&lt;10,"Group III",T116&lt;20,"Group IV",T116&lt;50,"Group V",T116&lt;100,"Group VI",T116&lt;200,"Group VII",T116&lt;500,"Group VIII",T116&lt;1000,"Group IX",TRUE,"Group X")</f>
        <v>Group IV</v>
      </c>
      <c r="V116" s="43">
        <f t="shared" si="17"/>
        <v>1.1562743172271064</v>
      </c>
      <c r="W116" s="43">
        <f t="shared" si="18"/>
        <v>0.17725312499999998</v>
      </c>
      <c r="X116" s="43">
        <f t="shared" si="19"/>
        <v>-0.75140609939853586</v>
      </c>
      <c r="Y116" s="43">
        <f t="shared" si="20"/>
        <v>2.1775949673360757</v>
      </c>
      <c r="Z116" s="43">
        <f t="shared" si="21"/>
        <v>0.33797710415761673</v>
      </c>
      <c r="AA116" s="43">
        <f t="shared" si="22"/>
        <v>0.75426153466290713</v>
      </c>
      <c r="AB116" s="43">
        <f t="shared" si="23"/>
        <v>0.41424198968988424</v>
      </c>
    </row>
    <row r="117" spans="1:28">
      <c r="A117" s="48" t="s">
        <v>45</v>
      </c>
      <c r="B117" s="50">
        <v>100</v>
      </c>
      <c r="C117" s="50">
        <v>600</v>
      </c>
      <c r="D117" s="50">
        <v>1.85</v>
      </c>
      <c r="E117" s="50">
        <v>1353.7230507444972</v>
      </c>
      <c r="F117" s="50">
        <v>32444.968855548443</v>
      </c>
      <c r="G117" s="57" t="s">
        <v>87</v>
      </c>
      <c r="H117" s="50">
        <v>1.825</v>
      </c>
      <c r="I117" s="50">
        <v>200</v>
      </c>
      <c r="J117" s="50">
        <v>1287</v>
      </c>
      <c r="K117" s="50">
        <v>2471</v>
      </c>
      <c r="L117" s="50">
        <v>0.5</v>
      </c>
      <c r="M117" s="50">
        <v>62.2</v>
      </c>
      <c r="N117" s="51">
        <v>28.8</v>
      </c>
      <c r="O117" s="43">
        <f t="shared" si="12"/>
        <v>0.5</v>
      </c>
      <c r="P117" s="43">
        <f t="shared" si="13"/>
        <v>3656.873050744497</v>
      </c>
      <c r="Q117" s="43">
        <f t="shared" si="14"/>
        <v>5.9237319511292114E-5</v>
      </c>
      <c r="R117" s="43">
        <v>35</v>
      </c>
      <c r="S117" s="43">
        <f t="shared" si="15"/>
        <v>0.16666666666666666</v>
      </c>
      <c r="T117" s="43">
        <f t="shared" si="16"/>
        <v>3.3778321477201221</v>
      </c>
      <c r="U117" s="43" t="str" cm="1">
        <f t="array" ref="U117">_xlfn.IFS(T117&lt;3,"Group I",T117&lt;5,"Group II",T117&lt;10,"Group III",T117&lt;20,"Group IV",T117&lt;50,"Group V",T117&lt;100,"Group VI",T117&lt;200,"Group VII",T117&lt;500,"Group VIII",T117&lt;1000,"Group IX",TRUE,"Group X")</f>
        <v>Group II</v>
      </c>
      <c r="V117" s="43">
        <f t="shared" si="17"/>
        <v>0.52863806467545349</v>
      </c>
      <c r="W117" s="43">
        <f t="shared" si="18"/>
        <v>0.35450624999999997</v>
      </c>
      <c r="X117" s="43">
        <f t="shared" si="19"/>
        <v>-0.45037610373455467</v>
      </c>
      <c r="Y117" s="43">
        <f t="shared" si="20"/>
        <v>0.46302250803858519</v>
      </c>
      <c r="Z117" s="43">
        <f t="shared" si="21"/>
        <v>-0.33439789693158789</v>
      </c>
      <c r="AA117" s="43">
        <f t="shared" si="22"/>
        <v>0.18341000671497415</v>
      </c>
      <c r="AB117" s="43">
        <f t="shared" si="23"/>
        <v>0.2693278594663196</v>
      </c>
    </row>
    <row r="118" spans="1:28">
      <c r="A118" s="48" t="s">
        <v>45</v>
      </c>
      <c r="B118" s="50">
        <v>150</v>
      </c>
      <c r="C118" s="50">
        <v>600</v>
      </c>
      <c r="D118" s="50">
        <v>1.85</v>
      </c>
      <c r="E118" s="50">
        <v>1353.7230507444972</v>
      </c>
      <c r="F118" s="50">
        <v>32444.968855548443</v>
      </c>
      <c r="G118" s="57" t="s">
        <v>87</v>
      </c>
      <c r="H118" s="50">
        <v>1.825</v>
      </c>
      <c r="I118" s="50">
        <v>200</v>
      </c>
      <c r="J118" s="50">
        <v>1287</v>
      </c>
      <c r="K118" s="50">
        <v>2471</v>
      </c>
      <c r="L118" s="50">
        <v>0.5</v>
      </c>
      <c r="M118" s="50">
        <v>76.45</v>
      </c>
      <c r="N118" s="51">
        <v>41.88</v>
      </c>
      <c r="O118" s="43">
        <f t="shared" si="12"/>
        <v>0.5</v>
      </c>
      <c r="P118" s="43">
        <f t="shared" si="13"/>
        <v>3656.873050744497</v>
      </c>
      <c r="Q118" s="43">
        <f t="shared" si="14"/>
        <v>5.9237319511292114E-5</v>
      </c>
      <c r="R118" s="43">
        <v>35</v>
      </c>
      <c r="S118" s="43">
        <f t="shared" si="15"/>
        <v>0.25</v>
      </c>
      <c r="T118" s="43">
        <f t="shared" si="16"/>
        <v>5.0667482215801831</v>
      </c>
      <c r="U118" s="43" t="str" cm="1">
        <f t="array" ref="U118">_xlfn.IFS(T118&lt;3,"Group I",T118&lt;5,"Group II",T118&lt;10,"Group III",T118&lt;20,"Group IV",T118&lt;50,"Group V",T118&lt;100,"Group VI",T118&lt;200,"Group VII",T118&lt;500,"Group VIII",T118&lt;1000,"Group IX",TRUE,"Group X")</f>
        <v>Group III</v>
      </c>
      <c r="V118" s="43">
        <f t="shared" si="17"/>
        <v>0.70472932373113473</v>
      </c>
      <c r="W118" s="43">
        <f t="shared" si="18"/>
        <v>0.35450624999999997</v>
      </c>
      <c r="X118" s="43">
        <f t="shared" si="19"/>
        <v>-0.45037610373455467</v>
      </c>
      <c r="Y118" s="43">
        <f t="shared" si="20"/>
        <v>0.54780902550686728</v>
      </c>
      <c r="Z118" s="43">
        <f t="shared" si="21"/>
        <v>-0.26137081674153417</v>
      </c>
      <c r="AA118" s="43">
        <f t="shared" si="22"/>
        <v>0.27511501007246125</v>
      </c>
      <c r="AB118" s="43">
        <f t="shared" si="23"/>
        <v>0.30390571387984988</v>
      </c>
    </row>
    <row r="119" spans="1:28">
      <c r="A119" s="48" t="s">
        <v>45</v>
      </c>
      <c r="B119" s="50">
        <v>200</v>
      </c>
      <c r="C119" s="50">
        <v>600</v>
      </c>
      <c r="D119" s="50">
        <v>1.85</v>
      </c>
      <c r="E119" s="50">
        <v>1353.7230507444972</v>
      </c>
      <c r="F119" s="50">
        <v>32444.968855548443</v>
      </c>
      <c r="G119" s="57" t="s">
        <v>87</v>
      </c>
      <c r="H119" s="50">
        <v>1.825</v>
      </c>
      <c r="I119" s="50">
        <v>200</v>
      </c>
      <c r="J119" s="50">
        <v>1287</v>
      </c>
      <c r="K119" s="50">
        <v>2471</v>
      </c>
      <c r="L119" s="50">
        <v>0.5</v>
      </c>
      <c r="M119" s="50">
        <v>102.34</v>
      </c>
      <c r="N119" s="51">
        <v>107.16</v>
      </c>
      <c r="O119" s="43">
        <f t="shared" si="12"/>
        <v>0.5</v>
      </c>
      <c r="P119" s="43">
        <f t="shared" si="13"/>
        <v>3656.873050744497</v>
      </c>
      <c r="Q119" s="43">
        <f t="shared" si="14"/>
        <v>5.9237319511292114E-5</v>
      </c>
      <c r="R119" s="43">
        <v>35</v>
      </c>
      <c r="S119" s="43">
        <f t="shared" si="15"/>
        <v>0.33333333333333331</v>
      </c>
      <c r="T119" s="43">
        <f t="shared" si="16"/>
        <v>6.7556642954402442</v>
      </c>
      <c r="U119" s="43" t="str" cm="1">
        <f t="array" ref="U119">_xlfn.IFS(T119&lt;3,"Group I",T119&lt;5,"Group II",T119&lt;10,"Group III",T119&lt;20,"Group IV",T119&lt;50,"Group V",T119&lt;100,"Group VI",T119&lt;200,"Group VII",T119&lt;500,"Group VIII",T119&lt;1000,"Group IX",TRUE,"Group X")</f>
        <v>Group III</v>
      </c>
      <c r="V119" s="43">
        <f t="shared" si="17"/>
        <v>0.82966806033943463</v>
      </c>
      <c r="W119" s="43">
        <f t="shared" si="18"/>
        <v>0.35450624999999997</v>
      </c>
      <c r="X119" s="43">
        <f t="shared" si="19"/>
        <v>-0.45037610373455467</v>
      </c>
      <c r="Y119" s="43">
        <f t="shared" si="20"/>
        <v>1.0470979089310142</v>
      </c>
      <c r="Z119" s="43">
        <f t="shared" si="21"/>
        <v>1.9987292300072734E-2</v>
      </c>
      <c r="AA119" s="43">
        <f t="shared" si="22"/>
        <v>0.3668200134299483</v>
      </c>
      <c r="AB119" s="43">
        <f t="shared" si="23"/>
        <v>0.33109918762012808</v>
      </c>
    </row>
    <row r="120" spans="1:28">
      <c r="A120" s="48" t="s">
        <v>45</v>
      </c>
      <c r="B120" s="50">
        <v>250</v>
      </c>
      <c r="C120" s="50">
        <v>600</v>
      </c>
      <c r="D120" s="50">
        <v>1.85</v>
      </c>
      <c r="E120" s="50">
        <v>1353.7230507444972</v>
      </c>
      <c r="F120" s="50">
        <v>32444.968855548443</v>
      </c>
      <c r="G120" s="57" t="s">
        <v>87</v>
      </c>
      <c r="H120" s="50">
        <v>1.825</v>
      </c>
      <c r="I120" s="50">
        <v>200</v>
      </c>
      <c r="J120" s="50">
        <v>1287</v>
      </c>
      <c r="K120" s="50">
        <v>2471</v>
      </c>
      <c r="L120" s="50">
        <v>0.5</v>
      </c>
      <c r="M120" s="50">
        <v>101</v>
      </c>
      <c r="N120" s="51">
        <v>146</v>
      </c>
      <c r="O120" s="43">
        <f t="shared" si="12"/>
        <v>0.5</v>
      </c>
      <c r="P120" s="43">
        <f t="shared" si="13"/>
        <v>3656.873050744497</v>
      </c>
      <c r="Q120" s="43">
        <f t="shared" si="14"/>
        <v>5.9237319511292114E-5</v>
      </c>
      <c r="R120" s="43">
        <v>35</v>
      </c>
      <c r="S120" s="43">
        <f t="shared" si="15"/>
        <v>0.41666666666666669</v>
      </c>
      <c r="T120" s="43">
        <f t="shared" si="16"/>
        <v>8.4445803693003043</v>
      </c>
      <c r="U120" s="43" t="str" cm="1">
        <f t="array" ref="U120">_xlfn.IFS(T120&lt;3,"Group I",T120&lt;5,"Group II",T120&lt;10,"Group III",T120&lt;20,"Group IV",T120&lt;50,"Group V",T120&lt;100,"Group VI",T120&lt;200,"Group VII",T120&lt;500,"Group VIII",T120&lt;1000,"Group IX",TRUE,"Group X")</f>
        <v>Group III</v>
      </c>
      <c r="V120" s="43">
        <f t="shared" si="17"/>
        <v>0.92657807334749098</v>
      </c>
      <c r="W120" s="43">
        <f t="shared" si="18"/>
        <v>0.35450624999999997</v>
      </c>
      <c r="X120" s="43">
        <f t="shared" si="19"/>
        <v>-0.45037610373455467</v>
      </c>
      <c r="Y120" s="43">
        <f t="shared" si="20"/>
        <v>1.4455445544554455</v>
      </c>
      <c r="Z120" s="43">
        <f t="shared" si="21"/>
        <v>0.16003148200179451</v>
      </c>
      <c r="AA120" s="43">
        <f t="shared" si="22"/>
        <v>0.45852501678743535</v>
      </c>
      <c r="AB120" s="43">
        <f t="shared" si="23"/>
        <v>0.35385685073901113</v>
      </c>
    </row>
    <row r="121" spans="1:28">
      <c r="A121" s="48" t="s">
        <v>45</v>
      </c>
      <c r="B121" s="50">
        <v>300</v>
      </c>
      <c r="C121" s="50">
        <v>600</v>
      </c>
      <c r="D121" s="50">
        <v>1.85</v>
      </c>
      <c r="E121" s="50">
        <v>1353.7230507444972</v>
      </c>
      <c r="F121" s="50">
        <v>32444.968855548443</v>
      </c>
      <c r="G121" s="57" t="s">
        <v>87</v>
      </c>
      <c r="H121" s="50">
        <v>1.825</v>
      </c>
      <c r="I121" s="50">
        <v>200</v>
      </c>
      <c r="J121" s="50">
        <v>1287</v>
      </c>
      <c r="K121" s="50">
        <v>2471</v>
      </c>
      <c r="L121" s="50">
        <v>0.5</v>
      </c>
      <c r="M121" s="50">
        <v>105</v>
      </c>
      <c r="N121" s="51">
        <v>168.98</v>
      </c>
      <c r="O121" s="43">
        <f t="shared" si="12"/>
        <v>0.5</v>
      </c>
      <c r="P121" s="43">
        <f t="shared" si="13"/>
        <v>3656.873050744497</v>
      </c>
      <c r="Q121" s="43">
        <f t="shared" si="14"/>
        <v>5.9237319511292114E-5</v>
      </c>
      <c r="R121" s="43">
        <v>35</v>
      </c>
      <c r="S121" s="43">
        <f t="shared" si="15"/>
        <v>0.5</v>
      </c>
      <c r="T121" s="43">
        <f t="shared" si="16"/>
        <v>10.133496443160366</v>
      </c>
      <c r="U121" s="43" t="str" cm="1">
        <f t="array" ref="U121">_xlfn.IFS(T121&lt;3,"Group I",T121&lt;5,"Group II",T121&lt;10,"Group III",T121&lt;20,"Group IV",T121&lt;50,"Group V",T121&lt;100,"Group VI",T121&lt;200,"Group VII",T121&lt;500,"Group VIII",T121&lt;1000,"Group IX",TRUE,"Group X")</f>
        <v>Group IV</v>
      </c>
      <c r="V121" s="43">
        <f t="shared" si="17"/>
        <v>1.005759319395116</v>
      </c>
      <c r="W121" s="43">
        <f t="shared" si="18"/>
        <v>0.35450624999999997</v>
      </c>
      <c r="X121" s="43">
        <f t="shared" si="19"/>
        <v>-0.45037610373455467</v>
      </c>
      <c r="Y121" s="43">
        <f t="shared" si="20"/>
        <v>1.6093333333333333</v>
      </c>
      <c r="Z121" s="43">
        <f t="shared" si="21"/>
        <v>0.20664600670564914</v>
      </c>
      <c r="AA121" s="43">
        <f t="shared" si="22"/>
        <v>0.5502300201449225</v>
      </c>
      <c r="AB121" s="43">
        <f t="shared" si="23"/>
        <v>0.3736075992217085</v>
      </c>
    </row>
    <row r="122" spans="1:28">
      <c r="A122" s="48" t="s">
        <v>45</v>
      </c>
      <c r="B122" s="50">
        <v>100</v>
      </c>
      <c r="C122" s="50">
        <v>900</v>
      </c>
      <c r="D122" s="50">
        <v>1.85</v>
      </c>
      <c r="E122" s="50">
        <v>1353.7230507444972</v>
      </c>
      <c r="F122" s="50">
        <v>32444.968855548443</v>
      </c>
      <c r="G122" s="57" t="s">
        <v>87</v>
      </c>
      <c r="H122" s="50">
        <v>1.825</v>
      </c>
      <c r="I122" s="50">
        <v>200</v>
      </c>
      <c r="J122" s="50">
        <v>1287</v>
      </c>
      <c r="K122" s="50">
        <v>2471</v>
      </c>
      <c r="L122" s="50">
        <v>0.5</v>
      </c>
      <c r="M122" s="50">
        <v>99.97</v>
      </c>
      <c r="N122" s="51">
        <v>19.22</v>
      </c>
      <c r="O122" s="43">
        <f t="shared" si="12"/>
        <v>0.5</v>
      </c>
      <c r="P122" s="43">
        <f t="shared" si="13"/>
        <v>3656.873050744497</v>
      </c>
      <c r="Q122" s="43">
        <f t="shared" si="14"/>
        <v>5.9237319511292114E-5</v>
      </c>
      <c r="R122" s="43">
        <v>35</v>
      </c>
      <c r="S122" s="43">
        <f t="shared" si="15"/>
        <v>0.1111111111111111</v>
      </c>
      <c r="T122" s="43">
        <f t="shared" si="16"/>
        <v>2.7579883995612371</v>
      </c>
      <c r="U122" s="43" t="str" cm="1">
        <f t="array" ref="U122">_xlfn.IFS(T122&lt;3,"Group I",T122&lt;5,"Group II",T122&lt;10,"Group III",T122&lt;20,"Group IV",T122&lt;50,"Group V",T122&lt;100,"Group VI",T122&lt;200,"Group VII",T122&lt;500,"Group VIII",T122&lt;1000,"Group IX",TRUE,"Group X")</f>
        <v>Group I</v>
      </c>
      <c r="V122" s="43">
        <f t="shared" si="17"/>
        <v>0.44059243514761282</v>
      </c>
      <c r="W122" s="43">
        <f t="shared" si="18"/>
        <v>0.53175937500000003</v>
      </c>
      <c r="X122" s="43">
        <f t="shared" si="19"/>
        <v>-0.27428484467887332</v>
      </c>
      <c r="Y122" s="43">
        <f t="shared" si="20"/>
        <v>0.19225767730319096</v>
      </c>
      <c r="Z122" s="43">
        <f t="shared" si="21"/>
        <v>-0.71611630877574128</v>
      </c>
      <c r="AA122" s="43">
        <f t="shared" si="22"/>
        <v>0.15250926257997269</v>
      </c>
      <c r="AB122" s="43">
        <f t="shared" si="23"/>
        <v>0.2535435030645537</v>
      </c>
    </row>
    <row r="123" spans="1:28">
      <c r="A123" s="48" t="s">
        <v>45</v>
      </c>
      <c r="B123" s="50">
        <v>150</v>
      </c>
      <c r="C123" s="50">
        <v>900</v>
      </c>
      <c r="D123" s="50">
        <v>1.85</v>
      </c>
      <c r="E123" s="50">
        <v>1353.7230507444972</v>
      </c>
      <c r="F123" s="50">
        <v>32444.968855548443</v>
      </c>
      <c r="G123" s="57" t="s">
        <v>87</v>
      </c>
      <c r="H123" s="50">
        <v>1.825</v>
      </c>
      <c r="I123" s="50">
        <v>200</v>
      </c>
      <c r="J123" s="50">
        <v>1287</v>
      </c>
      <c r="K123" s="50">
        <v>2471</v>
      </c>
      <c r="L123" s="50">
        <v>0.5</v>
      </c>
      <c r="M123" s="50">
        <v>78.209999999999994</v>
      </c>
      <c r="N123" s="51">
        <v>42.15</v>
      </c>
      <c r="O123" s="43">
        <f t="shared" si="12"/>
        <v>0.5</v>
      </c>
      <c r="P123" s="43">
        <f t="shared" si="13"/>
        <v>3656.873050744497</v>
      </c>
      <c r="Q123" s="43">
        <f t="shared" si="14"/>
        <v>5.9237319511292114E-5</v>
      </c>
      <c r="R123" s="43">
        <v>35</v>
      </c>
      <c r="S123" s="43">
        <f t="shared" si="15"/>
        <v>0.16666666666666666</v>
      </c>
      <c r="T123" s="43">
        <f t="shared" si="16"/>
        <v>4.136982599341855</v>
      </c>
      <c r="U123" s="43" t="str" cm="1">
        <f t="array" ref="U123">_xlfn.IFS(T123&lt;3,"Group I",T123&lt;5,"Group II",T123&lt;10,"Group III",T123&lt;20,"Group IV",T123&lt;50,"Group V",T123&lt;100,"Group VI",T123&lt;200,"Group VII",T123&lt;500,"Group VIII",T123&lt;1000,"Group IX",TRUE,"Group X")</f>
        <v>Group II</v>
      </c>
      <c r="V123" s="43">
        <f t="shared" si="17"/>
        <v>0.61668369420329394</v>
      </c>
      <c r="W123" s="43">
        <f t="shared" si="18"/>
        <v>0.53175937500000003</v>
      </c>
      <c r="X123" s="43">
        <f t="shared" si="19"/>
        <v>-0.27428484467887332</v>
      </c>
      <c r="Y123" s="43">
        <f t="shared" si="20"/>
        <v>0.53893364019946299</v>
      </c>
      <c r="Z123" s="43">
        <f t="shared" si="21"/>
        <v>-0.26846470692723018</v>
      </c>
      <c r="AA123" s="43">
        <f t="shared" si="22"/>
        <v>0.22876389386995899</v>
      </c>
      <c r="AB123" s="43">
        <f t="shared" si="23"/>
        <v>0.28609487132565614</v>
      </c>
    </row>
    <row r="124" spans="1:28">
      <c r="A124" s="48" t="s">
        <v>45</v>
      </c>
      <c r="B124" s="50">
        <v>200</v>
      </c>
      <c r="C124" s="50">
        <v>900</v>
      </c>
      <c r="D124" s="50">
        <v>1.85</v>
      </c>
      <c r="E124" s="50">
        <v>1353.7230507444972</v>
      </c>
      <c r="F124" s="50">
        <v>32444.968855548443</v>
      </c>
      <c r="G124" s="57" t="s">
        <v>87</v>
      </c>
      <c r="H124" s="50">
        <v>1.825</v>
      </c>
      <c r="I124" s="50">
        <v>200</v>
      </c>
      <c r="J124" s="50">
        <v>1287</v>
      </c>
      <c r="K124" s="50">
        <v>2471</v>
      </c>
      <c r="L124" s="50">
        <v>0.5</v>
      </c>
      <c r="M124" s="50">
        <v>101.56</v>
      </c>
      <c r="N124" s="51">
        <v>58.4</v>
      </c>
      <c r="O124" s="43">
        <f t="shared" si="12"/>
        <v>0.5</v>
      </c>
      <c r="P124" s="43">
        <f t="shared" si="13"/>
        <v>3656.873050744497</v>
      </c>
      <c r="Q124" s="43">
        <f t="shared" si="14"/>
        <v>5.9237319511292114E-5</v>
      </c>
      <c r="R124" s="43">
        <v>35</v>
      </c>
      <c r="S124" s="43">
        <f t="shared" si="15"/>
        <v>0.22222222222222221</v>
      </c>
      <c r="T124" s="43">
        <f t="shared" si="16"/>
        <v>5.5159767991224742</v>
      </c>
      <c r="U124" s="43" t="str" cm="1">
        <f t="array" ref="U124">_xlfn.IFS(T124&lt;3,"Group I",T124&lt;5,"Group II",T124&lt;10,"Group III",T124&lt;20,"Group IV",T124&lt;50,"Group V",T124&lt;100,"Group VI",T124&lt;200,"Group VII",T124&lt;500,"Group VIII",T124&lt;1000,"Group IX",TRUE,"Group X")</f>
        <v>Group III</v>
      </c>
      <c r="V124" s="43">
        <f t="shared" si="17"/>
        <v>0.74162243081159407</v>
      </c>
      <c r="W124" s="43">
        <f t="shared" si="18"/>
        <v>0.53175937500000003</v>
      </c>
      <c r="X124" s="43">
        <f t="shared" si="19"/>
        <v>-0.27428484467887332</v>
      </c>
      <c r="Y124" s="43">
        <f t="shared" si="20"/>
        <v>0.57502953918865696</v>
      </c>
      <c r="Z124" s="43">
        <f t="shared" si="21"/>
        <v>-0.24030984508928513</v>
      </c>
      <c r="AA124" s="43">
        <f t="shared" si="22"/>
        <v>0.30501852515994538</v>
      </c>
      <c r="AB124" s="43">
        <f t="shared" si="23"/>
        <v>0.31169463143315546</v>
      </c>
    </row>
    <row r="125" spans="1:28">
      <c r="A125" s="48" t="s">
        <v>45</v>
      </c>
      <c r="B125" s="50">
        <v>250</v>
      </c>
      <c r="C125" s="50">
        <v>900</v>
      </c>
      <c r="D125" s="50">
        <v>1.85</v>
      </c>
      <c r="E125" s="50">
        <v>1353.7230507444972</v>
      </c>
      <c r="F125" s="50">
        <v>32444.968855548443</v>
      </c>
      <c r="G125" s="57" t="s">
        <v>87</v>
      </c>
      <c r="H125" s="50">
        <v>1.825</v>
      </c>
      <c r="I125" s="50">
        <v>200</v>
      </c>
      <c r="J125" s="50">
        <v>1287</v>
      </c>
      <c r="K125" s="50">
        <v>2471</v>
      </c>
      <c r="L125" s="50">
        <v>0.5</v>
      </c>
      <c r="M125" s="50">
        <v>107.64</v>
      </c>
      <c r="N125" s="51">
        <v>83.8</v>
      </c>
      <c r="O125" s="43">
        <f t="shared" si="12"/>
        <v>0.5</v>
      </c>
      <c r="P125" s="43">
        <f t="shared" si="13"/>
        <v>3656.873050744497</v>
      </c>
      <c r="Q125" s="43">
        <f t="shared" si="14"/>
        <v>5.9237319511292114E-5</v>
      </c>
      <c r="R125" s="43">
        <v>35</v>
      </c>
      <c r="S125" s="43">
        <f t="shared" si="15"/>
        <v>0.27777777777777779</v>
      </c>
      <c r="T125" s="43">
        <f t="shared" si="16"/>
        <v>6.8949709989030925</v>
      </c>
      <c r="U125" s="43" t="str" cm="1">
        <f t="array" ref="U125">_xlfn.IFS(T125&lt;3,"Group I",T125&lt;5,"Group II",T125&lt;10,"Group III",T125&lt;20,"Group IV",T125&lt;50,"Group V",T125&lt;100,"Group VI",T125&lt;200,"Group VII",T125&lt;500,"Group VIII",T125&lt;1000,"Group IX",TRUE,"Group X")</f>
        <v>Group III</v>
      </c>
      <c r="V125" s="43">
        <f t="shared" si="17"/>
        <v>0.83853244381965042</v>
      </c>
      <c r="W125" s="43">
        <f t="shared" si="18"/>
        <v>0.53175937500000003</v>
      </c>
      <c r="X125" s="43">
        <f t="shared" si="19"/>
        <v>-0.27428484467887332</v>
      </c>
      <c r="Y125" s="43">
        <f t="shared" si="20"/>
        <v>0.77852099591230028</v>
      </c>
      <c r="Z125" s="43">
        <f t="shared" si="21"/>
        <v>-0.1087296704614404</v>
      </c>
      <c r="AA125" s="43">
        <f t="shared" si="22"/>
        <v>0.3812731564499317</v>
      </c>
      <c r="AB125" s="43">
        <f t="shared" si="23"/>
        <v>0.33311854814254505</v>
      </c>
    </row>
    <row r="126" spans="1:28" ht="18.600000000000001" thickBot="1">
      <c r="A126" s="53" t="s">
        <v>45</v>
      </c>
      <c r="B126" s="54">
        <v>300</v>
      </c>
      <c r="C126" s="54">
        <v>900</v>
      </c>
      <c r="D126" s="54">
        <v>1.85</v>
      </c>
      <c r="E126" s="54">
        <v>1353.7230507444972</v>
      </c>
      <c r="F126" s="54">
        <v>32444.968855548443</v>
      </c>
      <c r="G126" s="57" t="s">
        <v>87</v>
      </c>
      <c r="H126" s="54">
        <v>1.825</v>
      </c>
      <c r="I126" s="54">
        <v>200</v>
      </c>
      <c r="J126" s="54">
        <v>1287</v>
      </c>
      <c r="K126" s="54">
        <v>2471</v>
      </c>
      <c r="L126" s="54">
        <v>0.5</v>
      </c>
      <c r="M126" s="54">
        <v>107.48</v>
      </c>
      <c r="N126" s="55">
        <v>107.25</v>
      </c>
      <c r="O126" s="43">
        <f t="shared" si="12"/>
        <v>0.5</v>
      </c>
      <c r="P126" s="43">
        <f t="shared" si="13"/>
        <v>3656.873050744497</v>
      </c>
      <c r="Q126" s="43">
        <f t="shared" si="14"/>
        <v>5.9237319511292114E-5</v>
      </c>
      <c r="R126" s="43">
        <v>35</v>
      </c>
      <c r="S126" s="43">
        <f t="shared" si="15"/>
        <v>0.33333333333333331</v>
      </c>
      <c r="T126" s="43">
        <f t="shared" si="16"/>
        <v>8.2739651986837099</v>
      </c>
      <c r="U126" s="43" t="str" cm="1">
        <f t="array" ref="U126">_xlfn.IFS(T126&lt;3,"Group I",T126&lt;5,"Group II",T126&lt;10,"Group III",T126&lt;20,"Group IV",T126&lt;50,"Group V",T126&lt;100,"Group VI",T126&lt;200,"Group VII",T126&lt;500,"Group VIII",T126&lt;1000,"Group IX",TRUE,"Group X")</f>
        <v>Group III</v>
      </c>
      <c r="V126" s="43">
        <f t="shared" si="17"/>
        <v>0.9177136898672752</v>
      </c>
      <c r="W126" s="43">
        <f t="shared" si="18"/>
        <v>0.53175937500000003</v>
      </c>
      <c r="X126" s="43">
        <f t="shared" si="19"/>
        <v>-0.27428484467887332</v>
      </c>
      <c r="Y126" s="43">
        <f t="shared" si="20"/>
        <v>0.99786006698920726</v>
      </c>
      <c r="Z126" s="43">
        <f t="shared" si="21"/>
        <v>-9.3035690436900429E-4</v>
      </c>
      <c r="AA126" s="43">
        <f t="shared" si="22"/>
        <v>0.45752778773991798</v>
      </c>
      <c r="AB126" s="43">
        <f t="shared" si="23"/>
        <v>0.35171177488252231</v>
      </c>
    </row>
    <row r="127" spans="1:28">
      <c r="A127" s="56" t="s">
        <v>46</v>
      </c>
      <c r="B127" s="57">
        <v>200</v>
      </c>
      <c r="C127" s="57">
        <v>200</v>
      </c>
      <c r="D127" s="57">
        <v>4.5060000000000002</v>
      </c>
      <c r="E127" s="57">
        <v>295.61075479975767</v>
      </c>
      <c r="F127" s="57">
        <v>8878.7682537029687</v>
      </c>
      <c r="G127" s="57" t="s">
        <v>88</v>
      </c>
      <c r="H127" s="57">
        <v>0.52300000000000002</v>
      </c>
      <c r="I127" s="57">
        <v>21.9</v>
      </c>
      <c r="J127" s="57">
        <v>1668</v>
      </c>
      <c r="K127" s="57">
        <v>3287</v>
      </c>
      <c r="L127" s="57">
        <v>0.55000000000000004</v>
      </c>
      <c r="M127" s="57">
        <v>492.85</v>
      </c>
      <c r="N127" s="58">
        <v>559.5</v>
      </c>
      <c r="O127" s="43">
        <f t="shared" si="12"/>
        <v>0.44999999999999996</v>
      </c>
      <c r="P127" s="43">
        <f t="shared" si="13"/>
        <v>1154.8997547997576</v>
      </c>
      <c r="Q127" s="43">
        <f t="shared" si="14"/>
        <v>9.2928994610118314E-6</v>
      </c>
      <c r="R127" s="43">
        <v>35</v>
      </c>
      <c r="S127" s="43">
        <f t="shared" si="15"/>
        <v>1</v>
      </c>
      <c r="T127" s="43">
        <f t="shared" si="16"/>
        <v>34.565226963958409</v>
      </c>
      <c r="U127" s="43" t="str" cm="1">
        <f t="array" ref="U127">_xlfn.IFS(T127&lt;3,"Group I",T127&lt;5,"Group II",T127&lt;10,"Group III",T127&lt;20,"Group IV",T127&lt;50,"Group V",T127&lt;100,"Group VI",T127&lt;200,"Group VII",T127&lt;500,"Group VIII",T127&lt;1000,"Group IX",TRUE,"Group X")</f>
        <v>Group V</v>
      </c>
      <c r="V127" s="43">
        <f t="shared" si="17"/>
        <v>1.5386394129144196</v>
      </c>
      <c r="W127" s="43">
        <f t="shared" si="18"/>
        <v>0.75326328767123285</v>
      </c>
      <c r="X127" s="43">
        <f t="shared" si="19"/>
        <v>-0.12305319857077526</v>
      </c>
      <c r="Y127" s="43">
        <f t="shared" si="20"/>
        <v>1.135233843968753</v>
      </c>
      <c r="Z127" s="43">
        <f t="shared" si="21"/>
        <v>5.5085329973887667E-2</v>
      </c>
      <c r="AA127" s="43">
        <f t="shared" si="22"/>
        <v>1.9415299128973695</v>
      </c>
      <c r="AB127" s="43">
        <f t="shared" si="23"/>
        <v>0.53846896945058376</v>
      </c>
    </row>
    <row r="128" spans="1:28">
      <c r="A128" s="48" t="s">
        <v>46</v>
      </c>
      <c r="B128" s="50">
        <v>200</v>
      </c>
      <c r="C128" s="50">
        <v>400</v>
      </c>
      <c r="D128" s="50">
        <v>4.5060000000000002</v>
      </c>
      <c r="E128" s="50">
        <v>295.61075479975767</v>
      </c>
      <c r="F128" s="50">
        <v>8878.7682537029687</v>
      </c>
      <c r="G128" s="57" t="s">
        <v>88</v>
      </c>
      <c r="H128" s="50">
        <v>0.52300000000000002</v>
      </c>
      <c r="I128" s="50">
        <v>21.9</v>
      </c>
      <c r="J128" s="50">
        <v>1668</v>
      </c>
      <c r="K128" s="50">
        <v>3287</v>
      </c>
      <c r="L128" s="50">
        <v>0.55000000000000004</v>
      </c>
      <c r="M128" s="50">
        <v>374.11</v>
      </c>
      <c r="N128" s="51">
        <v>256.64</v>
      </c>
      <c r="O128" s="43">
        <f t="shared" si="12"/>
        <v>0.44999999999999996</v>
      </c>
      <c r="P128" s="43">
        <f t="shared" si="13"/>
        <v>1154.8997547997576</v>
      </c>
      <c r="Q128" s="43">
        <f t="shared" si="14"/>
        <v>9.2928994610118314E-6</v>
      </c>
      <c r="R128" s="43">
        <v>35</v>
      </c>
      <c r="S128" s="43">
        <f t="shared" si="15"/>
        <v>0.5</v>
      </c>
      <c r="T128" s="43">
        <f t="shared" si="16"/>
        <v>24.441306379467093</v>
      </c>
      <c r="U128" s="43" t="str" cm="1">
        <f t="array" ref="U128">_xlfn.IFS(T128&lt;3,"Group I",T128&lt;5,"Group II",T128&lt;10,"Group III",T128&lt;20,"Group IV",T128&lt;50,"Group V",T128&lt;100,"Group VI",T128&lt;200,"Group VII",T128&lt;500,"Group VIII",T128&lt;1000,"Group IX",TRUE,"Group X")</f>
        <v>Group V</v>
      </c>
      <c r="V128" s="43">
        <f t="shared" si="17"/>
        <v>1.388124415082429</v>
      </c>
      <c r="W128" s="43">
        <f t="shared" si="18"/>
        <v>1.5065265753424657</v>
      </c>
      <c r="X128" s="43">
        <f t="shared" si="19"/>
        <v>0.17797679709320594</v>
      </c>
      <c r="Y128" s="43">
        <f t="shared" si="20"/>
        <v>0.68600144342573033</v>
      </c>
      <c r="Z128" s="43">
        <f t="shared" si="21"/>
        <v>-0.16367497048687774</v>
      </c>
      <c r="AA128" s="43">
        <f t="shared" si="22"/>
        <v>1.4163363687410182</v>
      </c>
      <c r="AB128" s="43">
        <f t="shared" si="23"/>
        <v>0.48564873658130958</v>
      </c>
    </row>
    <row r="129" spans="1:28">
      <c r="A129" s="48" t="s">
        <v>46</v>
      </c>
      <c r="B129" s="50">
        <v>200</v>
      </c>
      <c r="C129" s="50">
        <v>600</v>
      </c>
      <c r="D129" s="50">
        <v>4.5060000000000002</v>
      </c>
      <c r="E129" s="50">
        <v>295.61075479975767</v>
      </c>
      <c r="F129" s="50">
        <v>8878.7682537029687</v>
      </c>
      <c r="G129" s="57" t="s">
        <v>88</v>
      </c>
      <c r="H129" s="50">
        <v>0.52300000000000002</v>
      </c>
      <c r="I129" s="50">
        <v>21.9</v>
      </c>
      <c r="J129" s="50">
        <v>1668</v>
      </c>
      <c r="K129" s="50">
        <v>3287</v>
      </c>
      <c r="L129" s="50">
        <v>0.55000000000000004</v>
      </c>
      <c r="M129" s="50">
        <v>251.34</v>
      </c>
      <c r="N129" s="51">
        <v>225.42</v>
      </c>
      <c r="O129" s="43">
        <f t="shared" si="12"/>
        <v>0.44999999999999996</v>
      </c>
      <c r="P129" s="43">
        <f t="shared" si="13"/>
        <v>1154.8997547997576</v>
      </c>
      <c r="Q129" s="43">
        <f t="shared" si="14"/>
        <v>9.2928994610118314E-6</v>
      </c>
      <c r="R129" s="43">
        <v>35</v>
      </c>
      <c r="S129" s="43">
        <f t="shared" si="15"/>
        <v>0.33333333333333331</v>
      </c>
      <c r="T129" s="43">
        <f t="shared" si="16"/>
        <v>19.956243092241898</v>
      </c>
      <c r="U129" s="43" t="str" cm="1">
        <f t="array" ref="U129">_xlfn.IFS(T129&lt;3,"Group I",T129&lt;5,"Group II",T129&lt;10,"Group III",T129&lt;20,"Group IV",T129&lt;50,"Group V",T129&lt;100,"Group VI",T129&lt;200,"Group VII",T129&lt;500,"Group VIII",T129&lt;1000,"Group IX",TRUE,"Group X")</f>
        <v>Group IV</v>
      </c>
      <c r="V129" s="43">
        <f t="shared" si="17"/>
        <v>1.3000787855545883</v>
      </c>
      <c r="W129" s="43">
        <f t="shared" si="18"/>
        <v>2.2597898630136983</v>
      </c>
      <c r="X129" s="43">
        <f t="shared" si="19"/>
        <v>0.35406805614888714</v>
      </c>
      <c r="Y129" s="43">
        <f t="shared" si="20"/>
        <v>0.89687276199570298</v>
      </c>
      <c r="Z129" s="43">
        <f t="shared" si="21"/>
        <v>-4.7269165297834877E-2</v>
      </c>
      <c r="AA129" s="43">
        <f t="shared" si="22"/>
        <v>1.1777133594328235</v>
      </c>
      <c r="AB129" s="43">
        <f t="shared" si="23"/>
        <v>0.45718657615180036</v>
      </c>
    </row>
    <row r="130" spans="1:28">
      <c r="A130" s="48" t="s">
        <v>46</v>
      </c>
      <c r="B130" s="50">
        <v>200</v>
      </c>
      <c r="C130" s="50">
        <v>800</v>
      </c>
      <c r="D130" s="50">
        <v>4.5060000000000002</v>
      </c>
      <c r="E130" s="50">
        <v>295.61075479975767</v>
      </c>
      <c r="F130" s="50">
        <v>8878.7682537029687</v>
      </c>
      <c r="G130" s="57" t="s">
        <v>88</v>
      </c>
      <c r="H130" s="50">
        <v>0.52300000000000002</v>
      </c>
      <c r="I130" s="50">
        <v>21.9</v>
      </c>
      <c r="J130" s="50">
        <v>1668</v>
      </c>
      <c r="K130" s="50">
        <v>3287</v>
      </c>
      <c r="L130" s="50">
        <v>0.55000000000000004</v>
      </c>
      <c r="M130" s="50">
        <v>220.3</v>
      </c>
      <c r="N130" s="51">
        <v>116.85</v>
      </c>
      <c r="O130" s="43">
        <f t="shared" si="12"/>
        <v>0.44999999999999996</v>
      </c>
      <c r="P130" s="43">
        <f t="shared" si="13"/>
        <v>1154.8997547997576</v>
      </c>
      <c r="Q130" s="43">
        <f t="shared" si="14"/>
        <v>9.2928994610118314E-6</v>
      </c>
      <c r="R130" s="43">
        <v>35</v>
      </c>
      <c r="S130" s="43">
        <f t="shared" si="15"/>
        <v>0.25</v>
      </c>
      <c r="T130" s="43">
        <f t="shared" si="16"/>
        <v>17.282613481979205</v>
      </c>
      <c r="U130" s="43" t="str" cm="1">
        <f t="array" ref="U130">_xlfn.IFS(T130&lt;3,"Group I",T130&lt;5,"Group II",T130&lt;10,"Group III",T130&lt;20,"Group IV",T130&lt;50,"Group V",T130&lt;100,"Group VI",T130&lt;200,"Group VII",T130&lt;500,"Group VIII",T130&lt;1000,"Group IX",TRUE,"Group X")</f>
        <v>Group IV</v>
      </c>
      <c r="V130" s="43">
        <f t="shared" si="17"/>
        <v>1.2376094172504384</v>
      </c>
      <c r="W130" s="43">
        <f t="shared" si="18"/>
        <v>3.0130531506849314</v>
      </c>
      <c r="X130" s="43">
        <f t="shared" si="19"/>
        <v>0.47900679275718711</v>
      </c>
      <c r="Y130" s="43">
        <f t="shared" si="20"/>
        <v>0.53041307308216068</v>
      </c>
      <c r="Z130" s="43">
        <f t="shared" si="21"/>
        <v>-0.27538578042252193</v>
      </c>
      <c r="AA130" s="43">
        <f t="shared" si="22"/>
        <v>1.0332103029125628</v>
      </c>
      <c r="AB130" s="43">
        <f t="shared" si="23"/>
        <v>0.43800981806560169</v>
      </c>
    </row>
    <row r="131" spans="1:28">
      <c r="A131" s="48" t="s">
        <v>46</v>
      </c>
      <c r="B131" s="50">
        <v>200</v>
      </c>
      <c r="C131" s="50">
        <v>1200</v>
      </c>
      <c r="D131" s="50">
        <v>4.5060000000000002</v>
      </c>
      <c r="E131" s="50">
        <v>295.61075479975767</v>
      </c>
      <c r="F131" s="50">
        <v>8878.7682537029687</v>
      </c>
      <c r="G131" s="57" t="s">
        <v>88</v>
      </c>
      <c r="H131" s="50">
        <v>0.52300000000000002</v>
      </c>
      <c r="I131" s="50">
        <v>21.9</v>
      </c>
      <c r="J131" s="50">
        <v>1668</v>
      </c>
      <c r="K131" s="50">
        <v>3287</v>
      </c>
      <c r="L131" s="50">
        <v>0.55000000000000004</v>
      </c>
      <c r="M131" s="50">
        <v>202.09</v>
      </c>
      <c r="N131" s="51">
        <v>61.06</v>
      </c>
      <c r="O131" s="43">
        <f t="shared" si="12"/>
        <v>0.44999999999999996</v>
      </c>
      <c r="P131" s="43">
        <f t="shared" si="13"/>
        <v>1154.8997547997576</v>
      </c>
      <c r="Q131" s="43">
        <f t="shared" si="14"/>
        <v>9.2928994610118314E-6</v>
      </c>
      <c r="R131" s="43">
        <v>35</v>
      </c>
      <c r="S131" s="43">
        <f t="shared" si="15"/>
        <v>0.16666666666666666</v>
      </c>
      <c r="T131" s="43">
        <f t="shared" si="16"/>
        <v>14.111194817531445</v>
      </c>
      <c r="U131" s="43" t="str" cm="1">
        <f t="array" ref="U131">_xlfn.IFS(T131&lt;3,"Group I",T131&lt;5,"Group II",T131&lt;10,"Group III",T131&lt;20,"Group IV",T131&lt;50,"Group V",T131&lt;100,"Group VI",T131&lt;200,"Group VII",T131&lt;500,"Group VIII",T131&lt;1000,"Group IX",TRUE,"Group X")</f>
        <v>Group IV</v>
      </c>
      <c r="V131" s="43">
        <f t="shared" si="17"/>
        <v>1.1495637877225977</v>
      </c>
      <c r="W131" s="43">
        <f t="shared" si="18"/>
        <v>4.5195797260273967</v>
      </c>
      <c r="X131" s="43">
        <f t="shared" si="19"/>
        <v>0.65509805181286829</v>
      </c>
      <c r="Y131" s="43">
        <f t="shared" si="20"/>
        <v>0.30214260972833884</v>
      </c>
      <c r="Z131" s="43">
        <f t="shared" si="21"/>
        <v>-0.51978802393233436</v>
      </c>
      <c r="AA131" s="43">
        <f t="shared" si="22"/>
        <v>0.85913601013112195</v>
      </c>
      <c r="AB131" s="43">
        <f t="shared" si="23"/>
        <v>0.41233960671234704</v>
      </c>
    </row>
    <row r="132" spans="1:28">
      <c r="A132" s="48" t="s">
        <v>46</v>
      </c>
      <c r="B132" s="50">
        <v>200</v>
      </c>
      <c r="C132" s="50">
        <v>1600</v>
      </c>
      <c r="D132" s="50">
        <v>4.5060000000000002</v>
      </c>
      <c r="E132" s="50">
        <v>295.61075479975767</v>
      </c>
      <c r="F132" s="50">
        <v>8878.7682537029687</v>
      </c>
      <c r="G132" s="57" t="s">
        <v>88</v>
      </c>
      <c r="H132" s="50">
        <v>0.52300000000000002</v>
      </c>
      <c r="I132" s="50">
        <v>21.9</v>
      </c>
      <c r="J132" s="50">
        <v>1668</v>
      </c>
      <c r="K132" s="50">
        <v>3287</v>
      </c>
      <c r="L132" s="50">
        <v>0.55000000000000004</v>
      </c>
      <c r="M132" s="50">
        <v>141.06</v>
      </c>
      <c r="N132" s="51">
        <v>50.86</v>
      </c>
      <c r="O132" s="43">
        <f t="shared" ref="O132:O188" si="24">1-L132</f>
        <v>0.44999999999999996</v>
      </c>
      <c r="P132" s="43">
        <f t="shared" ref="P132:P195" si="25">H132*(J132-25)+E132</f>
        <v>1154.8997547997576</v>
      </c>
      <c r="Q132" s="43">
        <f t="shared" ref="Q132:Q195" si="26">I132/(D132*H132*10^6)</f>
        <v>9.2928994610118314E-6</v>
      </c>
      <c r="R132" s="43">
        <v>35</v>
      </c>
      <c r="S132" s="43">
        <f t="shared" ref="S132:S195" si="27">B132/C132</f>
        <v>0.125</v>
      </c>
      <c r="T132" s="43">
        <f t="shared" ref="T132:T195" si="28">(O132*B132)/(D132*P132*1000000*SQRT(PI()*(R132*0.000001)^3*Q132*(C132/1000)))</f>
        <v>12.220653189733547</v>
      </c>
      <c r="U132" s="43" t="str" cm="1">
        <f t="array" ref="U132">_xlfn.IFS(T132&lt;3,"Group I",T132&lt;5,"Group II",T132&lt;10,"Group III",T132&lt;20,"Group IV",T132&lt;50,"Group V",T132&lt;100,"Group VI",T132&lt;200,"Group VII",T132&lt;500,"Group VIII",T132&lt;1000,"Group IX",TRUE,"Group X")</f>
        <v>Group IV</v>
      </c>
      <c r="V132" s="43">
        <f t="shared" ref="V132:V195" si="29">LOG(T132)</f>
        <v>1.0870944194184478</v>
      </c>
      <c r="W132" s="43">
        <f t="shared" ref="W132:W195" si="30">(C132/1000)*(R132/1000000)/Q132</f>
        <v>6.0261063013698628</v>
      </c>
      <c r="X132" s="43">
        <f t="shared" ref="X132:X226" si="31">LOG(W132)</f>
        <v>0.7800367884211683</v>
      </c>
      <c r="Y132" s="43">
        <f t="shared" ref="Y132:Y195" si="32">N132/M132</f>
        <v>0.36055579186161918</v>
      </c>
      <c r="Z132" s="43">
        <f t="shared" ref="Z132:Z226" si="33">LOG(Y132)</f>
        <v>-0.44302752366889292</v>
      </c>
      <c r="AA132" s="43">
        <f t="shared" ref="AA132:AA226" si="34">(10^-0.7321)*W132^0.04497*T132*0.307</f>
        <v>0.75372175254780194</v>
      </c>
      <c r="AB132" s="43">
        <f t="shared" ref="AB132:AB226" si="35">(10^-0.7272)*T132^0.2979</f>
        <v>0.39504396134620762</v>
      </c>
    </row>
    <row r="133" spans="1:28">
      <c r="A133" s="48" t="s">
        <v>46</v>
      </c>
      <c r="B133" s="50">
        <v>200</v>
      </c>
      <c r="C133" s="50">
        <v>2000</v>
      </c>
      <c r="D133" s="50">
        <v>4.5060000000000002</v>
      </c>
      <c r="E133" s="50">
        <v>295.61075479975767</v>
      </c>
      <c r="F133" s="50">
        <v>8878.7682537029687</v>
      </c>
      <c r="G133" s="57" t="s">
        <v>88</v>
      </c>
      <c r="H133" s="50">
        <v>0.52300000000000002</v>
      </c>
      <c r="I133" s="50">
        <v>21.9</v>
      </c>
      <c r="J133" s="50">
        <v>1668</v>
      </c>
      <c r="K133" s="50">
        <v>3287</v>
      </c>
      <c r="L133" s="50">
        <v>0.55000000000000004</v>
      </c>
      <c r="M133" s="50">
        <v>125.88</v>
      </c>
      <c r="N133" s="51">
        <v>44.94</v>
      </c>
      <c r="O133" s="43">
        <f t="shared" si="24"/>
        <v>0.44999999999999996</v>
      </c>
      <c r="P133" s="43">
        <f t="shared" si="25"/>
        <v>1154.8997547997576</v>
      </c>
      <c r="Q133" s="43">
        <f t="shared" si="26"/>
        <v>9.2928994610118314E-6</v>
      </c>
      <c r="R133" s="43">
        <v>35</v>
      </c>
      <c r="S133" s="43">
        <f t="shared" si="27"/>
        <v>0.1</v>
      </c>
      <c r="T133" s="43">
        <f t="shared" si="28"/>
        <v>10.930484504677537</v>
      </c>
      <c r="U133" s="43" t="str" cm="1">
        <f t="array" ref="U133">_xlfn.IFS(T133&lt;3,"Group I",T133&lt;5,"Group II",T133&lt;10,"Group III",T133&lt;20,"Group IV",T133&lt;50,"Group V",T133&lt;100,"Group VI",T133&lt;200,"Group VII",T133&lt;500,"Group VIII",T133&lt;1000,"Group IX",TRUE,"Group X")</f>
        <v>Group IV</v>
      </c>
      <c r="V133" s="43">
        <f t="shared" si="29"/>
        <v>1.0386394129144194</v>
      </c>
      <c r="W133" s="43">
        <f t="shared" si="30"/>
        <v>7.5326328767123281</v>
      </c>
      <c r="X133" s="43">
        <f t="shared" si="31"/>
        <v>0.87694680142922476</v>
      </c>
      <c r="Y133" s="43">
        <f t="shared" si="32"/>
        <v>0.35700667302192562</v>
      </c>
      <c r="Z133" s="43">
        <f t="shared" si="33"/>
        <v>-0.44732366615807262</v>
      </c>
      <c r="AA133" s="43">
        <f t="shared" si="34"/>
        <v>0.68094821542273998</v>
      </c>
      <c r="AB133" s="43">
        <f t="shared" si="35"/>
        <v>0.38212960122404188</v>
      </c>
    </row>
    <row r="134" spans="1:28">
      <c r="A134" s="48" t="s">
        <v>46</v>
      </c>
      <c r="B134" s="50">
        <v>200</v>
      </c>
      <c r="C134" s="50">
        <v>2400</v>
      </c>
      <c r="D134" s="50">
        <v>4.5060000000000002</v>
      </c>
      <c r="E134" s="50">
        <v>295.61075479975767</v>
      </c>
      <c r="F134" s="50">
        <v>8878.7682537029687</v>
      </c>
      <c r="G134" s="57" t="s">
        <v>88</v>
      </c>
      <c r="H134" s="50">
        <v>0.52300000000000002</v>
      </c>
      <c r="I134" s="50">
        <v>21.9</v>
      </c>
      <c r="J134" s="50">
        <v>1668</v>
      </c>
      <c r="K134" s="50">
        <v>3287</v>
      </c>
      <c r="L134" s="50">
        <v>0.55000000000000004</v>
      </c>
      <c r="M134" s="50">
        <v>115.29</v>
      </c>
      <c r="N134" s="51">
        <v>37.49</v>
      </c>
      <c r="O134" s="43">
        <f t="shared" si="24"/>
        <v>0.44999999999999996</v>
      </c>
      <c r="P134" s="43">
        <f t="shared" si="25"/>
        <v>1154.8997547997576</v>
      </c>
      <c r="Q134" s="43">
        <f t="shared" si="26"/>
        <v>9.2928994610118314E-6</v>
      </c>
      <c r="R134" s="43">
        <v>35</v>
      </c>
      <c r="S134" s="43">
        <f t="shared" si="27"/>
        <v>8.3333333333333329E-2</v>
      </c>
      <c r="T134" s="43">
        <f t="shared" si="28"/>
        <v>9.9781215461209491</v>
      </c>
      <c r="U134" s="43" t="str" cm="1">
        <f t="array" ref="U134">_xlfn.IFS(T134&lt;3,"Group I",T134&lt;5,"Group II",T134&lt;10,"Group III",T134&lt;20,"Group IV",T134&lt;50,"Group V",T134&lt;100,"Group VI",T134&lt;200,"Group VII",T134&lt;500,"Group VIII",T134&lt;1000,"Group IX",TRUE,"Group X")</f>
        <v>Group III</v>
      </c>
      <c r="V134" s="43">
        <f t="shared" si="29"/>
        <v>0.99904878989060708</v>
      </c>
      <c r="W134" s="43">
        <f t="shared" si="30"/>
        <v>9.0391594520547933</v>
      </c>
      <c r="X134" s="43">
        <f t="shared" si="31"/>
        <v>0.95612804747684954</v>
      </c>
      <c r="Y134" s="43">
        <f t="shared" si="32"/>
        <v>0.32517998091768585</v>
      </c>
      <c r="Z134" s="43">
        <f t="shared" si="33"/>
        <v>-0.48787619876246047</v>
      </c>
      <c r="AA134" s="43">
        <f t="shared" si="34"/>
        <v>0.62673542589301401</v>
      </c>
      <c r="AB134" s="43">
        <f t="shared" si="35"/>
        <v>0.37189182739092425</v>
      </c>
    </row>
    <row r="135" spans="1:28">
      <c r="A135" s="48" t="s">
        <v>46</v>
      </c>
      <c r="B135" s="50">
        <v>350</v>
      </c>
      <c r="C135" s="50">
        <v>400</v>
      </c>
      <c r="D135" s="50">
        <v>4.5060000000000002</v>
      </c>
      <c r="E135" s="50">
        <v>295.61075479975767</v>
      </c>
      <c r="F135" s="50">
        <v>8878.7682537029687</v>
      </c>
      <c r="G135" s="57" t="s">
        <v>88</v>
      </c>
      <c r="H135" s="50">
        <v>0.52300000000000002</v>
      </c>
      <c r="I135" s="50">
        <v>21.9</v>
      </c>
      <c r="J135" s="50">
        <v>1668</v>
      </c>
      <c r="K135" s="50">
        <v>3287</v>
      </c>
      <c r="L135" s="50">
        <v>0.55000000000000004</v>
      </c>
      <c r="M135" s="50">
        <v>309.16000000000003</v>
      </c>
      <c r="N135" s="51">
        <v>260.31</v>
      </c>
      <c r="O135" s="43">
        <f t="shared" si="24"/>
        <v>0.44999999999999996</v>
      </c>
      <c r="P135" s="43">
        <f t="shared" si="25"/>
        <v>1154.8997547997576</v>
      </c>
      <c r="Q135" s="43">
        <f t="shared" si="26"/>
        <v>9.2928994610118314E-6</v>
      </c>
      <c r="R135" s="43">
        <v>35</v>
      </c>
      <c r="S135" s="43">
        <f t="shared" si="27"/>
        <v>0.875</v>
      </c>
      <c r="T135" s="43">
        <f t="shared" si="28"/>
        <v>42.77228616406741</v>
      </c>
      <c r="U135" s="43" t="str" cm="1">
        <f t="array" ref="U135">_xlfn.IFS(T135&lt;3,"Group I",T135&lt;5,"Group II",T135&lt;10,"Group III",T135&lt;20,"Group IV",T135&lt;50,"Group V",T135&lt;100,"Group VI",T135&lt;200,"Group VII",T135&lt;500,"Group VIII",T135&lt;1000,"Group IX",TRUE,"Group X")</f>
        <v>Group V</v>
      </c>
      <c r="V135" s="43">
        <f t="shared" si="29"/>
        <v>1.6311624637687234</v>
      </c>
      <c r="W135" s="43">
        <f t="shared" si="30"/>
        <v>1.5065265753424657</v>
      </c>
      <c r="X135" s="43">
        <f t="shared" si="31"/>
        <v>0.17797679709320594</v>
      </c>
      <c r="Y135" s="43">
        <f t="shared" si="32"/>
        <v>0.84199120196661914</v>
      </c>
      <c r="Z135" s="43">
        <f t="shared" si="33"/>
        <v>-7.4692446454402137E-2</v>
      </c>
      <c r="AA135" s="43">
        <f t="shared" si="34"/>
        <v>2.4785886452967816</v>
      </c>
      <c r="AB135" s="43">
        <f t="shared" si="35"/>
        <v>0.57375079188784062</v>
      </c>
    </row>
    <row r="136" spans="1:28">
      <c r="A136" s="48" t="s">
        <v>46</v>
      </c>
      <c r="B136" s="50">
        <v>350</v>
      </c>
      <c r="C136" s="50">
        <v>600</v>
      </c>
      <c r="D136" s="50">
        <v>4.5060000000000002</v>
      </c>
      <c r="E136" s="50">
        <v>295.61075479975767</v>
      </c>
      <c r="F136" s="50">
        <v>8878.7682537029687</v>
      </c>
      <c r="G136" s="57" t="s">
        <v>88</v>
      </c>
      <c r="H136" s="50">
        <v>0.52300000000000002</v>
      </c>
      <c r="I136" s="50">
        <v>21.9</v>
      </c>
      <c r="J136" s="50">
        <v>1668</v>
      </c>
      <c r="K136" s="50">
        <v>3287</v>
      </c>
      <c r="L136" s="50">
        <v>0.55000000000000004</v>
      </c>
      <c r="M136" s="50">
        <v>282.58</v>
      </c>
      <c r="N136" s="51">
        <v>188.77</v>
      </c>
      <c r="O136" s="43">
        <f t="shared" si="24"/>
        <v>0.44999999999999996</v>
      </c>
      <c r="P136" s="43">
        <f t="shared" si="25"/>
        <v>1154.8997547997576</v>
      </c>
      <c r="Q136" s="43">
        <f t="shared" si="26"/>
        <v>9.2928994610118314E-6</v>
      </c>
      <c r="R136" s="43">
        <v>35</v>
      </c>
      <c r="S136" s="43">
        <f t="shared" si="27"/>
        <v>0.58333333333333337</v>
      </c>
      <c r="T136" s="43">
        <f t="shared" si="28"/>
        <v>34.923425411423324</v>
      </c>
      <c r="U136" s="43" t="str" cm="1">
        <f t="array" ref="U136">_xlfn.IFS(T136&lt;3,"Group I",T136&lt;5,"Group II",T136&lt;10,"Group III",T136&lt;20,"Group IV",T136&lt;50,"Group V",T136&lt;100,"Group VI",T136&lt;200,"Group VII",T136&lt;500,"Group VIII",T136&lt;1000,"Group IX",TRUE,"Group X")</f>
        <v>Group V</v>
      </c>
      <c r="V136" s="43">
        <f t="shared" si="29"/>
        <v>1.5431168342408828</v>
      </c>
      <c r="W136" s="43">
        <f t="shared" si="30"/>
        <v>2.2597898630136983</v>
      </c>
      <c r="X136" s="43">
        <f t="shared" si="31"/>
        <v>0.35406805614888714</v>
      </c>
      <c r="Y136" s="43">
        <f t="shared" si="32"/>
        <v>0.66802321466487369</v>
      </c>
      <c r="Z136" s="43">
        <f t="shared" si="33"/>
        <v>-0.17520844497105523</v>
      </c>
      <c r="AA136" s="43">
        <f t="shared" si="34"/>
        <v>2.0609983790074415</v>
      </c>
      <c r="AB136" s="43">
        <f t="shared" si="35"/>
        <v>0.5401252805764658</v>
      </c>
    </row>
    <row r="137" spans="1:28">
      <c r="A137" s="48" t="s">
        <v>46</v>
      </c>
      <c r="B137" s="50">
        <v>350</v>
      </c>
      <c r="C137" s="50">
        <v>800</v>
      </c>
      <c r="D137" s="50">
        <v>4.5060000000000002</v>
      </c>
      <c r="E137" s="50">
        <v>295.61075479975767</v>
      </c>
      <c r="F137" s="50">
        <v>8878.7682537029687</v>
      </c>
      <c r="G137" s="57" t="s">
        <v>88</v>
      </c>
      <c r="H137" s="50">
        <v>0.52300000000000002</v>
      </c>
      <c r="I137" s="50">
        <v>21.9</v>
      </c>
      <c r="J137" s="50">
        <v>1668</v>
      </c>
      <c r="K137" s="50">
        <v>3287</v>
      </c>
      <c r="L137" s="50">
        <v>0.55000000000000004</v>
      </c>
      <c r="M137" s="50">
        <v>241.1</v>
      </c>
      <c r="N137" s="51">
        <v>157.91</v>
      </c>
      <c r="O137" s="43">
        <f t="shared" si="24"/>
        <v>0.44999999999999996</v>
      </c>
      <c r="P137" s="43">
        <f t="shared" si="25"/>
        <v>1154.8997547997576</v>
      </c>
      <c r="Q137" s="43">
        <f t="shared" si="26"/>
        <v>9.2928994610118314E-6</v>
      </c>
      <c r="R137" s="43">
        <v>35</v>
      </c>
      <c r="S137" s="43">
        <f t="shared" si="27"/>
        <v>0.4375</v>
      </c>
      <c r="T137" s="43">
        <f t="shared" si="28"/>
        <v>30.244573593463606</v>
      </c>
      <c r="U137" s="43" t="str" cm="1">
        <f t="array" ref="U137">_xlfn.IFS(T137&lt;3,"Group I",T137&lt;5,"Group II",T137&lt;10,"Group III",T137&lt;20,"Group IV",T137&lt;50,"Group V",T137&lt;100,"Group VI",T137&lt;200,"Group VII",T137&lt;500,"Group VIII",T137&lt;1000,"Group IX",TRUE,"Group X")</f>
        <v>Group V</v>
      </c>
      <c r="V137" s="43">
        <f t="shared" si="29"/>
        <v>1.4806474659367328</v>
      </c>
      <c r="W137" s="43">
        <f t="shared" si="30"/>
        <v>3.0130531506849314</v>
      </c>
      <c r="X137" s="43">
        <f t="shared" si="31"/>
        <v>0.47900679275718711</v>
      </c>
      <c r="Y137" s="43">
        <f t="shared" si="32"/>
        <v>0.65495644960597266</v>
      </c>
      <c r="Z137" s="43">
        <f t="shared" si="33"/>
        <v>-0.18378757683969243</v>
      </c>
      <c r="AA137" s="43">
        <f t="shared" si="34"/>
        <v>1.8081180300969848</v>
      </c>
      <c r="AB137" s="43">
        <f t="shared" si="35"/>
        <v>0.51746964635151016</v>
      </c>
    </row>
    <row r="138" spans="1:28">
      <c r="A138" s="48" t="s">
        <v>46</v>
      </c>
      <c r="B138" s="50">
        <v>350</v>
      </c>
      <c r="C138" s="50">
        <v>1000</v>
      </c>
      <c r="D138" s="50">
        <v>4.5060000000000002</v>
      </c>
      <c r="E138" s="50">
        <v>295.61075479975767</v>
      </c>
      <c r="F138" s="50">
        <v>8878.7682537029687</v>
      </c>
      <c r="G138" s="57" t="s">
        <v>88</v>
      </c>
      <c r="H138" s="50">
        <v>0.52300000000000002</v>
      </c>
      <c r="I138" s="50">
        <v>21.9</v>
      </c>
      <c r="J138" s="50">
        <v>1668</v>
      </c>
      <c r="K138" s="50">
        <v>3287</v>
      </c>
      <c r="L138" s="50">
        <v>0.55000000000000004</v>
      </c>
      <c r="M138" s="50">
        <v>187.6</v>
      </c>
      <c r="N138" s="51">
        <v>131.65</v>
      </c>
      <c r="O138" s="43">
        <f t="shared" si="24"/>
        <v>0.44999999999999996</v>
      </c>
      <c r="P138" s="43">
        <f t="shared" si="25"/>
        <v>1154.8997547997576</v>
      </c>
      <c r="Q138" s="43">
        <f t="shared" si="26"/>
        <v>9.2928994610118314E-6</v>
      </c>
      <c r="R138" s="43">
        <v>35</v>
      </c>
      <c r="S138" s="43">
        <f t="shared" si="27"/>
        <v>0.35</v>
      </c>
      <c r="T138" s="43">
        <f t="shared" si="28"/>
        <v>27.05156900219189</v>
      </c>
      <c r="U138" s="43" t="str" cm="1">
        <f t="array" ref="U138">_xlfn.IFS(T138&lt;3,"Group I",T138&lt;5,"Group II",T138&lt;10,"Group III",T138&lt;20,"Group IV",T138&lt;50,"Group V",T138&lt;100,"Group VI",T138&lt;200,"Group VII",T138&lt;500,"Group VIII",T138&lt;1000,"Group IX",TRUE,"Group X")</f>
        <v>Group V</v>
      </c>
      <c r="V138" s="43">
        <f t="shared" si="29"/>
        <v>1.4321924594327047</v>
      </c>
      <c r="W138" s="43">
        <f t="shared" si="30"/>
        <v>3.766316438356164</v>
      </c>
      <c r="X138" s="43">
        <f t="shared" si="31"/>
        <v>0.57591680576524351</v>
      </c>
      <c r="Y138" s="43">
        <f t="shared" si="32"/>
        <v>0.70175906183368875</v>
      </c>
      <c r="Z138" s="43">
        <f t="shared" si="33"/>
        <v>-0.15381197060095866</v>
      </c>
      <c r="AA138" s="43">
        <f t="shared" si="34"/>
        <v>1.6335401515297727</v>
      </c>
      <c r="AB138" s="43">
        <f t="shared" si="35"/>
        <v>0.50055307498436408</v>
      </c>
    </row>
    <row r="139" spans="1:28">
      <c r="A139" s="48" t="s">
        <v>46</v>
      </c>
      <c r="B139" s="50">
        <v>350</v>
      </c>
      <c r="C139" s="50">
        <v>1200</v>
      </c>
      <c r="D139" s="50">
        <v>4.5060000000000002</v>
      </c>
      <c r="E139" s="50">
        <v>295.61075479975767</v>
      </c>
      <c r="F139" s="50">
        <v>8878.7682537029687</v>
      </c>
      <c r="G139" s="57" t="s">
        <v>88</v>
      </c>
      <c r="H139" s="50">
        <v>0.52300000000000002</v>
      </c>
      <c r="I139" s="50">
        <v>21.9</v>
      </c>
      <c r="J139" s="50">
        <v>1668</v>
      </c>
      <c r="K139" s="50">
        <v>3287</v>
      </c>
      <c r="L139" s="50">
        <v>0.55000000000000004</v>
      </c>
      <c r="M139" s="50">
        <v>166.03</v>
      </c>
      <c r="N139" s="51">
        <v>110.32</v>
      </c>
      <c r="O139" s="43">
        <f t="shared" si="24"/>
        <v>0.44999999999999996</v>
      </c>
      <c r="P139" s="43">
        <f t="shared" si="25"/>
        <v>1154.8997547997576</v>
      </c>
      <c r="Q139" s="43">
        <f t="shared" si="26"/>
        <v>9.2928994610118314E-6</v>
      </c>
      <c r="R139" s="43">
        <v>35</v>
      </c>
      <c r="S139" s="43">
        <f t="shared" si="27"/>
        <v>0.29166666666666669</v>
      </c>
      <c r="T139" s="43">
        <f t="shared" si="28"/>
        <v>24.694590930680025</v>
      </c>
      <c r="U139" s="43" t="str" cm="1">
        <f t="array" ref="U139">_xlfn.IFS(T139&lt;3,"Group I",T139&lt;5,"Group II",T139&lt;10,"Group III",T139&lt;20,"Group IV",T139&lt;50,"Group V",T139&lt;100,"Group VI",T139&lt;200,"Group VII",T139&lt;500,"Group VIII",T139&lt;1000,"Group IX",TRUE,"Group X")</f>
        <v>Group V</v>
      </c>
      <c r="V139" s="43">
        <f t="shared" si="29"/>
        <v>1.3926018364088921</v>
      </c>
      <c r="W139" s="43">
        <f t="shared" si="30"/>
        <v>4.5195797260273967</v>
      </c>
      <c r="X139" s="43">
        <f t="shared" si="31"/>
        <v>0.65509805181286829</v>
      </c>
      <c r="Y139" s="43">
        <f t="shared" si="32"/>
        <v>0.66445823044028185</v>
      </c>
      <c r="Z139" s="43">
        <f t="shared" si="33"/>
        <v>-0.17753231473548228</v>
      </c>
      <c r="AA139" s="43">
        <f t="shared" si="34"/>
        <v>1.5034880177294629</v>
      </c>
      <c r="AB139" s="43">
        <f t="shared" si="35"/>
        <v>0.48714257457626575</v>
      </c>
    </row>
    <row r="140" spans="1:28">
      <c r="A140" s="48" t="s">
        <v>46</v>
      </c>
      <c r="B140" s="50">
        <v>350</v>
      </c>
      <c r="C140" s="50">
        <v>1600</v>
      </c>
      <c r="D140" s="50">
        <v>4.5060000000000002</v>
      </c>
      <c r="E140" s="50">
        <v>295.61075479975767</v>
      </c>
      <c r="F140" s="50">
        <v>8878.7682537029687</v>
      </c>
      <c r="G140" s="57" t="s">
        <v>88</v>
      </c>
      <c r="H140" s="50">
        <v>0.52300000000000002</v>
      </c>
      <c r="I140" s="50">
        <v>21.9</v>
      </c>
      <c r="J140" s="50">
        <v>1668</v>
      </c>
      <c r="K140" s="50">
        <v>3287</v>
      </c>
      <c r="L140" s="50">
        <v>0.55000000000000004</v>
      </c>
      <c r="M140" s="50">
        <v>149.76</v>
      </c>
      <c r="N140" s="51">
        <v>92.84</v>
      </c>
      <c r="O140" s="43">
        <f t="shared" si="24"/>
        <v>0.44999999999999996</v>
      </c>
      <c r="P140" s="43">
        <f t="shared" si="25"/>
        <v>1154.8997547997576</v>
      </c>
      <c r="Q140" s="43">
        <f t="shared" si="26"/>
        <v>9.2928994610118314E-6</v>
      </c>
      <c r="R140" s="43">
        <v>35</v>
      </c>
      <c r="S140" s="43">
        <f t="shared" si="27"/>
        <v>0.21875</v>
      </c>
      <c r="T140" s="43">
        <f t="shared" si="28"/>
        <v>21.386143082033705</v>
      </c>
      <c r="U140" s="43" t="str" cm="1">
        <f t="array" ref="U140">_xlfn.IFS(T140&lt;3,"Group I",T140&lt;5,"Group II",T140&lt;10,"Group III",T140&lt;20,"Group IV",T140&lt;50,"Group V",T140&lt;100,"Group VI",T140&lt;200,"Group VII",T140&lt;500,"Group VIII",T140&lt;1000,"Group IX",TRUE,"Group X")</f>
        <v>Group V</v>
      </c>
      <c r="V140" s="43">
        <f t="shared" si="29"/>
        <v>1.3301324681047422</v>
      </c>
      <c r="W140" s="43">
        <f t="shared" si="30"/>
        <v>6.0261063013698628</v>
      </c>
      <c r="X140" s="43">
        <f t="shared" si="31"/>
        <v>0.7800367884211683</v>
      </c>
      <c r="Y140" s="43">
        <f t="shared" si="32"/>
        <v>0.61992521367521369</v>
      </c>
      <c r="Z140" s="43">
        <f t="shared" si="33"/>
        <v>-0.20766069961014991</v>
      </c>
      <c r="AA140" s="43">
        <f t="shared" si="34"/>
        <v>1.3190130669586533</v>
      </c>
      <c r="AB140" s="43">
        <f t="shared" si="35"/>
        <v>0.46670930773635028</v>
      </c>
    </row>
    <row r="141" spans="1:28">
      <c r="A141" s="48" t="s">
        <v>46</v>
      </c>
      <c r="B141" s="50">
        <v>350</v>
      </c>
      <c r="C141" s="50">
        <v>2000</v>
      </c>
      <c r="D141" s="50">
        <v>4.5060000000000002</v>
      </c>
      <c r="E141" s="50">
        <v>295.61075479975767</v>
      </c>
      <c r="F141" s="50">
        <v>8878.7682537029687</v>
      </c>
      <c r="G141" s="57" t="s">
        <v>88</v>
      </c>
      <c r="H141" s="50">
        <v>0.52300000000000002</v>
      </c>
      <c r="I141" s="50">
        <v>21.9</v>
      </c>
      <c r="J141" s="50">
        <v>1668</v>
      </c>
      <c r="K141" s="50">
        <v>3287</v>
      </c>
      <c r="L141" s="50">
        <v>0.55000000000000004</v>
      </c>
      <c r="M141" s="50">
        <v>147.4</v>
      </c>
      <c r="N141" s="51">
        <v>77.22</v>
      </c>
      <c r="O141" s="43">
        <f t="shared" si="24"/>
        <v>0.44999999999999996</v>
      </c>
      <c r="P141" s="43">
        <f t="shared" si="25"/>
        <v>1154.8997547997576</v>
      </c>
      <c r="Q141" s="43">
        <f t="shared" si="26"/>
        <v>9.2928994610118314E-6</v>
      </c>
      <c r="R141" s="43">
        <v>35</v>
      </c>
      <c r="S141" s="43">
        <f t="shared" si="27"/>
        <v>0.17499999999999999</v>
      </c>
      <c r="T141" s="43">
        <f t="shared" si="28"/>
        <v>19.12834788318569</v>
      </c>
      <c r="U141" s="43" t="str" cm="1">
        <f t="array" ref="U141">_xlfn.IFS(T141&lt;3,"Group I",T141&lt;5,"Group II",T141&lt;10,"Group III",T141&lt;20,"Group IV",T141&lt;50,"Group V",T141&lt;100,"Group VI",T141&lt;200,"Group VII",T141&lt;500,"Group VIII",T141&lt;1000,"Group IX",TRUE,"Group X")</f>
        <v>Group IV</v>
      </c>
      <c r="V141" s="43">
        <f t="shared" si="29"/>
        <v>1.2816774616007141</v>
      </c>
      <c r="W141" s="43">
        <f t="shared" si="30"/>
        <v>7.5326328767123281</v>
      </c>
      <c r="X141" s="43">
        <f t="shared" si="31"/>
        <v>0.87694680142922476</v>
      </c>
      <c r="Y141" s="43">
        <f t="shared" si="32"/>
        <v>0.5238805970149254</v>
      </c>
      <c r="Z141" s="43">
        <f t="shared" si="33"/>
        <v>-0.28076768623500231</v>
      </c>
      <c r="AA141" s="43">
        <f t="shared" si="34"/>
        <v>1.191659376989795</v>
      </c>
      <c r="AB141" s="43">
        <f t="shared" si="35"/>
        <v>0.45145213976969012</v>
      </c>
    </row>
    <row r="142" spans="1:28">
      <c r="A142" s="48" t="s">
        <v>46</v>
      </c>
      <c r="B142" s="50">
        <v>350</v>
      </c>
      <c r="C142" s="50">
        <v>2400</v>
      </c>
      <c r="D142" s="50">
        <v>4.5060000000000002</v>
      </c>
      <c r="E142" s="50">
        <v>295.61075479975767</v>
      </c>
      <c r="F142" s="50">
        <v>8878.7682537029687</v>
      </c>
      <c r="G142" s="57" t="s">
        <v>88</v>
      </c>
      <c r="H142" s="50">
        <v>0.52300000000000002</v>
      </c>
      <c r="I142" s="50">
        <v>21.9</v>
      </c>
      <c r="J142" s="50">
        <v>1668</v>
      </c>
      <c r="K142" s="50">
        <v>3287</v>
      </c>
      <c r="L142" s="50">
        <v>0.55000000000000004</v>
      </c>
      <c r="M142" s="50">
        <v>131.71</v>
      </c>
      <c r="N142" s="51">
        <v>46.13</v>
      </c>
      <c r="O142" s="43">
        <f t="shared" si="24"/>
        <v>0.44999999999999996</v>
      </c>
      <c r="P142" s="43">
        <f t="shared" si="25"/>
        <v>1154.8997547997576</v>
      </c>
      <c r="Q142" s="43">
        <f t="shared" si="26"/>
        <v>9.2928994610118314E-6</v>
      </c>
      <c r="R142" s="43">
        <v>35</v>
      </c>
      <c r="S142" s="43">
        <f t="shared" si="27"/>
        <v>0.14583333333333334</v>
      </c>
      <c r="T142" s="43">
        <f t="shared" si="28"/>
        <v>17.461712705711662</v>
      </c>
      <c r="U142" s="43" t="str" cm="1">
        <f t="array" ref="U142">_xlfn.IFS(T142&lt;3,"Group I",T142&lt;5,"Group II",T142&lt;10,"Group III",T142&lt;20,"Group IV",T142&lt;50,"Group V",T142&lt;100,"Group VI",T142&lt;200,"Group VII",T142&lt;500,"Group VIII",T142&lt;1000,"Group IX",TRUE,"Group X")</f>
        <v>Group IV</v>
      </c>
      <c r="V142" s="43">
        <f t="shared" si="29"/>
        <v>1.2420868385769015</v>
      </c>
      <c r="W142" s="43">
        <f t="shared" si="30"/>
        <v>9.0391594520547933</v>
      </c>
      <c r="X142" s="43">
        <f t="shared" si="31"/>
        <v>0.95612804747684954</v>
      </c>
      <c r="Y142" s="43">
        <f t="shared" si="32"/>
        <v>0.35023916179485232</v>
      </c>
      <c r="Z142" s="43">
        <f t="shared" si="33"/>
        <v>-0.45563529514430806</v>
      </c>
      <c r="AA142" s="43">
        <f t="shared" si="34"/>
        <v>1.0967869953127747</v>
      </c>
      <c r="AB142" s="43">
        <f t="shared" si="35"/>
        <v>0.43935712046567837</v>
      </c>
    </row>
    <row r="143" spans="1:28">
      <c r="A143" s="48" t="s">
        <v>46</v>
      </c>
      <c r="B143" s="50">
        <v>100</v>
      </c>
      <c r="C143" s="50">
        <v>300</v>
      </c>
      <c r="D143" s="50">
        <v>4.5060000000000002</v>
      </c>
      <c r="E143" s="50">
        <v>295.61075479975767</v>
      </c>
      <c r="F143" s="50">
        <v>8878.7682537029687</v>
      </c>
      <c r="G143" s="57" t="s">
        <v>88</v>
      </c>
      <c r="H143" s="50">
        <v>0.52300000000000002</v>
      </c>
      <c r="I143" s="50">
        <v>21.9</v>
      </c>
      <c r="J143" s="50">
        <v>1668</v>
      </c>
      <c r="K143" s="50">
        <v>3287</v>
      </c>
      <c r="L143" s="50">
        <v>0.55000000000000004</v>
      </c>
      <c r="M143" s="50">
        <v>186.34</v>
      </c>
      <c r="N143" s="51">
        <v>47.93</v>
      </c>
      <c r="O143" s="43">
        <f t="shared" si="24"/>
        <v>0.44999999999999996</v>
      </c>
      <c r="P143" s="43">
        <f t="shared" si="25"/>
        <v>1154.8997547997576</v>
      </c>
      <c r="Q143" s="43">
        <f t="shared" si="26"/>
        <v>9.2928994610118314E-6</v>
      </c>
      <c r="R143" s="43">
        <v>35</v>
      </c>
      <c r="S143" s="43">
        <f t="shared" si="27"/>
        <v>0.33333333333333331</v>
      </c>
      <c r="T143" s="43">
        <f t="shared" si="28"/>
        <v>14.111194817531445</v>
      </c>
      <c r="U143" s="43" t="str" cm="1">
        <f t="array" ref="U143">_xlfn.IFS(T143&lt;3,"Group I",T143&lt;5,"Group II",T143&lt;10,"Group III",T143&lt;20,"Group IV",T143&lt;50,"Group V",T143&lt;100,"Group VI",T143&lt;200,"Group VII",T143&lt;500,"Group VIII",T143&lt;1000,"Group IX",TRUE,"Group X")</f>
        <v>Group IV</v>
      </c>
      <c r="V143" s="43">
        <f t="shared" si="29"/>
        <v>1.1495637877225977</v>
      </c>
      <c r="W143" s="43">
        <f t="shared" si="30"/>
        <v>1.1298949315068492</v>
      </c>
      <c r="X143" s="43">
        <f t="shared" si="31"/>
        <v>5.303806048490594E-2</v>
      </c>
      <c r="Y143" s="43">
        <f t="shared" si="32"/>
        <v>0.25721798862294731</v>
      </c>
      <c r="Z143" s="43">
        <f t="shared" si="33"/>
        <v>-0.58969866216112521</v>
      </c>
      <c r="AA143" s="43">
        <f t="shared" si="34"/>
        <v>0.80721139646728413</v>
      </c>
      <c r="AB143" s="43">
        <f t="shared" si="35"/>
        <v>0.41233960671234704</v>
      </c>
    </row>
    <row r="144" spans="1:28">
      <c r="A144" s="48" t="s">
        <v>46</v>
      </c>
      <c r="B144" s="50">
        <v>150</v>
      </c>
      <c r="C144" s="50">
        <v>300</v>
      </c>
      <c r="D144" s="50">
        <v>4.5060000000000002</v>
      </c>
      <c r="E144" s="50">
        <v>295.61075479975767</v>
      </c>
      <c r="F144" s="50">
        <v>8878.7682537029687</v>
      </c>
      <c r="G144" s="57" t="s">
        <v>88</v>
      </c>
      <c r="H144" s="50">
        <v>0.52300000000000002</v>
      </c>
      <c r="I144" s="50">
        <v>21.9</v>
      </c>
      <c r="J144" s="50">
        <v>1668</v>
      </c>
      <c r="K144" s="50">
        <v>3287</v>
      </c>
      <c r="L144" s="50">
        <v>0.55000000000000004</v>
      </c>
      <c r="M144" s="50">
        <v>285.89999999999998</v>
      </c>
      <c r="N144" s="51">
        <v>280.7</v>
      </c>
      <c r="O144" s="43">
        <f t="shared" si="24"/>
        <v>0.44999999999999996</v>
      </c>
      <c r="P144" s="43">
        <f t="shared" si="25"/>
        <v>1154.8997547997576</v>
      </c>
      <c r="Q144" s="43">
        <f t="shared" si="26"/>
        <v>9.2928994610118314E-6</v>
      </c>
      <c r="R144" s="43">
        <v>35</v>
      </c>
      <c r="S144" s="43">
        <f t="shared" si="27"/>
        <v>0.5</v>
      </c>
      <c r="T144" s="43">
        <f t="shared" si="28"/>
        <v>21.166792226297169</v>
      </c>
      <c r="U144" s="43" t="str" cm="1">
        <f t="array" ref="U144">_xlfn.IFS(T144&lt;3,"Group I",T144&lt;5,"Group II",T144&lt;10,"Group III",T144&lt;20,"Group IV",T144&lt;50,"Group V",T144&lt;100,"Group VI",T144&lt;200,"Group VII",T144&lt;500,"Group VIII",T144&lt;1000,"Group IX",TRUE,"Group X")</f>
        <v>Group V</v>
      </c>
      <c r="V144" s="43">
        <f t="shared" si="29"/>
        <v>1.3256550467782791</v>
      </c>
      <c r="W144" s="43">
        <f t="shared" si="30"/>
        <v>1.1298949315068492</v>
      </c>
      <c r="X144" s="43">
        <f t="shared" si="31"/>
        <v>5.303806048490594E-2</v>
      </c>
      <c r="Y144" s="43">
        <f t="shared" si="32"/>
        <v>0.98181182231549502</v>
      </c>
      <c r="Z144" s="43">
        <f t="shared" si="33"/>
        <v>-7.9717427235496685E-3</v>
      </c>
      <c r="AA144" s="43">
        <f t="shared" si="34"/>
        <v>1.2108170947009262</v>
      </c>
      <c r="AB144" s="43">
        <f t="shared" si="35"/>
        <v>0.46527812899550081</v>
      </c>
    </row>
    <row r="145" spans="1:28">
      <c r="A145" s="48" t="s">
        <v>46</v>
      </c>
      <c r="B145" s="50">
        <v>200</v>
      </c>
      <c r="C145" s="50">
        <v>300</v>
      </c>
      <c r="D145" s="50">
        <v>4.5060000000000002</v>
      </c>
      <c r="E145" s="50">
        <v>295.61075479975767</v>
      </c>
      <c r="F145" s="50">
        <v>8878.7682537029687</v>
      </c>
      <c r="G145" s="57" t="s">
        <v>88</v>
      </c>
      <c r="H145" s="50">
        <v>0.52300000000000002</v>
      </c>
      <c r="I145" s="50">
        <v>21.9</v>
      </c>
      <c r="J145" s="50">
        <v>1668</v>
      </c>
      <c r="K145" s="50">
        <v>3287</v>
      </c>
      <c r="L145" s="50">
        <v>0.55000000000000004</v>
      </c>
      <c r="M145" s="50">
        <v>250.64</v>
      </c>
      <c r="N145" s="51">
        <v>410.94</v>
      </c>
      <c r="O145" s="43">
        <f t="shared" si="24"/>
        <v>0.44999999999999996</v>
      </c>
      <c r="P145" s="43">
        <f t="shared" si="25"/>
        <v>1154.8997547997576</v>
      </c>
      <c r="Q145" s="43">
        <f t="shared" si="26"/>
        <v>9.2928994610118314E-6</v>
      </c>
      <c r="R145" s="43">
        <v>35</v>
      </c>
      <c r="S145" s="43">
        <f t="shared" si="27"/>
        <v>0.66666666666666663</v>
      </c>
      <c r="T145" s="43">
        <f t="shared" si="28"/>
        <v>28.222389635062889</v>
      </c>
      <c r="U145" s="43" t="str" cm="1">
        <f t="array" ref="U145">_xlfn.IFS(T145&lt;3,"Group I",T145&lt;5,"Group II",T145&lt;10,"Group III",T145&lt;20,"Group IV",T145&lt;50,"Group V",T145&lt;100,"Group VI",T145&lt;200,"Group VII",T145&lt;500,"Group VIII",T145&lt;1000,"Group IX",TRUE,"Group X")</f>
        <v>Group V</v>
      </c>
      <c r="V145" s="43">
        <f t="shared" si="29"/>
        <v>1.450593783386579</v>
      </c>
      <c r="W145" s="43">
        <f t="shared" si="30"/>
        <v>1.1298949315068492</v>
      </c>
      <c r="X145" s="43">
        <f t="shared" si="31"/>
        <v>5.303806048490594E-2</v>
      </c>
      <c r="Y145" s="43">
        <f t="shared" si="32"/>
        <v>1.6395627194382383</v>
      </c>
      <c r="Z145" s="43">
        <f t="shared" si="33"/>
        <v>0.21472803471989263</v>
      </c>
      <c r="AA145" s="43">
        <f t="shared" si="34"/>
        <v>1.6144227929345683</v>
      </c>
      <c r="AB145" s="43">
        <f t="shared" si="35"/>
        <v>0.5069112013758611</v>
      </c>
    </row>
    <row r="146" spans="1:28">
      <c r="A146" s="48" t="s">
        <v>46</v>
      </c>
      <c r="B146" s="50">
        <v>250</v>
      </c>
      <c r="C146" s="50">
        <v>300</v>
      </c>
      <c r="D146" s="50">
        <v>4.5060000000000002</v>
      </c>
      <c r="E146" s="50">
        <v>295.61075479975767</v>
      </c>
      <c r="F146" s="50">
        <v>8878.7682537029687</v>
      </c>
      <c r="G146" s="57" t="s">
        <v>88</v>
      </c>
      <c r="H146" s="50">
        <v>0.52300000000000002</v>
      </c>
      <c r="I146" s="50">
        <v>21.9</v>
      </c>
      <c r="J146" s="50">
        <v>1668</v>
      </c>
      <c r="K146" s="50">
        <v>3287</v>
      </c>
      <c r="L146" s="50">
        <v>0.55000000000000004</v>
      </c>
      <c r="M146" s="50">
        <v>304.93</v>
      </c>
      <c r="N146" s="51">
        <v>491.61</v>
      </c>
      <c r="O146" s="43">
        <f t="shared" si="24"/>
        <v>0.44999999999999996</v>
      </c>
      <c r="P146" s="43">
        <f t="shared" si="25"/>
        <v>1154.8997547997576</v>
      </c>
      <c r="Q146" s="43">
        <f t="shared" si="26"/>
        <v>9.2928994610118314E-6</v>
      </c>
      <c r="R146" s="43">
        <v>35</v>
      </c>
      <c r="S146" s="43">
        <f t="shared" si="27"/>
        <v>0.83333333333333337</v>
      </c>
      <c r="T146" s="43">
        <f t="shared" si="28"/>
        <v>35.27798704382861</v>
      </c>
      <c r="U146" s="43" t="str" cm="1">
        <f t="array" ref="U146">_xlfn.IFS(T146&lt;3,"Group I",T146&lt;5,"Group II",T146&lt;10,"Group III",T146&lt;20,"Group IV",T146&lt;50,"Group V",T146&lt;100,"Group VI",T146&lt;200,"Group VII",T146&lt;500,"Group VIII",T146&lt;1000,"Group IX",TRUE,"Group X")</f>
        <v>Group V</v>
      </c>
      <c r="V146" s="43">
        <f t="shared" si="29"/>
        <v>1.5475037963946354</v>
      </c>
      <c r="W146" s="43">
        <f t="shared" si="30"/>
        <v>1.1298949315068492</v>
      </c>
      <c r="X146" s="43">
        <f t="shared" si="31"/>
        <v>5.303806048490594E-2</v>
      </c>
      <c r="Y146" s="43">
        <f t="shared" si="32"/>
        <v>1.6122060800839537</v>
      </c>
      <c r="Z146" s="43">
        <f t="shared" si="33"/>
        <v>0.20742055466691225</v>
      </c>
      <c r="AA146" s="43">
        <f t="shared" si="34"/>
        <v>2.0180284911682103</v>
      </c>
      <c r="AB146" s="43">
        <f t="shared" si="35"/>
        <v>0.5417530698655405</v>
      </c>
    </row>
    <row r="147" spans="1:28">
      <c r="A147" s="48" t="s">
        <v>46</v>
      </c>
      <c r="B147" s="50">
        <v>300</v>
      </c>
      <c r="C147" s="50">
        <v>300</v>
      </c>
      <c r="D147" s="50">
        <v>4.5060000000000002</v>
      </c>
      <c r="E147" s="50">
        <v>295.61075479975767</v>
      </c>
      <c r="F147" s="50">
        <v>8878.7682537029687</v>
      </c>
      <c r="G147" s="57" t="s">
        <v>88</v>
      </c>
      <c r="H147" s="50">
        <v>0.52300000000000002</v>
      </c>
      <c r="I147" s="50">
        <v>21.9</v>
      </c>
      <c r="J147" s="50">
        <v>1668</v>
      </c>
      <c r="K147" s="50">
        <v>3287</v>
      </c>
      <c r="L147" s="50">
        <v>0.55000000000000004</v>
      </c>
      <c r="M147" s="50">
        <v>357.14</v>
      </c>
      <c r="N147" s="51">
        <v>568.69000000000005</v>
      </c>
      <c r="O147" s="43">
        <f t="shared" si="24"/>
        <v>0.44999999999999996</v>
      </c>
      <c r="P147" s="43">
        <f t="shared" si="25"/>
        <v>1154.8997547997576</v>
      </c>
      <c r="Q147" s="43">
        <f t="shared" si="26"/>
        <v>9.2928994610118314E-6</v>
      </c>
      <c r="R147" s="43">
        <v>35</v>
      </c>
      <c r="S147" s="43">
        <f t="shared" si="27"/>
        <v>1</v>
      </c>
      <c r="T147" s="43">
        <f t="shared" si="28"/>
        <v>42.333584452594337</v>
      </c>
      <c r="U147" s="43" t="str" cm="1">
        <f t="array" ref="U147">_xlfn.IFS(T147&lt;3,"Group I",T147&lt;5,"Group II",T147&lt;10,"Group III",T147&lt;20,"Group IV",T147&lt;50,"Group V",T147&lt;100,"Group VI",T147&lt;200,"Group VII",T147&lt;500,"Group VIII",T147&lt;1000,"Group IX",TRUE,"Group X")</f>
        <v>Group V</v>
      </c>
      <c r="V147" s="43">
        <f t="shared" si="29"/>
        <v>1.6266850424422603</v>
      </c>
      <c r="W147" s="43">
        <f t="shared" si="30"/>
        <v>1.1298949315068492</v>
      </c>
      <c r="X147" s="43">
        <f t="shared" si="31"/>
        <v>5.303806048490594E-2</v>
      </c>
      <c r="Y147" s="43">
        <f t="shared" si="32"/>
        <v>1.5923447387579104</v>
      </c>
      <c r="Z147" s="43">
        <f t="shared" si="33"/>
        <v>0.20203709727871216</v>
      </c>
      <c r="AA147" s="43">
        <f t="shared" si="34"/>
        <v>2.4216341894018525</v>
      </c>
      <c r="AB147" s="43">
        <f t="shared" si="35"/>
        <v>0.5719913670761132</v>
      </c>
    </row>
    <row r="148" spans="1:28">
      <c r="A148" s="48" t="s">
        <v>46</v>
      </c>
      <c r="B148" s="50">
        <v>100</v>
      </c>
      <c r="C148" s="50">
        <v>600</v>
      </c>
      <c r="D148" s="50">
        <v>4.5060000000000002</v>
      </c>
      <c r="E148" s="50">
        <v>295.61075479975767</v>
      </c>
      <c r="F148" s="50">
        <v>8878.7682537029687</v>
      </c>
      <c r="G148" s="57" t="s">
        <v>88</v>
      </c>
      <c r="H148" s="50">
        <v>0.52300000000000002</v>
      </c>
      <c r="I148" s="50">
        <v>21.9</v>
      </c>
      <c r="J148" s="50">
        <v>1668</v>
      </c>
      <c r="K148" s="50">
        <v>3287</v>
      </c>
      <c r="L148" s="50">
        <v>0.55000000000000004</v>
      </c>
      <c r="M148" s="50">
        <v>126.88</v>
      </c>
      <c r="N148" s="51">
        <v>91.64</v>
      </c>
      <c r="O148" s="43">
        <f t="shared" si="24"/>
        <v>0.44999999999999996</v>
      </c>
      <c r="P148" s="43">
        <f t="shared" si="25"/>
        <v>1154.8997547997576</v>
      </c>
      <c r="Q148" s="43">
        <f t="shared" si="26"/>
        <v>9.2928994610118314E-6</v>
      </c>
      <c r="R148" s="43">
        <v>35</v>
      </c>
      <c r="S148" s="43">
        <f t="shared" si="27"/>
        <v>0.16666666666666666</v>
      </c>
      <c r="T148" s="43">
        <f t="shared" si="28"/>
        <v>9.9781215461209491</v>
      </c>
      <c r="U148" s="43" t="str" cm="1">
        <f t="array" ref="U148">_xlfn.IFS(T148&lt;3,"Group I",T148&lt;5,"Group II",T148&lt;10,"Group III",T148&lt;20,"Group IV",T148&lt;50,"Group V",T148&lt;100,"Group VI",T148&lt;200,"Group VII",T148&lt;500,"Group VIII",T148&lt;1000,"Group IX",TRUE,"Group X")</f>
        <v>Group III</v>
      </c>
      <c r="V148" s="43">
        <f t="shared" si="29"/>
        <v>0.99904878989060708</v>
      </c>
      <c r="W148" s="43">
        <f t="shared" si="30"/>
        <v>2.2597898630136983</v>
      </c>
      <c r="X148" s="43">
        <f t="shared" si="31"/>
        <v>0.35406805614888714</v>
      </c>
      <c r="Y148" s="43">
        <f t="shared" si="32"/>
        <v>0.72225725094577553</v>
      </c>
      <c r="Z148" s="43">
        <f t="shared" si="33"/>
        <v>-0.14130808945616868</v>
      </c>
      <c r="AA148" s="43">
        <f t="shared" si="34"/>
        <v>0.58885667971641176</v>
      </c>
      <c r="AB148" s="43">
        <f t="shared" si="35"/>
        <v>0.37189182739092425</v>
      </c>
    </row>
    <row r="149" spans="1:28">
      <c r="A149" s="48" t="s">
        <v>46</v>
      </c>
      <c r="B149" s="50">
        <v>150</v>
      </c>
      <c r="C149" s="50">
        <v>600</v>
      </c>
      <c r="D149" s="50">
        <v>4.5060000000000002</v>
      </c>
      <c r="E149" s="50">
        <v>295.61075479975767</v>
      </c>
      <c r="F149" s="50">
        <v>8878.7682537029687</v>
      </c>
      <c r="G149" s="57" t="s">
        <v>88</v>
      </c>
      <c r="H149" s="50">
        <v>0.52300000000000002</v>
      </c>
      <c r="I149" s="50">
        <v>21.9</v>
      </c>
      <c r="J149" s="50">
        <v>1668</v>
      </c>
      <c r="K149" s="50">
        <v>3287</v>
      </c>
      <c r="L149" s="50">
        <v>0.55000000000000004</v>
      </c>
      <c r="M149" s="50">
        <v>148.30000000000001</v>
      </c>
      <c r="N149" s="51">
        <v>158</v>
      </c>
      <c r="O149" s="43">
        <f t="shared" si="24"/>
        <v>0.44999999999999996</v>
      </c>
      <c r="P149" s="43">
        <f t="shared" si="25"/>
        <v>1154.8997547997576</v>
      </c>
      <c r="Q149" s="43">
        <f t="shared" si="26"/>
        <v>9.2928994610118314E-6</v>
      </c>
      <c r="R149" s="43">
        <v>35</v>
      </c>
      <c r="S149" s="43">
        <f t="shared" si="27"/>
        <v>0.25</v>
      </c>
      <c r="T149" s="43">
        <f t="shared" si="28"/>
        <v>14.967182319181425</v>
      </c>
      <c r="U149" s="43" t="str" cm="1">
        <f t="array" ref="U149">_xlfn.IFS(T149&lt;3,"Group I",T149&lt;5,"Group II",T149&lt;10,"Group III",T149&lt;20,"Group IV",T149&lt;50,"Group V",T149&lt;100,"Group VI",T149&lt;200,"Group VII",T149&lt;500,"Group VIII",T149&lt;1000,"Group IX",TRUE,"Group X")</f>
        <v>Group IV</v>
      </c>
      <c r="V149" s="43">
        <f t="shared" si="29"/>
        <v>1.1751400489462884</v>
      </c>
      <c r="W149" s="43">
        <f t="shared" si="30"/>
        <v>2.2597898630136983</v>
      </c>
      <c r="X149" s="43">
        <f t="shared" si="31"/>
        <v>0.35406805614888714</v>
      </c>
      <c r="Y149" s="43">
        <f t="shared" si="32"/>
        <v>1.0654079568442345</v>
      </c>
      <c r="Z149" s="43">
        <f t="shared" si="33"/>
        <v>2.7515935926040534E-2</v>
      </c>
      <c r="AA149" s="43">
        <f t="shared" si="34"/>
        <v>0.8832850195746178</v>
      </c>
      <c r="AB149" s="43">
        <f t="shared" si="35"/>
        <v>0.41963743191392472</v>
      </c>
    </row>
    <row r="150" spans="1:28">
      <c r="A150" s="48" t="s">
        <v>46</v>
      </c>
      <c r="B150" s="50">
        <v>200</v>
      </c>
      <c r="C150" s="50">
        <v>600</v>
      </c>
      <c r="D150" s="50">
        <v>4.5060000000000002</v>
      </c>
      <c r="E150" s="50">
        <v>295.61075479975767</v>
      </c>
      <c r="F150" s="50">
        <v>8878.7682537029687</v>
      </c>
      <c r="G150" s="57" t="s">
        <v>88</v>
      </c>
      <c r="H150" s="50">
        <v>0.52300000000000002</v>
      </c>
      <c r="I150" s="50">
        <v>21.9</v>
      </c>
      <c r="J150" s="50">
        <v>1668</v>
      </c>
      <c r="K150" s="50">
        <v>3287</v>
      </c>
      <c r="L150" s="50">
        <v>0.55000000000000004</v>
      </c>
      <c r="M150" s="50">
        <v>203.98</v>
      </c>
      <c r="N150" s="51">
        <v>228.88</v>
      </c>
      <c r="O150" s="43">
        <f t="shared" si="24"/>
        <v>0.44999999999999996</v>
      </c>
      <c r="P150" s="43">
        <f t="shared" si="25"/>
        <v>1154.8997547997576</v>
      </c>
      <c r="Q150" s="43">
        <f t="shared" si="26"/>
        <v>9.2928994610118314E-6</v>
      </c>
      <c r="R150" s="43">
        <v>35</v>
      </c>
      <c r="S150" s="43">
        <f t="shared" si="27"/>
        <v>0.33333333333333331</v>
      </c>
      <c r="T150" s="43">
        <f t="shared" si="28"/>
        <v>19.956243092241898</v>
      </c>
      <c r="U150" s="43" t="str" cm="1">
        <f t="array" ref="U150">_xlfn.IFS(T150&lt;3,"Group I",T150&lt;5,"Group II",T150&lt;10,"Group III",T150&lt;20,"Group IV",T150&lt;50,"Group V",T150&lt;100,"Group VI",T150&lt;200,"Group VII",T150&lt;500,"Group VIII",T150&lt;1000,"Group IX",TRUE,"Group X")</f>
        <v>Group IV</v>
      </c>
      <c r="V150" s="43">
        <f t="shared" si="29"/>
        <v>1.3000787855545883</v>
      </c>
      <c r="W150" s="43">
        <f t="shared" si="30"/>
        <v>2.2597898630136983</v>
      </c>
      <c r="X150" s="43">
        <f t="shared" si="31"/>
        <v>0.35406805614888714</v>
      </c>
      <c r="Y150" s="43">
        <f t="shared" si="32"/>
        <v>1.1220707912540446</v>
      </c>
      <c r="Z150" s="43">
        <f t="shared" si="33"/>
        <v>5.0020257348978102E-2</v>
      </c>
      <c r="AA150" s="43">
        <f t="shared" si="34"/>
        <v>1.1777133594328235</v>
      </c>
      <c r="AB150" s="43">
        <f t="shared" si="35"/>
        <v>0.45718657615180036</v>
      </c>
    </row>
    <row r="151" spans="1:28">
      <c r="A151" s="48" t="s">
        <v>46</v>
      </c>
      <c r="B151" s="50">
        <v>250</v>
      </c>
      <c r="C151" s="50">
        <v>600</v>
      </c>
      <c r="D151" s="50">
        <v>4.5060000000000002</v>
      </c>
      <c r="E151" s="50">
        <v>295.61075479975767</v>
      </c>
      <c r="F151" s="50">
        <v>8878.7682537029687</v>
      </c>
      <c r="G151" s="57" t="s">
        <v>88</v>
      </c>
      <c r="H151" s="50">
        <v>0.52300000000000002</v>
      </c>
      <c r="I151" s="50">
        <v>21.9</v>
      </c>
      <c r="J151" s="50">
        <v>1668</v>
      </c>
      <c r="K151" s="50">
        <v>3287</v>
      </c>
      <c r="L151" s="50">
        <v>0.55000000000000004</v>
      </c>
      <c r="M151" s="50">
        <v>196</v>
      </c>
      <c r="N151" s="51">
        <v>312.77</v>
      </c>
      <c r="O151" s="43">
        <f t="shared" si="24"/>
        <v>0.44999999999999996</v>
      </c>
      <c r="P151" s="43">
        <f t="shared" si="25"/>
        <v>1154.8997547997576</v>
      </c>
      <c r="Q151" s="43">
        <f t="shared" si="26"/>
        <v>9.2928994610118314E-6</v>
      </c>
      <c r="R151" s="43">
        <v>35</v>
      </c>
      <c r="S151" s="43">
        <f t="shared" si="27"/>
        <v>0.41666666666666669</v>
      </c>
      <c r="T151" s="43">
        <f t="shared" si="28"/>
        <v>24.945303865302375</v>
      </c>
      <c r="U151" s="43" t="str" cm="1">
        <f t="array" ref="U151">_xlfn.IFS(T151&lt;3,"Group I",T151&lt;5,"Group II",T151&lt;10,"Group III",T151&lt;20,"Group IV",T151&lt;50,"Group V",T151&lt;100,"Group VI",T151&lt;200,"Group VII",T151&lt;500,"Group VIII",T151&lt;1000,"Group IX",TRUE,"Group X")</f>
        <v>Group V</v>
      </c>
      <c r="V151" s="43">
        <f t="shared" si="29"/>
        <v>1.3969887985626448</v>
      </c>
      <c r="W151" s="43">
        <f t="shared" si="30"/>
        <v>2.2597898630136983</v>
      </c>
      <c r="X151" s="43">
        <f t="shared" si="31"/>
        <v>0.35406805614888714</v>
      </c>
      <c r="Y151" s="43">
        <f t="shared" si="32"/>
        <v>1.5957653061224488</v>
      </c>
      <c r="Z151" s="43">
        <f t="shared" si="33"/>
        <v>0.20296901874974443</v>
      </c>
      <c r="AA151" s="43">
        <f t="shared" si="34"/>
        <v>1.4721416992910297</v>
      </c>
      <c r="AB151" s="43">
        <f t="shared" si="35"/>
        <v>0.48861068853734746</v>
      </c>
    </row>
    <row r="152" spans="1:28">
      <c r="A152" s="48" t="s">
        <v>46</v>
      </c>
      <c r="B152" s="50">
        <v>300</v>
      </c>
      <c r="C152" s="50">
        <v>600</v>
      </c>
      <c r="D152" s="50">
        <v>4.5060000000000002</v>
      </c>
      <c r="E152" s="50">
        <v>295.61075479975767</v>
      </c>
      <c r="F152" s="50">
        <v>8878.7682537029687</v>
      </c>
      <c r="G152" s="57" t="s">
        <v>88</v>
      </c>
      <c r="H152" s="50">
        <v>0.52300000000000002</v>
      </c>
      <c r="I152" s="50">
        <v>21.9</v>
      </c>
      <c r="J152" s="50">
        <v>1668</v>
      </c>
      <c r="K152" s="50">
        <v>3287</v>
      </c>
      <c r="L152" s="50">
        <v>0.55000000000000004</v>
      </c>
      <c r="M152" s="50">
        <v>246.8</v>
      </c>
      <c r="N152" s="51">
        <v>362.69</v>
      </c>
      <c r="O152" s="43">
        <f t="shared" si="24"/>
        <v>0.44999999999999996</v>
      </c>
      <c r="P152" s="43">
        <f t="shared" si="25"/>
        <v>1154.8997547997576</v>
      </c>
      <c r="Q152" s="43">
        <f t="shared" si="26"/>
        <v>9.2928994610118314E-6</v>
      </c>
      <c r="R152" s="43">
        <v>35</v>
      </c>
      <c r="S152" s="43">
        <f t="shared" si="27"/>
        <v>0.5</v>
      </c>
      <c r="T152" s="43">
        <f t="shared" si="28"/>
        <v>29.934364638362851</v>
      </c>
      <c r="U152" s="43" t="str" cm="1">
        <f t="array" ref="U152">_xlfn.IFS(T152&lt;3,"Group I",T152&lt;5,"Group II",T152&lt;10,"Group III",T152&lt;20,"Group IV",T152&lt;50,"Group V",T152&lt;100,"Group VI",T152&lt;200,"Group VII",T152&lt;500,"Group VIII",T152&lt;1000,"Group IX",TRUE,"Group X")</f>
        <v>Group V</v>
      </c>
      <c r="V152" s="43">
        <f t="shared" si="29"/>
        <v>1.4761700446102697</v>
      </c>
      <c r="W152" s="43">
        <f t="shared" si="30"/>
        <v>2.2597898630136983</v>
      </c>
      <c r="X152" s="43">
        <f t="shared" si="31"/>
        <v>0.35406805614888714</v>
      </c>
      <c r="Y152" s="43">
        <f t="shared" si="32"/>
        <v>1.4695705024311183</v>
      </c>
      <c r="Z152" s="43">
        <f t="shared" si="33"/>
        <v>0.16719042612303564</v>
      </c>
      <c r="AA152" s="43">
        <f t="shared" si="34"/>
        <v>1.7665700391492356</v>
      </c>
      <c r="AB152" s="43">
        <f t="shared" si="35"/>
        <v>0.51588280943907472</v>
      </c>
    </row>
    <row r="153" spans="1:28">
      <c r="A153" s="48" t="s">
        <v>46</v>
      </c>
      <c r="B153" s="50">
        <v>100</v>
      </c>
      <c r="C153" s="50">
        <v>900</v>
      </c>
      <c r="D153" s="50">
        <v>4.5060000000000002</v>
      </c>
      <c r="E153" s="50">
        <v>295.61075479975767</v>
      </c>
      <c r="F153" s="50">
        <v>8878.7682537029687</v>
      </c>
      <c r="G153" s="57" t="s">
        <v>88</v>
      </c>
      <c r="H153" s="50">
        <v>0.52300000000000002</v>
      </c>
      <c r="I153" s="50">
        <v>21.9</v>
      </c>
      <c r="J153" s="50">
        <v>1668</v>
      </c>
      <c r="K153" s="50">
        <v>3287</v>
      </c>
      <c r="L153" s="50">
        <v>0.55000000000000004</v>
      </c>
      <c r="M153" s="50">
        <v>131.32</v>
      </c>
      <c r="N153" s="51">
        <v>47.53</v>
      </c>
      <c r="O153" s="43">
        <f t="shared" si="24"/>
        <v>0.44999999999999996</v>
      </c>
      <c r="P153" s="43">
        <f t="shared" si="25"/>
        <v>1154.8997547997576</v>
      </c>
      <c r="Q153" s="43">
        <f t="shared" si="26"/>
        <v>9.2928994610118314E-6</v>
      </c>
      <c r="R153" s="43">
        <v>35</v>
      </c>
      <c r="S153" s="43">
        <f t="shared" si="27"/>
        <v>0.1111111111111111</v>
      </c>
      <c r="T153" s="43">
        <f t="shared" si="28"/>
        <v>8.1471021264890311</v>
      </c>
      <c r="U153" s="43" t="str" cm="1">
        <f t="array" ref="U153">_xlfn.IFS(T153&lt;3,"Group I",T153&lt;5,"Group II",T153&lt;10,"Group III",T153&lt;20,"Group IV",T153&lt;50,"Group V",T153&lt;100,"Group VI",T153&lt;200,"Group VII",T153&lt;500,"Group VIII",T153&lt;1000,"Group IX",TRUE,"Group X")</f>
        <v>Group III</v>
      </c>
      <c r="V153" s="43">
        <f t="shared" si="29"/>
        <v>0.91100316036276652</v>
      </c>
      <c r="W153" s="43">
        <f t="shared" si="30"/>
        <v>3.3896847945205479</v>
      </c>
      <c r="X153" s="43">
        <f t="shared" si="31"/>
        <v>0.53015931520456838</v>
      </c>
      <c r="Y153" s="43">
        <f t="shared" si="32"/>
        <v>0.36194029850746273</v>
      </c>
      <c r="Z153" s="43">
        <f t="shared" si="33"/>
        <v>-0.44136305976254392</v>
      </c>
      <c r="AA153" s="43">
        <f t="shared" si="34"/>
        <v>0.48964666430879694</v>
      </c>
      <c r="AB153" s="43">
        <f t="shared" si="35"/>
        <v>0.35009655839025705</v>
      </c>
    </row>
    <row r="154" spans="1:28">
      <c r="A154" s="48" t="s">
        <v>46</v>
      </c>
      <c r="B154" s="50">
        <v>150</v>
      </c>
      <c r="C154" s="50">
        <v>900</v>
      </c>
      <c r="D154" s="50">
        <v>4.5060000000000002</v>
      </c>
      <c r="E154" s="50">
        <v>295.61075479975767</v>
      </c>
      <c r="F154" s="50">
        <v>8878.7682537029687</v>
      </c>
      <c r="G154" s="57" t="s">
        <v>88</v>
      </c>
      <c r="H154" s="50">
        <v>0.52300000000000002</v>
      </c>
      <c r="I154" s="50">
        <v>21.9</v>
      </c>
      <c r="J154" s="50">
        <v>1668</v>
      </c>
      <c r="K154" s="50">
        <v>3287</v>
      </c>
      <c r="L154" s="50">
        <v>0.55000000000000004</v>
      </c>
      <c r="M154" s="50">
        <v>170.44</v>
      </c>
      <c r="N154" s="51">
        <v>71.81</v>
      </c>
      <c r="O154" s="43">
        <f t="shared" si="24"/>
        <v>0.44999999999999996</v>
      </c>
      <c r="P154" s="43">
        <f t="shared" si="25"/>
        <v>1154.8997547997576</v>
      </c>
      <c r="Q154" s="43">
        <f t="shared" si="26"/>
        <v>9.2928994610118314E-6</v>
      </c>
      <c r="R154" s="43">
        <v>35</v>
      </c>
      <c r="S154" s="43">
        <f t="shared" si="27"/>
        <v>0.16666666666666666</v>
      </c>
      <c r="T154" s="43">
        <f t="shared" si="28"/>
        <v>12.220653189733548</v>
      </c>
      <c r="U154" s="43" t="str" cm="1">
        <f t="array" ref="U154">_xlfn.IFS(T154&lt;3,"Group I",T154&lt;5,"Group II",T154&lt;10,"Group III",T154&lt;20,"Group IV",T154&lt;50,"Group V",T154&lt;100,"Group VI",T154&lt;200,"Group VII",T154&lt;500,"Group VIII",T154&lt;1000,"Group IX",TRUE,"Group X")</f>
        <v>Group IV</v>
      </c>
      <c r="V154" s="43">
        <f t="shared" si="29"/>
        <v>1.0870944194184478</v>
      </c>
      <c r="W154" s="43">
        <f t="shared" si="30"/>
        <v>3.3896847945205479</v>
      </c>
      <c r="X154" s="43">
        <f t="shared" si="31"/>
        <v>0.53015931520456838</v>
      </c>
      <c r="Y154" s="43">
        <f t="shared" si="32"/>
        <v>0.42132128608307912</v>
      </c>
      <c r="Z154" s="43">
        <f t="shared" si="33"/>
        <v>-0.37538659880124581</v>
      </c>
      <c r="AA154" s="43">
        <f t="shared" si="34"/>
        <v>0.73446999646319555</v>
      </c>
      <c r="AB154" s="43">
        <f t="shared" si="35"/>
        <v>0.39504396134620773</v>
      </c>
    </row>
    <row r="155" spans="1:28">
      <c r="A155" s="48" t="s">
        <v>46</v>
      </c>
      <c r="B155" s="50">
        <v>200</v>
      </c>
      <c r="C155" s="50">
        <v>900</v>
      </c>
      <c r="D155" s="50">
        <v>4.5060000000000002</v>
      </c>
      <c r="E155" s="50">
        <v>295.61075479975767</v>
      </c>
      <c r="F155" s="50">
        <v>8878.7682537029687</v>
      </c>
      <c r="G155" s="57" t="s">
        <v>88</v>
      </c>
      <c r="H155" s="50">
        <v>0.52300000000000002</v>
      </c>
      <c r="I155" s="50">
        <v>21.9</v>
      </c>
      <c r="J155" s="50">
        <v>1668</v>
      </c>
      <c r="K155" s="50">
        <v>3287</v>
      </c>
      <c r="L155" s="50">
        <v>0.55000000000000004</v>
      </c>
      <c r="M155" s="50">
        <v>170.65</v>
      </c>
      <c r="N155" s="51">
        <v>132.96</v>
      </c>
      <c r="O155" s="43">
        <f t="shared" si="24"/>
        <v>0.44999999999999996</v>
      </c>
      <c r="P155" s="43">
        <f t="shared" si="25"/>
        <v>1154.8997547997576</v>
      </c>
      <c r="Q155" s="43">
        <f t="shared" si="26"/>
        <v>9.2928994610118314E-6</v>
      </c>
      <c r="R155" s="43">
        <v>35</v>
      </c>
      <c r="S155" s="43">
        <f t="shared" si="27"/>
        <v>0.22222222222222221</v>
      </c>
      <c r="T155" s="43">
        <f t="shared" si="28"/>
        <v>16.294204252978062</v>
      </c>
      <c r="U155" s="43" t="str" cm="1">
        <f t="array" ref="U155">_xlfn.IFS(T155&lt;3,"Group I",T155&lt;5,"Group II",T155&lt;10,"Group III",T155&lt;20,"Group IV",T155&lt;50,"Group V",T155&lt;100,"Group VI",T155&lt;200,"Group VII",T155&lt;500,"Group VIII",T155&lt;1000,"Group IX",TRUE,"Group X")</f>
        <v>Group IV</v>
      </c>
      <c r="V155" s="43">
        <f t="shared" si="29"/>
        <v>1.2120331560267477</v>
      </c>
      <c r="W155" s="43">
        <f t="shared" si="30"/>
        <v>3.3896847945205479</v>
      </c>
      <c r="X155" s="43">
        <f t="shared" si="31"/>
        <v>0.53015931520456838</v>
      </c>
      <c r="Y155" s="43">
        <f t="shared" si="32"/>
        <v>0.77913858775271028</v>
      </c>
      <c r="Z155" s="43">
        <f t="shared" si="33"/>
        <v>-0.10838528617462186</v>
      </c>
      <c r="AA155" s="43">
        <f t="shared" si="34"/>
        <v>0.97929332861759388</v>
      </c>
      <c r="AB155" s="43">
        <f t="shared" si="35"/>
        <v>0.43039248260951857</v>
      </c>
    </row>
    <row r="156" spans="1:28">
      <c r="A156" s="48" t="s">
        <v>46</v>
      </c>
      <c r="B156" s="50">
        <v>250</v>
      </c>
      <c r="C156" s="50">
        <v>900</v>
      </c>
      <c r="D156" s="50">
        <v>4.5060000000000002</v>
      </c>
      <c r="E156" s="50">
        <v>295.61075479975767</v>
      </c>
      <c r="F156" s="50">
        <v>8878.7682537029687</v>
      </c>
      <c r="G156" s="57" t="s">
        <v>88</v>
      </c>
      <c r="H156" s="50">
        <v>0.52300000000000002</v>
      </c>
      <c r="I156" s="50">
        <v>21.9</v>
      </c>
      <c r="J156" s="50">
        <v>1668</v>
      </c>
      <c r="K156" s="50">
        <v>3287</v>
      </c>
      <c r="L156" s="50">
        <v>0.55000000000000004</v>
      </c>
      <c r="M156" s="50">
        <v>170.3</v>
      </c>
      <c r="N156" s="51">
        <v>168.38</v>
      </c>
      <c r="O156" s="43">
        <f t="shared" si="24"/>
        <v>0.44999999999999996</v>
      </c>
      <c r="P156" s="43">
        <f t="shared" si="25"/>
        <v>1154.8997547997576</v>
      </c>
      <c r="Q156" s="43">
        <f t="shared" si="26"/>
        <v>9.2928994610118314E-6</v>
      </c>
      <c r="R156" s="43">
        <v>35</v>
      </c>
      <c r="S156" s="43">
        <f t="shared" si="27"/>
        <v>0.27777777777777779</v>
      </c>
      <c r="T156" s="43">
        <f t="shared" si="28"/>
        <v>20.367755316222578</v>
      </c>
      <c r="U156" s="43" t="str" cm="1">
        <f t="array" ref="U156">_xlfn.IFS(T156&lt;3,"Group I",T156&lt;5,"Group II",T156&lt;10,"Group III",T156&lt;20,"Group IV",T156&lt;50,"Group V",T156&lt;100,"Group VI",T156&lt;200,"Group VII",T156&lt;500,"Group VIII",T156&lt;1000,"Group IX",TRUE,"Group X")</f>
        <v>Group V</v>
      </c>
      <c r="V156" s="43">
        <f t="shared" si="29"/>
        <v>1.3089431690348041</v>
      </c>
      <c r="W156" s="43">
        <f t="shared" si="30"/>
        <v>3.3896847945205479</v>
      </c>
      <c r="X156" s="43">
        <f t="shared" si="31"/>
        <v>0.53015931520456838</v>
      </c>
      <c r="Y156" s="43">
        <f t="shared" si="32"/>
        <v>0.98872577803875505</v>
      </c>
      <c r="Z156" s="43">
        <f t="shared" si="33"/>
        <v>-4.9241427791846086E-3</v>
      </c>
      <c r="AA156" s="43">
        <f t="shared" si="34"/>
        <v>1.2241166607719924</v>
      </c>
      <c r="AB156" s="43">
        <f t="shared" si="35"/>
        <v>0.45997493854524474</v>
      </c>
    </row>
    <row r="157" spans="1:28" ht="18.600000000000001" thickBot="1">
      <c r="A157" s="53" t="s">
        <v>46</v>
      </c>
      <c r="B157" s="54">
        <v>300</v>
      </c>
      <c r="C157" s="54">
        <v>900</v>
      </c>
      <c r="D157" s="54">
        <v>4.5060000000000002</v>
      </c>
      <c r="E157" s="54">
        <v>295.61075479975767</v>
      </c>
      <c r="F157" s="54">
        <v>8878.7682537029687</v>
      </c>
      <c r="G157" s="57" t="s">
        <v>88</v>
      </c>
      <c r="H157" s="54">
        <v>0.52300000000000002</v>
      </c>
      <c r="I157" s="54">
        <v>21.9</v>
      </c>
      <c r="J157" s="54">
        <v>1668</v>
      </c>
      <c r="K157" s="54">
        <v>3287</v>
      </c>
      <c r="L157" s="54">
        <v>0.55000000000000004</v>
      </c>
      <c r="M157" s="54">
        <v>170.9</v>
      </c>
      <c r="N157" s="55">
        <v>228.61</v>
      </c>
      <c r="O157" s="43">
        <f t="shared" si="24"/>
        <v>0.44999999999999996</v>
      </c>
      <c r="P157" s="43">
        <f t="shared" si="25"/>
        <v>1154.8997547997576</v>
      </c>
      <c r="Q157" s="43">
        <f t="shared" si="26"/>
        <v>9.2928994610118314E-6</v>
      </c>
      <c r="R157" s="43">
        <v>35</v>
      </c>
      <c r="S157" s="43">
        <f t="shared" si="27"/>
        <v>0.33333333333333331</v>
      </c>
      <c r="T157" s="43">
        <f t="shared" si="28"/>
        <v>24.441306379467097</v>
      </c>
      <c r="U157" s="43" t="str" cm="1">
        <f t="array" ref="U157">_xlfn.IFS(T157&lt;3,"Group I",T157&lt;5,"Group II",T157&lt;10,"Group III",T157&lt;20,"Group IV",T157&lt;50,"Group V",T157&lt;100,"Group VI",T157&lt;200,"Group VII",T157&lt;500,"Group VIII",T157&lt;1000,"Group IX",TRUE,"Group X")</f>
        <v>Group V</v>
      </c>
      <c r="V157" s="43">
        <f t="shared" si="29"/>
        <v>1.388124415082429</v>
      </c>
      <c r="W157" s="43">
        <f t="shared" si="30"/>
        <v>3.3896847945205479</v>
      </c>
      <c r="X157" s="43">
        <f t="shared" si="31"/>
        <v>0.53015931520456838</v>
      </c>
      <c r="Y157" s="43">
        <f t="shared" si="32"/>
        <v>1.3376828554710358</v>
      </c>
      <c r="Z157" s="43">
        <f t="shared" si="33"/>
        <v>0.12635316093184093</v>
      </c>
      <c r="AA157" s="43">
        <f t="shared" si="34"/>
        <v>1.4689399929263911</v>
      </c>
      <c r="AB157" s="43">
        <f t="shared" si="35"/>
        <v>0.48564873658130958</v>
      </c>
    </row>
    <row r="158" spans="1:28">
      <c r="A158" s="56" t="s">
        <v>18</v>
      </c>
      <c r="B158" s="57">
        <v>200</v>
      </c>
      <c r="C158" s="57">
        <v>200</v>
      </c>
      <c r="D158" s="57">
        <v>6.11</v>
      </c>
      <c r="E158" s="57">
        <v>422.05274677816715</v>
      </c>
      <c r="F158" s="57">
        <v>9010.3353847059861</v>
      </c>
      <c r="G158" s="57" t="s">
        <v>89</v>
      </c>
      <c r="H158" s="57">
        <v>0.48899999999999999</v>
      </c>
      <c r="I158" s="57">
        <v>30.7</v>
      </c>
      <c r="J158" s="57">
        <v>1910</v>
      </c>
      <c r="K158" s="57">
        <v>3407</v>
      </c>
      <c r="L158" s="57">
        <v>0.6</v>
      </c>
      <c r="M158" s="57">
        <v>393.07</v>
      </c>
      <c r="N158" s="58">
        <v>400.12</v>
      </c>
      <c r="O158" s="43">
        <f t="shared" si="24"/>
        <v>0.4</v>
      </c>
      <c r="P158" s="43">
        <f t="shared" si="25"/>
        <v>1343.817746778167</v>
      </c>
      <c r="Q158" s="43">
        <f t="shared" si="26"/>
        <v>1.0275153206885357E-5</v>
      </c>
      <c r="R158" s="43">
        <v>35</v>
      </c>
      <c r="S158" s="43">
        <f t="shared" si="27"/>
        <v>1</v>
      </c>
      <c r="T158" s="43">
        <f t="shared" si="28"/>
        <v>18.519201231555346</v>
      </c>
      <c r="U158" s="43" t="str" cm="1">
        <f t="array" ref="U158">_xlfn.IFS(T158&lt;3,"Group I",T158&lt;5,"Group II",T158&lt;10,"Group III",T158&lt;20,"Group IV",T158&lt;50,"Group V",T158&lt;100,"Group VI",T158&lt;200,"Group VII",T158&lt;500,"Group VIII",T158&lt;1000,"Group IX",TRUE,"Group X")</f>
        <v>Group IV</v>
      </c>
      <c r="V158" s="43">
        <f t="shared" si="29"/>
        <v>1.2676222508011548</v>
      </c>
      <c r="W158" s="43">
        <f t="shared" si="30"/>
        <v>0.68125504885993482</v>
      </c>
      <c r="X158" s="43">
        <f t="shared" si="31"/>
        <v>-0.16669026609675519</v>
      </c>
      <c r="Y158" s="43">
        <f t="shared" si="32"/>
        <v>1.0179357366372401</v>
      </c>
      <c r="Z158" s="43">
        <f t="shared" si="33"/>
        <v>7.7203613948597137E-3</v>
      </c>
      <c r="AA158" s="43">
        <f t="shared" si="34"/>
        <v>1.0355344821906265</v>
      </c>
      <c r="AB158" s="43">
        <f t="shared" si="35"/>
        <v>0.44712058879563793</v>
      </c>
    </row>
    <row r="159" spans="1:28">
      <c r="A159" s="48" t="s">
        <v>18</v>
      </c>
      <c r="B159" s="50">
        <v>200</v>
      </c>
      <c r="C159" s="50">
        <v>400</v>
      </c>
      <c r="D159" s="50">
        <v>6.11</v>
      </c>
      <c r="E159" s="50">
        <v>422.05274677816715</v>
      </c>
      <c r="F159" s="50">
        <v>9010.3353847059861</v>
      </c>
      <c r="G159" s="57" t="s">
        <v>89</v>
      </c>
      <c r="H159" s="50">
        <v>0.48899999999999999</v>
      </c>
      <c r="I159" s="50">
        <v>30.7</v>
      </c>
      <c r="J159" s="50">
        <v>1910</v>
      </c>
      <c r="K159" s="50">
        <v>3407</v>
      </c>
      <c r="L159" s="50">
        <v>0.6</v>
      </c>
      <c r="M159" s="50">
        <v>280.91000000000003</v>
      </c>
      <c r="N159" s="51">
        <v>251.12</v>
      </c>
      <c r="O159" s="43">
        <f t="shared" si="24"/>
        <v>0.4</v>
      </c>
      <c r="P159" s="43">
        <f t="shared" si="25"/>
        <v>1343.817746778167</v>
      </c>
      <c r="Q159" s="43">
        <f t="shared" si="26"/>
        <v>1.0275153206885357E-5</v>
      </c>
      <c r="R159" s="43">
        <v>35</v>
      </c>
      <c r="S159" s="43">
        <f t="shared" si="27"/>
        <v>0.5</v>
      </c>
      <c r="T159" s="43">
        <f t="shared" si="28"/>
        <v>13.095052772991046</v>
      </c>
      <c r="U159" s="43" t="str" cm="1">
        <f t="array" ref="U159">_xlfn.IFS(T159&lt;3,"Group I",T159&lt;5,"Group II",T159&lt;10,"Group III",T159&lt;20,"Group IV",T159&lt;50,"Group V",T159&lt;100,"Group VI",T159&lt;200,"Group VII",T159&lt;500,"Group VIII",T159&lt;1000,"Group IX",TRUE,"Group X")</f>
        <v>Group IV</v>
      </c>
      <c r="V159" s="43">
        <f t="shared" si="29"/>
        <v>1.1171072529691641</v>
      </c>
      <c r="W159" s="43">
        <f t="shared" si="30"/>
        <v>1.3625100977198696</v>
      </c>
      <c r="X159" s="43">
        <f t="shared" si="31"/>
        <v>0.13433972956722601</v>
      </c>
      <c r="Y159" s="43">
        <f t="shared" si="32"/>
        <v>0.89395179950873938</v>
      </c>
      <c r="Z159" s="43">
        <f t="shared" si="33"/>
        <v>-4.8685897056109588E-2</v>
      </c>
      <c r="AA159" s="43">
        <f t="shared" si="34"/>
        <v>0.75541722971615677</v>
      </c>
      <c r="AB159" s="43">
        <f t="shared" si="35"/>
        <v>0.40326102592253538</v>
      </c>
    </row>
    <row r="160" spans="1:28">
      <c r="A160" s="48" t="s">
        <v>18</v>
      </c>
      <c r="B160" s="50">
        <v>200</v>
      </c>
      <c r="C160" s="50">
        <v>600</v>
      </c>
      <c r="D160" s="50">
        <v>6.11</v>
      </c>
      <c r="E160" s="50">
        <v>422.05274677816715</v>
      </c>
      <c r="F160" s="50">
        <v>9010.3353847059861</v>
      </c>
      <c r="G160" s="57" t="s">
        <v>89</v>
      </c>
      <c r="H160" s="50">
        <v>0.48899999999999999</v>
      </c>
      <c r="I160" s="50">
        <v>30.7</v>
      </c>
      <c r="J160" s="50">
        <v>1910</v>
      </c>
      <c r="K160" s="50">
        <v>3407</v>
      </c>
      <c r="L160" s="50">
        <v>0.6</v>
      </c>
      <c r="M160" s="50">
        <v>188.99</v>
      </c>
      <c r="N160" s="51">
        <v>201.08</v>
      </c>
      <c r="O160" s="43">
        <f t="shared" si="24"/>
        <v>0.4</v>
      </c>
      <c r="P160" s="43">
        <f t="shared" si="25"/>
        <v>1343.817746778167</v>
      </c>
      <c r="Q160" s="43">
        <f t="shared" si="26"/>
        <v>1.0275153206885357E-5</v>
      </c>
      <c r="R160" s="43">
        <v>35</v>
      </c>
      <c r="S160" s="43">
        <f t="shared" si="27"/>
        <v>0.33333333333333331</v>
      </c>
      <c r="T160" s="43">
        <f t="shared" si="28"/>
        <v>10.692065816215328</v>
      </c>
      <c r="U160" s="43" t="str" cm="1">
        <f t="array" ref="U160">_xlfn.IFS(T160&lt;3,"Group I",T160&lt;5,"Group II",T160&lt;10,"Group III",T160&lt;20,"Group IV",T160&lt;50,"Group V",T160&lt;100,"Group VI",T160&lt;200,"Group VII",T160&lt;500,"Group VIII",T160&lt;1000,"Group IX",TRUE,"Group X")</f>
        <v>Group IV</v>
      </c>
      <c r="V160" s="43">
        <f t="shared" si="29"/>
        <v>1.0290616234413235</v>
      </c>
      <c r="W160" s="43">
        <f t="shared" si="30"/>
        <v>2.0437651465798043</v>
      </c>
      <c r="X160" s="43">
        <f t="shared" si="31"/>
        <v>0.31043098862290719</v>
      </c>
      <c r="Y160" s="43">
        <f t="shared" si="32"/>
        <v>1.0639716387110429</v>
      </c>
      <c r="Z160" s="43">
        <f t="shared" si="33"/>
        <v>2.6930051534729001E-2</v>
      </c>
      <c r="AA160" s="43">
        <f t="shared" si="34"/>
        <v>0.62814525067465132</v>
      </c>
      <c r="AB160" s="43">
        <f t="shared" si="35"/>
        <v>0.37962731877944256</v>
      </c>
    </row>
    <row r="161" spans="1:28">
      <c r="A161" s="48" t="s">
        <v>18</v>
      </c>
      <c r="B161" s="50">
        <v>200</v>
      </c>
      <c r="C161" s="50">
        <v>800</v>
      </c>
      <c r="D161" s="50">
        <v>6.11</v>
      </c>
      <c r="E161" s="50">
        <v>422.05274677816715</v>
      </c>
      <c r="F161" s="50">
        <v>9010.3353847059861</v>
      </c>
      <c r="G161" s="57" t="s">
        <v>89</v>
      </c>
      <c r="H161" s="50">
        <v>0.48899999999999999</v>
      </c>
      <c r="I161" s="50">
        <v>30.7</v>
      </c>
      <c r="J161" s="50">
        <v>1910</v>
      </c>
      <c r="K161" s="50">
        <v>3407</v>
      </c>
      <c r="L161" s="50">
        <v>0.6</v>
      </c>
      <c r="M161" s="50">
        <v>172.29</v>
      </c>
      <c r="N161" s="51">
        <v>84.83</v>
      </c>
      <c r="O161" s="43">
        <f t="shared" si="24"/>
        <v>0.4</v>
      </c>
      <c r="P161" s="43">
        <f t="shared" si="25"/>
        <v>1343.817746778167</v>
      </c>
      <c r="Q161" s="43">
        <f t="shared" si="26"/>
        <v>1.0275153206885357E-5</v>
      </c>
      <c r="R161" s="43">
        <v>35</v>
      </c>
      <c r="S161" s="43">
        <f t="shared" si="27"/>
        <v>0.25</v>
      </c>
      <c r="T161" s="43">
        <f t="shared" si="28"/>
        <v>9.2596006157776731</v>
      </c>
      <c r="U161" s="43" t="str" cm="1">
        <f t="array" ref="U161">_xlfn.IFS(T161&lt;3,"Group I",T161&lt;5,"Group II",T161&lt;10,"Group III",T161&lt;20,"Group IV",T161&lt;50,"Group V",T161&lt;100,"Group VI",T161&lt;200,"Group VII",T161&lt;500,"Group VIII",T161&lt;1000,"Group IX",TRUE,"Group X")</f>
        <v>Group III</v>
      </c>
      <c r="V161" s="43">
        <f t="shared" si="29"/>
        <v>0.96659225513717362</v>
      </c>
      <c r="W161" s="43">
        <f t="shared" si="30"/>
        <v>2.7250201954397393</v>
      </c>
      <c r="X161" s="43">
        <f t="shared" si="31"/>
        <v>0.43536972523120721</v>
      </c>
      <c r="Y161" s="43">
        <f t="shared" si="32"/>
        <v>0.49236751987927335</v>
      </c>
      <c r="Z161" s="43">
        <f t="shared" si="33"/>
        <v>-0.30771060399916506</v>
      </c>
      <c r="AA161" s="43">
        <f t="shared" si="34"/>
        <v>0.55107309391072867</v>
      </c>
      <c r="AB161" s="43">
        <f t="shared" si="35"/>
        <v>0.36370379513528289</v>
      </c>
    </row>
    <row r="162" spans="1:28">
      <c r="A162" s="48" t="s">
        <v>18</v>
      </c>
      <c r="B162" s="50">
        <v>200</v>
      </c>
      <c r="C162" s="50">
        <v>1200</v>
      </c>
      <c r="D162" s="50">
        <v>6.11</v>
      </c>
      <c r="E162" s="50">
        <v>422.05274677816715</v>
      </c>
      <c r="F162" s="50">
        <v>9010.3353847059861</v>
      </c>
      <c r="G162" s="57" t="s">
        <v>89</v>
      </c>
      <c r="H162" s="50">
        <v>0.48899999999999999</v>
      </c>
      <c r="I162" s="50">
        <v>30.7</v>
      </c>
      <c r="J162" s="50">
        <v>1910</v>
      </c>
      <c r="K162" s="50">
        <v>3407</v>
      </c>
      <c r="L162" s="50">
        <v>0.6</v>
      </c>
      <c r="M162" s="50">
        <v>132.75</v>
      </c>
      <c r="N162" s="51">
        <v>57.98</v>
      </c>
      <c r="O162" s="43">
        <f t="shared" si="24"/>
        <v>0.4</v>
      </c>
      <c r="P162" s="43">
        <f t="shared" si="25"/>
        <v>1343.817746778167</v>
      </c>
      <c r="Q162" s="43">
        <f t="shared" si="26"/>
        <v>1.0275153206885357E-5</v>
      </c>
      <c r="R162" s="43">
        <v>35</v>
      </c>
      <c r="S162" s="43">
        <f t="shared" si="27"/>
        <v>0.16666666666666666</v>
      </c>
      <c r="T162" s="43">
        <f t="shared" si="28"/>
        <v>7.5604322435387363</v>
      </c>
      <c r="U162" s="43" t="str" cm="1">
        <f t="array" ref="U162">_xlfn.IFS(T162&lt;3,"Group I",T162&lt;5,"Group II",T162&lt;10,"Group III",T162&lt;20,"Group IV",T162&lt;50,"Group V",T162&lt;100,"Group VI",T162&lt;200,"Group VII",T162&lt;500,"Group VIII",T162&lt;1000,"Group IX",TRUE,"Group X")</f>
        <v>Group III</v>
      </c>
      <c r="V162" s="43">
        <f t="shared" si="29"/>
        <v>0.87854662560933294</v>
      </c>
      <c r="W162" s="43">
        <f t="shared" si="30"/>
        <v>4.0875302931596087</v>
      </c>
      <c r="X162" s="43">
        <f t="shared" si="31"/>
        <v>0.61146098428688844</v>
      </c>
      <c r="Y162" s="43">
        <f t="shared" si="32"/>
        <v>0.43676082862523541</v>
      </c>
      <c r="Z162" s="43">
        <f t="shared" si="33"/>
        <v>-0.35975631873452801</v>
      </c>
      <c r="AA162" s="43">
        <f t="shared" si="34"/>
        <v>0.45822882123654413</v>
      </c>
      <c r="AB162" s="43">
        <f t="shared" si="35"/>
        <v>0.34238839784045505</v>
      </c>
    </row>
    <row r="163" spans="1:28">
      <c r="A163" s="48" t="s">
        <v>18</v>
      </c>
      <c r="B163" s="50">
        <v>200</v>
      </c>
      <c r="C163" s="50">
        <v>1600</v>
      </c>
      <c r="D163" s="50">
        <v>6.11</v>
      </c>
      <c r="E163" s="50">
        <v>422.05274677816715</v>
      </c>
      <c r="F163" s="50">
        <v>9010.3353847059861</v>
      </c>
      <c r="G163" s="57" t="s">
        <v>89</v>
      </c>
      <c r="H163" s="50">
        <v>0.48899999999999999</v>
      </c>
      <c r="I163" s="50">
        <v>30.7</v>
      </c>
      <c r="J163" s="50">
        <v>1910</v>
      </c>
      <c r="K163" s="50">
        <v>3407</v>
      </c>
      <c r="L163" s="50">
        <v>0.6</v>
      </c>
      <c r="M163" s="50">
        <v>109.85</v>
      </c>
      <c r="N163" s="51">
        <v>49.23</v>
      </c>
      <c r="O163" s="43">
        <f t="shared" si="24"/>
        <v>0.4</v>
      </c>
      <c r="P163" s="43">
        <f t="shared" si="25"/>
        <v>1343.817746778167</v>
      </c>
      <c r="Q163" s="43">
        <f t="shared" si="26"/>
        <v>1.0275153206885357E-5</v>
      </c>
      <c r="R163" s="43">
        <v>35</v>
      </c>
      <c r="S163" s="43">
        <f t="shared" si="27"/>
        <v>0.125</v>
      </c>
      <c r="T163" s="43">
        <f t="shared" si="28"/>
        <v>6.5475263864955231</v>
      </c>
      <c r="U163" s="43" t="str" cm="1">
        <f t="array" ref="U163">_xlfn.IFS(T163&lt;3,"Group I",T163&lt;5,"Group II",T163&lt;10,"Group III",T163&lt;20,"Group IV",T163&lt;50,"Group V",T163&lt;100,"Group VI",T163&lt;200,"Group VII",T163&lt;500,"Group VIII",T163&lt;1000,"Group IX",TRUE,"Group X")</f>
        <v>Group III</v>
      </c>
      <c r="V163" s="43">
        <f t="shared" si="29"/>
        <v>0.81607725730518299</v>
      </c>
      <c r="W163" s="43">
        <f t="shared" si="30"/>
        <v>5.4500403908794786</v>
      </c>
      <c r="X163" s="43">
        <f t="shared" si="31"/>
        <v>0.73639972089518835</v>
      </c>
      <c r="Y163" s="43">
        <f t="shared" si="32"/>
        <v>0.44815657715065998</v>
      </c>
      <c r="Z163" s="43">
        <f t="shared" si="33"/>
        <v>-0.34857022548377348</v>
      </c>
      <c r="AA163" s="43">
        <f t="shared" si="34"/>
        <v>0.40200506804226466</v>
      </c>
      <c r="AB163" s="43">
        <f t="shared" si="35"/>
        <v>0.32802686620456672</v>
      </c>
    </row>
    <row r="164" spans="1:28">
      <c r="A164" s="48" t="s">
        <v>18</v>
      </c>
      <c r="B164" s="50">
        <v>200</v>
      </c>
      <c r="C164" s="50">
        <v>2000</v>
      </c>
      <c r="D164" s="50">
        <v>6.11</v>
      </c>
      <c r="E164" s="50">
        <v>422.05274677816715</v>
      </c>
      <c r="F164" s="50">
        <v>9010.3353847059861</v>
      </c>
      <c r="G164" s="57" t="s">
        <v>89</v>
      </c>
      <c r="H164" s="50">
        <v>0.48899999999999999</v>
      </c>
      <c r="I164" s="50">
        <v>30.7</v>
      </c>
      <c r="J164" s="50">
        <v>1910</v>
      </c>
      <c r="K164" s="50">
        <v>3407</v>
      </c>
      <c r="L164" s="50">
        <v>0.6</v>
      </c>
      <c r="M164" s="50">
        <v>84.57</v>
      </c>
      <c r="N164" s="51">
        <v>31.44</v>
      </c>
      <c r="O164" s="43">
        <f t="shared" si="24"/>
        <v>0.4</v>
      </c>
      <c r="P164" s="43">
        <f t="shared" si="25"/>
        <v>1343.817746778167</v>
      </c>
      <c r="Q164" s="43">
        <f t="shared" si="26"/>
        <v>1.0275153206885357E-5</v>
      </c>
      <c r="R164" s="43">
        <v>35</v>
      </c>
      <c r="S164" s="43">
        <f t="shared" si="27"/>
        <v>0.1</v>
      </c>
      <c r="T164" s="43">
        <f t="shared" si="28"/>
        <v>5.8562856338710203</v>
      </c>
      <c r="U164" s="43" t="str" cm="1">
        <f t="array" ref="U164">_xlfn.IFS(T164&lt;3,"Group I",T164&lt;5,"Group II",T164&lt;10,"Group III",T164&lt;20,"Group IV",T164&lt;50,"Group V",T164&lt;100,"Group VI",T164&lt;200,"Group VII",T164&lt;500,"Group VIII",T164&lt;1000,"Group IX",TRUE,"Group X")</f>
        <v>Group III</v>
      </c>
      <c r="V164" s="43">
        <f t="shared" si="29"/>
        <v>0.76762225080115476</v>
      </c>
      <c r="W164" s="43">
        <f t="shared" si="30"/>
        <v>6.8125504885993475</v>
      </c>
      <c r="X164" s="43">
        <f t="shared" si="31"/>
        <v>0.83330973390324481</v>
      </c>
      <c r="Y164" s="43">
        <f t="shared" si="32"/>
        <v>0.37176303653777942</v>
      </c>
      <c r="Z164" s="43">
        <f t="shared" si="33"/>
        <v>-0.42973379322389438</v>
      </c>
      <c r="AA164" s="43">
        <f t="shared" si="34"/>
        <v>0.36319057098848451</v>
      </c>
      <c r="AB164" s="43">
        <f t="shared" si="35"/>
        <v>0.31730335820440592</v>
      </c>
    </row>
    <row r="165" spans="1:28">
      <c r="A165" s="48" t="s">
        <v>18</v>
      </c>
      <c r="B165" s="50">
        <v>200</v>
      </c>
      <c r="C165" s="50">
        <v>2400</v>
      </c>
      <c r="D165" s="50">
        <v>6.11</v>
      </c>
      <c r="E165" s="50">
        <v>422.05274677816715</v>
      </c>
      <c r="F165" s="50">
        <v>9010.3353847059861</v>
      </c>
      <c r="G165" s="57" t="s">
        <v>89</v>
      </c>
      <c r="H165" s="50">
        <v>0.48899999999999999</v>
      </c>
      <c r="I165" s="50">
        <v>30.7</v>
      </c>
      <c r="J165" s="50">
        <v>1910</v>
      </c>
      <c r="K165" s="50">
        <v>3407</v>
      </c>
      <c r="L165" s="50">
        <v>0.6</v>
      </c>
      <c r="M165" s="50">
        <v>76.760000000000005</v>
      </c>
      <c r="N165" s="51">
        <v>26.3</v>
      </c>
      <c r="O165" s="43">
        <f t="shared" si="24"/>
        <v>0.4</v>
      </c>
      <c r="P165" s="43">
        <f t="shared" si="25"/>
        <v>1343.817746778167</v>
      </c>
      <c r="Q165" s="43">
        <f t="shared" si="26"/>
        <v>1.0275153206885357E-5</v>
      </c>
      <c r="R165" s="43">
        <v>35</v>
      </c>
      <c r="S165" s="43">
        <f t="shared" si="27"/>
        <v>8.3333333333333329E-2</v>
      </c>
      <c r="T165" s="43">
        <f t="shared" si="28"/>
        <v>5.3460329081076639</v>
      </c>
      <c r="U165" s="43" t="str" cm="1">
        <f t="array" ref="U165">_xlfn.IFS(T165&lt;3,"Group I",T165&lt;5,"Group II",T165&lt;10,"Group III",T165&lt;20,"Group IV",T165&lt;50,"Group V",T165&lt;100,"Group VI",T165&lt;200,"Group VII",T165&lt;500,"Group VIII",T165&lt;1000,"Group IX",TRUE,"Group X")</f>
        <v>Group III</v>
      </c>
      <c r="V165" s="43">
        <f t="shared" si="29"/>
        <v>0.72803162777734232</v>
      </c>
      <c r="W165" s="43">
        <f t="shared" si="30"/>
        <v>8.1750605863192174</v>
      </c>
      <c r="X165" s="43">
        <f t="shared" si="31"/>
        <v>0.91249097995086959</v>
      </c>
      <c r="Y165" s="43">
        <f t="shared" si="32"/>
        <v>0.34262636789994788</v>
      </c>
      <c r="Z165" s="43">
        <f t="shared" si="33"/>
        <v>-0.46517921757367608</v>
      </c>
      <c r="AA165" s="43">
        <f t="shared" si="34"/>
        <v>0.33427563511196384</v>
      </c>
      <c r="AB165" s="43">
        <f t="shared" si="35"/>
        <v>0.3088023679451331</v>
      </c>
    </row>
    <row r="166" spans="1:28">
      <c r="A166" s="48" t="s">
        <v>18</v>
      </c>
      <c r="B166" s="50">
        <v>350</v>
      </c>
      <c r="C166" s="50">
        <v>400</v>
      </c>
      <c r="D166" s="50">
        <v>6.11</v>
      </c>
      <c r="E166" s="50">
        <v>422.05274677816715</v>
      </c>
      <c r="F166" s="50">
        <v>9010.3353847059861</v>
      </c>
      <c r="G166" s="57" t="s">
        <v>89</v>
      </c>
      <c r="H166" s="50">
        <v>0.48899999999999999</v>
      </c>
      <c r="I166" s="50">
        <v>30.7</v>
      </c>
      <c r="J166" s="50">
        <v>1910</v>
      </c>
      <c r="K166" s="50">
        <v>3407</v>
      </c>
      <c r="L166" s="50">
        <v>0.6</v>
      </c>
      <c r="M166" s="50">
        <v>252.43</v>
      </c>
      <c r="N166" s="51">
        <v>289.64</v>
      </c>
      <c r="O166" s="43">
        <f t="shared" si="24"/>
        <v>0.4</v>
      </c>
      <c r="P166" s="43">
        <f t="shared" si="25"/>
        <v>1343.817746778167</v>
      </c>
      <c r="Q166" s="43">
        <f t="shared" si="26"/>
        <v>1.0275153206885357E-5</v>
      </c>
      <c r="R166" s="43">
        <v>35</v>
      </c>
      <c r="S166" s="43">
        <f t="shared" si="27"/>
        <v>0.875</v>
      </c>
      <c r="T166" s="43">
        <f t="shared" si="28"/>
        <v>22.916342352734333</v>
      </c>
      <c r="U166" s="43" t="str" cm="1">
        <f t="array" ref="U166">_xlfn.IFS(T166&lt;3,"Group I",T166&lt;5,"Group II",T166&lt;10,"Group III",T166&lt;20,"Group IV",T166&lt;50,"Group V",T166&lt;100,"Group VI",T166&lt;200,"Group VII",T166&lt;500,"Group VIII",T166&lt;1000,"Group IX",TRUE,"Group X")</f>
        <v>Group V</v>
      </c>
      <c r="V166" s="43">
        <f t="shared" si="29"/>
        <v>1.3601453016554585</v>
      </c>
      <c r="W166" s="43">
        <f t="shared" si="30"/>
        <v>1.3625100977198696</v>
      </c>
      <c r="X166" s="43">
        <f t="shared" si="31"/>
        <v>0.13433972956722601</v>
      </c>
      <c r="Y166" s="43">
        <f t="shared" si="32"/>
        <v>1.1474072019965931</v>
      </c>
      <c r="Z166" s="43">
        <f t="shared" si="33"/>
        <v>5.9717571516060386E-2</v>
      </c>
      <c r="AA166" s="43">
        <f t="shared" si="34"/>
        <v>1.3219801520032746</v>
      </c>
      <c r="AB166" s="43">
        <f t="shared" si="35"/>
        <v>0.47641703876196628</v>
      </c>
    </row>
    <row r="167" spans="1:28">
      <c r="A167" s="48" t="s">
        <v>18</v>
      </c>
      <c r="B167" s="50">
        <v>350</v>
      </c>
      <c r="C167" s="50">
        <v>600</v>
      </c>
      <c r="D167" s="50">
        <v>6.11</v>
      </c>
      <c r="E167" s="50">
        <v>422.05274677816715</v>
      </c>
      <c r="F167" s="50">
        <v>9010.3353847059861</v>
      </c>
      <c r="G167" s="57" t="s">
        <v>89</v>
      </c>
      <c r="H167" s="50">
        <v>0.48899999999999999</v>
      </c>
      <c r="I167" s="50">
        <v>30.7</v>
      </c>
      <c r="J167" s="50">
        <v>1910</v>
      </c>
      <c r="K167" s="50">
        <v>3407</v>
      </c>
      <c r="L167" s="50">
        <v>0.6</v>
      </c>
      <c r="M167" s="50">
        <v>225.97</v>
      </c>
      <c r="N167" s="51">
        <v>137.88</v>
      </c>
      <c r="O167" s="43">
        <f t="shared" si="24"/>
        <v>0.4</v>
      </c>
      <c r="P167" s="43">
        <f t="shared" si="25"/>
        <v>1343.817746778167</v>
      </c>
      <c r="Q167" s="43">
        <f t="shared" si="26"/>
        <v>1.0275153206885357E-5</v>
      </c>
      <c r="R167" s="43">
        <v>35</v>
      </c>
      <c r="S167" s="43">
        <f t="shared" si="27"/>
        <v>0.58333333333333337</v>
      </c>
      <c r="T167" s="43">
        <f t="shared" si="28"/>
        <v>18.711115178376822</v>
      </c>
      <c r="U167" s="43" t="str" cm="1">
        <f t="array" ref="U167">_xlfn.IFS(T167&lt;3,"Group I",T167&lt;5,"Group II",T167&lt;10,"Group III",T167&lt;20,"Group IV",T167&lt;50,"Group V",T167&lt;100,"Group VI",T167&lt;200,"Group VII",T167&lt;500,"Group VIII",T167&lt;1000,"Group IX",TRUE,"Group X")</f>
        <v>Group IV</v>
      </c>
      <c r="V167" s="43">
        <f t="shared" si="29"/>
        <v>1.2720996721276179</v>
      </c>
      <c r="W167" s="43">
        <f t="shared" si="30"/>
        <v>2.0437651465798043</v>
      </c>
      <c r="X167" s="43">
        <f t="shared" si="31"/>
        <v>0.31043098862290719</v>
      </c>
      <c r="Y167" s="43">
        <f t="shared" si="32"/>
        <v>0.61016949152542366</v>
      </c>
      <c r="Z167" s="43">
        <f t="shared" si="33"/>
        <v>-0.21454951087485696</v>
      </c>
      <c r="AA167" s="43">
        <f t="shared" si="34"/>
        <v>1.0992541886806397</v>
      </c>
      <c r="AB167" s="43">
        <f t="shared" si="35"/>
        <v>0.44849591559782809</v>
      </c>
    </row>
    <row r="168" spans="1:28">
      <c r="A168" s="48" t="s">
        <v>18</v>
      </c>
      <c r="B168" s="50">
        <v>350</v>
      </c>
      <c r="C168" s="50">
        <v>800</v>
      </c>
      <c r="D168" s="50">
        <v>6.11</v>
      </c>
      <c r="E168" s="50">
        <v>422.05274677816715</v>
      </c>
      <c r="F168" s="50">
        <v>9010.3353847059861</v>
      </c>
      <c r="G168" s="57" t="s">
        <v>89</v>
      </c>
      <c r="H168" s="50">
        <v>0.48899999999999999</v>
      </c>
      <c r="I168" s="50">
        <v>30.7</v>
      </c>
      <c r="J168" s="50">
        <v>1910</v>
      </c>
      <c r="K168" s="50">
        <v>3407</v>
      </c>
      <c r="L168" s="50">
        <v>0.6</v>
      </c>
      <c r="M168" s="50">
        <v>158.78</v>
      </c>
      <c r="N168" s="51">
        <v>89.53</v>
      </c>
      <c r="O168" s="43">
        <f t="shared" si="24"/>
        <v>0.4</v>
      </c>
      <c r="P168" s="43">
        <f t="shared" si="25"/>
        <v>1343.817746778167</v>
      </c>
      <c r="Q168" s="43">
        <f t="shared" si="26"/>
        <v>1.0275153206885357E-5</v>
      </c>
      <c r="R168" s="43">
        <v>35</v>
      </c>
      <c r="S168" s="43">
        <f t="shared" si="27"/>
        <v>0.4375</v>
      </c>
      <c r="T168" s="43">
        <f t="shared" si="28"/>
        <v>16.204301077610928</v>
      </c>
      <c r="U168" s="43" t="str" cm="1">
        <f t="array" ref="U168">_xlfn.IFS(T168&lt;3,"Group I",T168&lt;5,"Group II",T168&lt;10,"Group III",T168&lt;20,"Group IV",T168&lt;50,"Group V",T168&lt;100,"Group VI",T168&lt;200,"Group VII",T168&lt;500,"Group VIII",T168&lt;1000,"Group IX",TRUE,"Group X")</f>
        <v>Group IV</v>
      </c>
      <c r="V168" s="43">
        <f t="shared" si="29"/>
        <v>1.2096303038234681</v>
      </c>
      <c r="W168" s="43">
        <f t="shared" si="30"/>
        <v>2.7250201954397393</v>
      </c>
      <c r="X168" s="43">
        <f t="shared" si="31"/>
        <v>0.43536972523120721</v>
      </c>
      <c r="Y168" s="43">
        <f t="shared" si="32"/>
        <v>0.56386194734853257</v>
      </c>
      <c r="Z168" s="43">
        <f t="shared" si="33"/>
        <v>-0.24882721311545652</v>
      </c>
      <c r="AA168" s="43">
        <f t="shared" si="34"/>
        <v>0.96437791434377518</v>
      </c>
      <c r="AB168" s="43">
        <f t="shared" si="35"/>
        <v>0.42968368854501099</v>
      </c>
    </row>
    <row r="169" spans="1:28">
      <c r="A169" s="48" t="s">
        <v>18</v>
      </c>
      <c r="B169" s="50">
        <v>350</v>
      </c>
      <c r="C169" s="50">
        <v>1000</v>
      </c>
      <c r="D169" s="50">
        <v>6.11</v>
      </c>
      <c r="E169" s="50">
        <v>422.05274677816715</v>
      </c>
      <c r="F169" s="50">
        <v>9010.3353847059861</v>
      </c>
      <c r="G169" s="57" t="s">
        <v>89</v>
      </c>
      <c r="H169" s="50">
        <v>0.48899999999999999</v>
      </c>
      <c r="I169" s="50">
        <v>30.7</v>
      </c>
      <c r="J169" s="50">
        <v>1910</v>
      </c>
      <c r="K169" s="50">
        <v>3407</v>
      </c>
      <c r="L169" s="50">
        <v>0.6</v>
      </c>
      <c r="M169" s="50">
        <v>146.07</v>
      </c>
      <c r="N169" s="51">
        <v>89.13</v>
      </c>
      <c r="O169" s="43">
        <f t="shared" si="24"/>
        <v>0.4</v>
      </c>
      <c r="P169" s="43">
        <f t="shared" si="25"/>
        <v>1343.817746778167</v>
      </c>
      <c r="Q169" s="43">
        <f t="shared" si="26"/>
        <v>1.0275153206885357E-5</v>
      </c>
      <c r="R169" s="43">
        <v>35</v>
      </c>
      <c r="S169" s="43">
        <f t="shared" si="27"/>
        <v>0.35</v>
      </c>
      <c r="T169" s="43">
        <f t="shared" si="28"/>
        <v>14.493567494964452</v>
      </c>
      <c r="U169" s="43" t="str" cm="1">
        <f t="array" ref="U169">_xlfn.IFS(T169&lt;3,"Group I",T169&lt;5,"Group II",T169&lt;10,"Group III",T169&lt;20,"Group IV",T169&lt;50,"Group V",T169&lt;100,"Group VI",T169&lt;200,"Group VII",T169&lt;500,"Group VIII",T169&lt;1000,"Group IX",TRUE,"Group X")</f>
        <v>Group IV</v>
      </c>
      <c r="V169" s="43">
        <f t="shared" si="29"/>
        <v>1.1611752973194398</v>
      </c>
      <c r="W169" s="43">
        <f t="shared" si="30"/>
        <v>3.4062752442996738</v>
      </c>
      <c r="X169" s="43">
        <f t="shared" si="31"/>
        <v>0.53227973823926356</v>
      </c>
      <c r="Y169" s="43">
        <f t="shared" si="32"/>
        <v>0.61018689669336623</v>
      </c>
      <c r="Z169" s="43">
        <f t="shared" si="33"/>
        <v>-0.21453712274223025</v>
      </c>
      <c r="AA169" s="43">
        <f t="shared" si="34"/>
        <v>0.87126504913210623</v>
      </c>
      <c r="AB169" s="43">
        <f t="shared" si="35"/>
        <v>0.41563692303167188</v>
      </c>
    </row>
    <row r="170" spans="1:28">
      <c r="A170" s="48" t="s">
        <v>18</v>
      </c>
      <c r="B170" s="50">
        <v>350</v>
      </c>
      <c r="C170" s="50">
        <v>1200</v>
      </c>
      <c r="D170" s="50">
        <v>6.11</v>
      </c>
      <c r="E170" s="50">
        <v>422.05274677816715</v>
      </c>
      <c r="F170" s="50">
        <v>9010.3353847059861</v>
      </c>
      <c r="G170" s="57" t="s">
        <v>89</v>
      </c>
      <c r="H170" s="50">
        <v>0.48899999999999999</v>
      </c>
      <c r="I170" s="50">
        <v>30.7</v>
      </c>
      <c r="J170" s="50">
        <v>1910</v>
      </c>
      <c r="K170" s="50">
        <v>3407</v>
      </c>
      <c r="L170" s="50">
        <v>0.6</v>
      </c>
      <c r="M170" s="50">
        <v>128.25</v>
      </c>
      <c r="N170" s="51">
        <v>78.67</v>
      </c>
      <c r="O170" s="43">
        <f t="shared" si="24"/>
        <v>0.4</v>
      </c>
      <c r="P170" s="43">
        <f t="shared" si="25"/>
        <v>1343.817746778167</v>
      </c>
      <c r="Q170" s="43">
        <f t="shared" si="26"/>
        <v>1.0275153206885357E-5</v>
      </c>
      <c r="R170" s="43">
        <v>35</v>
      </c>
      <c r="S170" s="43">
        <f t="shared" si="27"/>
        <v>0.29166666666666669</v>
      </c>
      <c r="T170" s="43">
        <f t="shared" si="28"/>
        <v>13.230756426192787</v>
      </c>
      <c r="U170" s="43" t="str" cm="1">
        <f t="array" ref="U170">_xlfn.IFS(T170&lt;3,"Group I",T170&lt;5,"Group II",T170&lt;10,"Group III",T170&lt;20,"Group IV",T170&lt;50,"Group V",T170&lt;100,"Group VI",T170&lt;200,"Group VII",T170&lt;500,"Group VIII",T170&lt;1000,"Group IX",TRUE,"Group X")</f>
        <v>Group IV</v>
      </c>
      <c r="V170" s="43">
        <f t="shared" si="29"/>
        <v>1.1215846742956272</v>
      </c>
      <c r="W170" s="43">
        <f t="shared" si="30"/>
        <v>4.0875302931596087</v>
      </c>
      <c r="X170" s="43">
        <f t="shared" si="31"/>
        <v>0.61146098428688844</v>
      </c>
      <c r="Y170" s="43">
        <f t="shared" si="32"/>
        <v>0.61341130604288496</v>
      </c>
      <c r="Z170" s="43">
        <f t="shared" si="33"/>
        <v>-0.21224822361472295</v>
      </c>
      <c r="AA170" s="43">
        <f t="shared" si="34"/>
        <v>0.8019004371639521</v>
      </c>
      <c r="AB170" s="43">
        <f t="shared" si="35"/>
        <v>0.40450144229147039</v>
      </c>
    </row>
    <row r="171" spans="1:28">
      <c r="A171" s="48" t="s">
        <v>18</v>
      </c>
      <c r="B171" s="50">
        <v>350</v>
      </c>
      <c r="C171" s="50">
        <v>1600</v>
      </c>
      <c r="D171" s="50">
        <v>6.11</v>
      </c>
      <c r="E171" s="50">
        <v>422.05274677816715</v>
      </c>
      <c r="F171" s="50">
        <v>9010.3353847059861</v>
      </c>
      <c r="G171" s="57" t="s">
        <v>89</v>
      </c>
      <c r="H171" s="50">
        <v>0.48899999999999999</v>
      </c>
      <c r="I171" s="50">
        <v>30.7</v>
      </c>
      <c r="J171" s="50">
        <v>1910</v>
      </c>
      <c r="K171" s="50">
        <v>3407</v>
      </c>
      <c r="L171" s="50">
        <v>0.6</v>
      </c>
      <c r="M171" s="50">
        <v>121.45</v>
      </c>
      <c r="N171" s="51">
        <v>60.21</v>
      </c>
      <c r="O171" s="43">
        <f t="shared" si="24"/>
        <v>0.4</v>
      </c>
      <c r="P171" s="43">
        <f t="shared" si="25"/>
        <v>1343.817746778167</v>
      </c>
      <c r="Q171" s="43">
        <f t="shared" si="26"/>
        <v>1.0275153206885357E-5</v>
      </c>
      <c r="R171" s="43">
        <v>35</v>
      </c>
      <c r="S171" s="43">
        <f t="shared" si="27"/>
        <v>0.21875</v>
      </c>
      <c r="T171" s="43">
        <f t="shared" si="28"/>
        <v>11.458171176367166</v>
      </c>
      <c r="U171" s="43" t="str" cm="1">
        <f t="array" ref="U171">_xlfn.IFS(T171&lt;3,"Group I",T171&lt;5,"Group II",T171&lt;10,"Group III",T171&lt;20,"Group IV",T171&lt;50,"Group V",T171&lt;100,"Group VI",T171&lt;200,"Group VII",T171&lt;500,"Group VIII",T171&lt;1000,"Group IX",TRUE,"Group X")</f>
        <v>Group IV</v>
      </c>
      <c r="V171" s="43">
        <f t="shared" si="29"/>
        <v>1.0591153059914775</v>
      </c>
      <c r="W171" s="43">
        <f t="shared" si="30"/>
        <v>5.4500403908794786</v>
      </c>
      <c r="X171" s="43">
        <f t="shared" si="31"/>
        <v>0.73639972089518835</v>
      </c>
      <c r="Y171" s="43">
        <f t="shared" si="32"/>
        <v>0.49575957184026348</v>
      </c>
      <c r="Z171" s="43">
        <f t="shared" si="33"/>
        <v>-0.30472889193400138</v>
      </c>
      <c r="AA171" s="43">
        <f t="shared" si="34"/>
        <v>0.70350886907396326</v>
      </c>
      <c r="AB171" s="43">
        <f t="shared" si="35"/>
        <v>0.38753456988319912</v>
      </c>
    </row>
    <row r="172" spans="1:28">
      <c r="A172" s="48" t="s">
        <v>18</v>
      </c>
      <c r="B172" s="50">
        <v>350</v>
      </c>
      <c r="C172" s="50">
        <v>2000</v>
      </c>
      <c r="D172" s="50">
        <v>6.11</v>
      </c>
      <c r="E172" s="50">
        <v>422.05274677816715</v>
      </c>
      <c r="F172" s="50">
        <v>9010.3353847059861</v>
      </c>
      <c r="G172" s="57" t="s">
        <v>89</v>
      </c>
      <c r="H172" s="50">
        <v>0.48899999999999999</v>
      </c>
      <c r="I172" s="50">
        <v>30.7</v>
      </c>
      <c r="J172" s="50">
        <v>1910</v>
      </c>
      <c r="K172" s="50">
        <v>3407</v>
      </c>
      <c r="L172" s="50">
        <v>0.6</v>
      </c>
      <c r="M172" s="50">
        <v>112.1</v>
      </c>
      <c r="N172" s="51">
        <v>48.08</v>
      </c>
      <c r="O172" s="43">
        <f t="shared" si="24"/>
        <v>0.4</v>
      </c>
      <c r="P172" s="43">
        <f t="shared" si="25"/>
        <v>1343.817746778167</v>
      </c>
      <c r="Q172" s="43">
        <f t="shared" si="26"/>
        <v>1.0275153206885357E-5</v>
      </c>
      <c r="R172" s="43">
        <v>35</v>
      </c>
      <c r="S172" s="43">
        <f t="shared" si="27"/>
        <v>0.17499999999999999</v>
      </c>
      <c r="T172" s="43">
        <f t="shared" si="28"/>
        <v>10.248499859274286</v>
      </c>
      <c r="U172" s="43" t="str" cm="1">
        <f t="array" ref="U172">_xlfn.IFS(T172&lt;3,"Group I",T172&lt;5,"Group II",T172&lt;10,"Group III",T172&lt;20,"Group IV",T172&lt;50,"Group V",T172&lt;100,"Group VI",T172&lt;200,"Group VII",T172&lt;500,"Group VIII",T172&lt;1000,"Group IX",TRUE,"Group X")</f>
        <v>Group IV</v>
      </c>
      <c r="V172" s="43">
        <f t="shared" si="29"/>
        <v>1.0106602994874492</v>
      </c>
      <c r="W172" s="43">
        <f t="shared" si="30"/>
        <v>6.8125504885993475</v>
      </c>
      <c r="X172" s="43">
        <f t="shared" si="31"/>
        <v>0.83330973390324481</v>
      </c>
      <c r="Y172" s="43">
        <f t="shared" si="32"/>
        <v>0.42890276538804639</v>
      </c>
      <c r="Z172" s="43">
        <f t="shared" si="33"/>
        <v>-0.36764115360029004</v>
      </c>
      <c r="AA172" s="43">
        <f t="shared" si="34"/>
        <v>0.6355834992298478</v>
      </c>
      <c r="AB172" s="43">
        <f t="shared" si="35"/>
        <v>0.37486569885880655</v>
      </c>
    </row>
    <row r="173" spans="1:28">
      <c r="A173" s="48" t="s">
        <v>18</v>
      </c>
      <c r="B173" s="50">
        <v>350</v>
      </c>
      <c r="C173" s="50">
        <v>2400</v>
      </c>
      <c r="D173" s="50">
        <v>6.11</v>
      </c>
      <c r="E173" s="50">
        <v>422.05274677816715</v>
      </c>
      <c r="F173" s="50">
        <v>9010.3353847059861</v>
      </c>
      <c r="G173" s="57" t="s">
        <v>89</v>
      </c>
      <c r="H173" s="50">
        <v>0.48899999999999999</v>
      </c>
      <c r="I173" s="50">
        <v>30.7</v>
      </c>
      <c r="J173" s="50">
        <v>1910</v>
      </c>
      <c r="K173" s="50">
        <v>3407</v>
      </c>
      <c r="L173" s="50">
        <v>0.6</v>
      </c>
      <c r="M173" s="50">
        <v>108.09</v>
      </c>
      <c r="N173" s="51">
        <v>39.25</v>
      </c>
      <c r="O173" s="43">
        <f t="shared" si="24"/>
        <v>0.4</v>
      </c>
      <c r="P173" s="43">
        <f t="shared" si="25"/>
        <v>1343.817746778167</v>
      </c>
      <c r="Q173" s="43">
        <f t="shared" si="26"/>
        <v>1.0275153206885357E-5</v>
      </c>
      <c r="R173" s="43">
        <v>35</v>
      </c>
      <c r="S173" s="43">
        <f t="shared" si="27"/>
        <v>0.14583333333333334</v>
      </c>
      <c r="T173" s="43">
        <f t="shared" si="28"/>
        <v>9.3555575891884111</v>
      </c>
      <c r="U173" s="43" t="str" cm="1">
        <f t="array" ref="U173">_xlfn.IFS(T173&lt;3,"Group I",T173&lt;5,"Group II",T173&lt;10,"Group III",T173&lt;20,"Group IV",T173&lt;50,"Group V",T173&lt;100,"Group VI",T173&lt;200,"Group VII",T173&lt;500,"Group VIII",T173&lt;1000,"Group IX",TRUE,"Group X")</f>
        <v>Group III</v>
      </c>
      <c r="V173" s="43">
        <f t="shared" si="29"/>
        <v>0.97106967646363673</v>
      </c>
      <c r="W173" s="43">
        <f t="shared" si="30"/>
        <v>8.1750605863192174</v>
      </c>
      <c r="X173" s="43">
        <f t="shared" si="31"/>
        <v>0.91249097995086959</v>
      </c>
      <c r="Y173" s="43">
        <f t="shared" si="32"/>
        <v>0.36312332315662871</v>
      </c>
      <c r="Z173" s="43">
        <f t="shared" si="33"/>
        <v>-0.43994585576095963</v>
      </c>
      <c r="AA173" s="43">
        <f t="shared" si="34"/>
        <v>0.58498236144593663</v>
      </c>
      <c r="AB173" s="43">
        <f t="shared" si="35"/>
        <v>0.3648225348892612</v>
      </c>
    </row>
    <row r="174" spans="1:28">
      <c r="A174" s="48" t="s">
        <v>18</v>
      </c>
      <c r="B174" s="50">
        <v>100</v>
      </c>
      <c r="C174" s="50">
        <v>300</v>
      </c>
      <c r="D174" s="50">
        <v>6.11</v>
      </c>
      <c r="E174" s="50">
        <v>422.05274677816715</v>
      </c>
      <c r="F174" s="50">
        <v>9010.3353847059861</v>
      </c>
      <c r="G174" s="57" t="s">
        <v>89</v>
      </c>
      <c r="H174" s="50">
        <v>0.48899999999999999</v>
      </c>
      <c r="I174" s="50">
        <v>30.7</v>
      </c>
      <c r="J174" s="50">
        <v>1910</v>
      </c>
      <c r="K174" s="50">
        <v>3407</v>
      </c>
      <c r="L174" s="50">
        <v>0.6</v>
      </c>
      <c r="M174" s="50">
        <v>100.7</v>
      </c>
      <c r="N174" s="51">
        <v>44.59</v>
      </c>
      <c r="O174" s="43">
        <f t="shared" si="24"/>
        <v>0.4</v>
      </c>
      <c r="P174" s="43">
        <f t="shared" si="25"/>
        <v>1343.817746778167</v>
      </c>
      <c r="Q174" s="43">
        <f t="shared" si="26"/>
        <v>1.0275153206885357E-5</v>
      </c>
      <c r="R174" s="43">
        <v>35</v>
      </c>
      <c r="S174" s="43">
        <f t="shared" si="27"/>
        <v>0.33333333333333331</v>
      </c>
      <c r="T174" s="43">
        <f t="shared" si="28"/>
        <v>7.5604322435387363</v>
      </c>
      <c r="U174" s="43" t="str" cm="1">
        <f t="array" ref="U174">_xlfn.IFS(T174&lt;3,"Group I",T174&lt;5,"Group II",T174&lt;10,"Group III",T174&lt;20,"Group IV",T174&lt;50,"Group V",T174&lt;100,"Group VI",T174&lt;200,"Group VII",T174&lt;500,"Group VIII",T174&lt;1000,"Group IX",TRUE,"Group X")</f>
        <v>Group III</v>
      </c>
      <c r="V174" s="43">
        <f t="shared" si="29"/>
        <v>0.87854662560933294</v>
      </c>
      <c r="W174" s="43">
        <f t="shared" si="30"/>
        <v>1.0218825732899022</v>
      </c>
      <c r="X174" s="43">
        <f t="shared" si="31"/>
        <v>9.4009929589260223E-3</v>
      </c>
      <c r="Y174" s="43">
        <f t="shared" si="32"/>
        <v>0.44280039721946379</v>
      </c>
      <c r="Z174" s="43">
        <f t="shared" si="33"/>
        <v>-0.35379199820401069</v>
      </c>
      <c r="AA174" s="43">
        <f t="shared" si="34"/>
        <v>0.4305343069433859</v>
      </c>
      <c r="AB174" s="43">
        <f t="shared" si="35"/>
        <v>0.34238839784045505</v>
      </c>
    </row>
    <row r="175" spans="1:28">
      <c r="A175" s="48" t="s">
        <v>18</v>
      </c>
      <c r="B175" s="50">
        <v>150</v>
      </c>
      <c r="C175" s="50">
        <v>300</v>
      </c>
      <c r="D175" s="50">
        <v>6.11</v>
      </c>
      <c r="E175" s="50">
        <v>422.05274677816715</v>
      </c>
      <c r="F175" s="50">
        <v>9010.3353847059861</v>
      </c>
      <c r="G175" s="57" t="s">
        <v>89</v>
      </c>
      <c r="H175" s="50">
        <v>0.48899999999999999</v>
      </c>
      <c r="I175" s="50">
        <v>30.7</v>
      </c>
      <c r="J175" s="50">
        <v>1910</v>
      </c>
      <c r="K175" s="50">
        <v>3407</v>
      </c>
      <c r="L175" s="50">
        <v>0.6</v>
      </c>
      <c r="M175" s="50">
        <v>109.84</v>
      </c>
      <c r="N175" s="51">
        <v>52.91</v>
      </c>
      <c r="O175" s="43">
        <f t="shared" si="24"/>
        <v>0.4</v>
      </c>
      <c r="P175" s="43">
        <f t="shared" si="25"/>
        <v>1343.817746778167</v>
      </c>
      <c r="Q175" s="43">
        <f t="shared" si="26"/>
        <v>1.0275153206885357E-5</v>
      </c>
      <c r="R175" s="43">
        <v>35</v>
      </c>
      <c r="S175" s="43">
        <f t="shared" si="27"/>
        <v>0.5</v>
      </c>
      <c r="T175" s="43">
        <f t="shared" si="28"/>
        <v>11.340648365308104</v>
      </c>
      <c r="U175" s="43" t="str" cm="1">
        <f t="array" ref="U175">_xlfn.IFS(T175&lt;3,"Group I",T175&lt;5,"Group II",T175&lt;10,"Group III",T175&lt;20,"Group IV",T175&lt;50,"Group V",T175&lt;100,"Group VI",T175&lt;200,"Group VII",T175&lt;500,"Group VIII",T175&lt;1000,"Group IX",TRUE,"Group X")</f>
        <v>Group IV</v>
      </c>
      <c r="V175" s="43">
        <f t="shared" si="29"/>
        <v>1.0546378846650142</v>
      </c>
      <c r="W175" s="43">
        <f t="shared" si="30"/>
        <v>1.0218825732899022</v>
      </c>
      <c r="X175" s="43">
        <f t="shared" si="31"/>
        <v>9.4009929589260223E-3</v>
      </c>
      <c r="Y175" s="43">
        <f t="shared" si="32"/>
        <v>0.48170065549890745</v>
      </c>
      <c r="Z175" s="43">
        <f t="shared" si="33"/>
        <v>-0.31722276269664196</v>
      </c>
      <c r="AA175" s="43">
        <f t="shared" si="34"/>
        <v>0.64580146041507869</v>
      </c>
      <c r="AB175" s="43">
        <f t="shared" si="35"/>
        <v>0.38634618296104589</v>
      </c>
    </row>
    <row r="176" spans="1:28">
      <c r="A176" s="48" t="s">
        <v>18</v>
      </c>
      <c r="B176" s="50">
        <v>200</v>
      </c>
      <c r="C176" s="50">
        <v>300</v>
      </c>
      <c r="D176" s="50">
        <v>6.11</v>
      </c>
      <c r="E176" s="50">
        <v>422.05274677816715</v>
      </c>
      <c r="F176" s="50">
        <v>9010.3353847059861</v>
      </c>
      <c r="G176" s="57" t="s">
        <v>89</v>
      </c>
      <c r="H176" s="50">
        <v>0.48899999999999999</v>
      </c>
      <c r="I176" s="50">
        <v>30.7</v>
      </c>
      <c r="J176" s="50">
        <v>1910</v>
      </c>
      <c r="K176" s="50">
        <v>3407</v>
      </c>
      <c r="L176" s="50">
        <v>0.6</v>
      </c>
      <c r="M176" s="50">
        <v>180.12</v>
      </c>
      <c r="N176" s="51">
        <v>67.400000000000006</v>
      </c>
      <c r="O176" s="43">
        <f t="shared" si="24"/>
        <v>0.4</v>
      </c>
      <c r="P176" s="43">
        <f t="shared" si="25"/>
        <v>1343.817746778167</v>
      </c>
      <c r="Q176" s="43">
        <f t="shared" si="26"/>
        <v>1.0275153206885357E-5</v>
      </c>
      <c r="R176" s="43">
        <v>35</v>
      </c>
      <c r="S176" s="43">
        <f t="shared" si="27"/>
        <v>0.66666666666666663</v>
      </c>
      <c r="T176" s="43">
        <f t="shared" si="28"/>
        <v>15.120864487077473</v>
      </c>
      <c r="U176" s="43" t="str" cm="1">
        <f t="array" ref="U176">_xlfn.IFS(T176&lt;3,"Group I",T176&lt;5,"Group II",T176&lt;10,"Group III",T176&lt;20,"Group IV",T176&lt;50,"Group V",T176&lt;100,"Group VI",T176&lt;200,"Group VII",T176&lt;500,"Group VIII",T176&lt;1000,"Group IX",TRUE,"Group X")</f>
        <v>Group IV</v>
      </c>
      <c r="V176" s="43">
        <f t="shared" si="29"/>
        <v>1.1795766212733141</v>
      </c>
      <c r="W176" s="43">
        <f t="shared" si="30"/>
        <v>1.0218825732899022</v>
      </c>
      <c r="X176" s="43">
        <f t="shared" si="31"/>
        <v>9.4009929589260223E-3</v>
      </c>
      <c r="Y176" s="43">
        <f t="shared" si="32"/>
        <v>0.37419498112369531</v>
      </c>
      <c r="Z176" s="43">
        <f t="shared" si="33"/>
        <v>-0.42690204175557539</v>
      </c>
      <c r="AA176" s="43">
        <f t="shared" si="34"/>
        <v>0.86106861388677181</v>
      </c>
      <c r="AB176" s="43">
        <f t="shared" si="35"/>
        <v>0.42091642728742107</v>
      </c>
    </row>
    <row r="177" spans="1:28">
      <c r="A177" s="48" t="s">
        <v>18</v>
      </c>
      <c r="B177" s="50">
        <v>250</v>
      </c>
      <c r="C177" s="50">
        <v>300</v>
      </c>
      <c r="D177" s="50">
        <v>6.11</v>
      </c>
      <c r="E177" s="50">
        <v>422.05274677816715</v>
      </c>
      <c r="F177" s="50">
        <v>9010.3353847059861</v>
      </c>
      <c r="G177" s="57" t="s">
        <v>89</v>
      </c>
      <c r="H177" s="50">
        <v>0.48899999999999999</v>
      </c>
      <c r="I177" s="50">
        <v>30.7</v>
      </c>
      <c r="J177" s="50">
        <v>1910</v>
      </c>
      <c r="K177" s="50">
        <v>3407</v>
      </c>
      <c r="L177" s="50">
        <v>0.6</v>
      </c>
      <c r="M177" s="50">
        <v>187.26</v>
      </c>
      <c r="N177" s="51">
        <v>87.89</v>
      </c>
      <c r="O177" s="43">
        <f t="shared" si="24"/>
        <v>0.4</v>
      </c>
      <c r="P177" s="43">
        <f t="shared" si="25"/>
        <v>1343.817746778167</v>
      </c>
      <c r="Q177" s="43">
        <f t="shared" si="26"/>
        <v>1.0275153206885357E-5</v>
      </c>
      <c r="R177" s="43">
        <v>35</v>
      </c>
      <c r="S177" s="43">
        <f t="shared" si="27"/>
        <v>0.83333333333333337</v>
      </c>
      <c r="T177" s="43">
        <f t="shared" si="28"/>
        <v>18.90108060884684</v>
      </c>
      <c r="U177" s="43" t="str" cm="1">
        <f t="array" ref="U177">_xlfn.IFS(T177&lt;3,"Group I",T177&lt;5,"Group II",T177&lt;10,"Group III",T177&lt;20,"Group IV",T177&lt;50,"Group V",T177&lt;100,"Group VI",T177&lt;200,"Group VII",T177&lt;500,"Group VIII",T177&lt;1000,"Group IX",TRUE,"Group X")</f>
        <v>Group IV</v>
      </c>
      <c r="V177" s="43">
        <f t="shared" si="29"/>
        <v>1.2764866342813705</v>
      </c>
      <c r="W177" s="43">
        <f t="shared" si="30"/>
        <v>1.0218825732899022</v>
      </c>
      <c r="X177" s="43">
        <f t="shared" si="31"/>
        <v>9.4009929589260223E-3</v>
      </c>
      <c r="Y177" s="43">
        <f t="shared" si="32"/>
        <v>0.46934743137883161</v>
      </c>
      <c r="Z177" s="43">
        <f t="shared" si="33"/>
        <v>-0.32850555457675984</v>
      </c>
      <c r="AA177" s="43">
        <f t="shared" si="34"/>
        <v>1.0763357673584646</v>
      </c>
      <c r="AB177" s="43">
        <f t="shared" si="35"/>
        <v>0.44984755914027569</v>
      </c>
    </row>
    <row r="178" spans="1:28">
      <c r="A178" s="48" t="s">
        <v>18</v>
      </c>
      <c r="B178" s="50">
        <v>300</v>
      </c>
      <c r="C178" s="50">
        <v>300</v>
      </c>
      <c r="D178" s="50">
        <v>6.11</v>
      </c>
      <c r="E178" s="50">
        <v>422.05274677816715</v>
      </c>
      <c r="F178" s="50">
        <v>9010.3353847059861</v>
      </c>
      <c r="G178" s="57" t="s">
        <v>89</v>
      </c>
      <c r="H178" s="50">
        <v>0.48899999999999999</v>
      </c>
      <c r="I178" s="50">
        <v>30.7</v>
      </c>
      <c r="J178" s="50">
        <v>1910</v>
      </c>
      <c r="K178" s="50">
        <v>3407</v>
      </c>
      <c r="L178" s="50">
        <v>0.6</v>
      </c>
      <c r="M178" s="50">
        <v>222.55</v>
      </c>
      <c r="N178" s="51">
        <v>99.98</v>
      </c>
      <c r="O178" s="43">
        <f t="shared" si="24"/>
        <v>0.4</v>
      </c>
      <c r="P178" s="43">
        <f t="shared" si="25"/>
        <v>1343.817746778167</v>
      </c>
      <c r="Q178" s="43">
        <f t="shared" si="26"/>
        <v>1.0275153206885357E-5</v>
      </c>
      <c r="R178" s="43">
        <v>35</v>
      </c>
      <c r="S178" s="43">
        <f t="shared" si="27"/>
        <v>1</v>
      </c>
      <c r="T178" s="43">
        <f t="shared" si="28"/>
        <v>22.681296730616207</v>
      </c>
      <c r="U178" s="43" t="str" cm="1">
        <f t="array" ref="U178">_xlfn.IFS(T178&lt;3,"Group I",T178&lt;5,"Group II",T178&lt;10,"Group III",T178&lt;20,"Group IV",T178&lt;50,"Group V",T178&lt;100,"Group VI",T178&lt;200,"Group VII",T178&lt;500,"Group VIII",T178&lt;1000,"Group IX",TRUE,"Group X")</f>
        <v>Group V</v>
      </c>
      <c r="V178" s="43">
        <f t="shared" si="29"/>
        <v>1.3556678803289954</v>
      </c>
      <c r="W178" s="43">
        <f t="shared" si="30"/>
        <v>1.0218825732899022</v>
      </c>
      <c r="X178" s="43">
        <f t="shared" si="31"/>
        <v>9.4009929589260223E-3</v>
      </c>
      <c r="Y178" s="43">
        <f t="shared" si="32"/>
        <v>0.44924736014378791</v>
      </c>
      <c r="Z178" s="43">
        <f t="shared" si="33"/>
        <v>-0.34751446620196991</v>
      </c>
      <c r="AA178" s="43">
        <f t="shared" si="34"/>
        <v>1.2916029208301574</v>
      </c>
      <c r="AB178" s="43">
        <f t="shared" si="35"/>
        <v>0.47495609095922858</v>
      </c>
    </row>
    <row r="179" spans="1:28">
      <c r="A179" s="48" t="s">
        <v>18</v>
      </c>
      <c r="B179" s="50">
        <v>100</v>
      </c>
      <c r="C179" s="50">
        <v>600</v>
      </c>
      <c r="D179" s="50">
        <v>6.11</v>
      </c>
      <c r="E179" s="50">
        <v>422.05274677816715</v>
      </c>
      <c r="F179" s="50">
        <v>9010.3353847059861</v>
      </c>
      <c r="G179" s="57" t="s">
        <v>89</v>
      </c>
      <c r="H179" s="50">
        <v>0.48899999999999999</v>
      </c>
      <c r="I179" s="50">
        <v>30.7</v>
      </c>
      <c r="J179" s="50">
        <v>1910</v>
      </c>
      <c r="K179" s="50">
        <v>3407</v>
      </c>
      <c r="L179" s="50">
        <v>0.6</v>
      </c>
      <c r="M179" s="50">
        <v>52.93</v>
      </c>
      <c r="N179" s="51">
        <v>15.4</v>
      </c>
      <c r="O179" s="43">
        <f t="shared" si="24"/>
        <v>0.4</v>
      </c>
      <c r="P179" s="43">
        <f t="shared" si="25"/>
        <v>1343.817746778167</v>
      </c>
      <c r="Q179" s="43">
        <f t="shared" si="26"/>
        <v>1.0275153206885357E-5</v>
      </c>
      <c r="R179" s="43">
        <v>35</v>
      </c>
      <c r="S179" s="43">
        <f t="shared" si="27"/>
        <v>0.16666666666666666</v>
      </c>
      <c r="T179" s="43">
        <f t="shared" si="28"/>
        <v>5.3460329081076639</v>
      </c>
      <c r="U179" s="43" t="str" cm="1">
        <f t="array" ref="U179">_xlfn.IFS(T179&lt;3,"Group I",T179&lt;5,"Group II",T179&lt;10,"Group III",T179&lt;20,"Group IV",T179&lt;50,"Group V",T179&lt;100,"Group VI",T179&lt;200,"Group VII",T179&lt;500,"Group VIII",T179&lt;1000,"Group IX",TRUE,"Group X")</f>
        <v>Group III</v>
      </c>
      <c r="V179" s="43">
        <f t="shared" si="29"/>
        <v>0.72803162777734232</v>
      </c>
      <c r="W179" s="43">
        <f t="shared" si="30"/>
        <v>2.0437651465798043</v>
      </c>
      <c r="X179" s="43">
        <f t="shared" si="31"/>
        <v>0.31043098862290719</v>
      </c>
      <c r="Y179" s="43">
        <f t="shared" si="32"/>
        <v>0.29095031173247687</v>
      </c>
      <c r="Z179" s="43">
        <f t="shared" si="33"/>
        <v>-0.53618117315480474</v>
      </c>
      <c r="AA179" s="43">
        <f t="shared" si="34"/>
        <v>0.31407262533732566</v>
      </c>
      <c r="AB179" s="43">
        <f t="shared" si="35"/>
        <v>0.3088023679451331</v>
      </c>
    </row>
    <row r="180" spans="1:28">
      <c r="A180" s="48" t="s">
        <v>18</v>
      </c>
      <c r="B180" s="50">
        <v>150</v>
      </c>
      <c r="C180" s="50">
        <v>600</v>
      </c>
      <c r="D180" s="50">
        <v>6.11</v>
      </c>
      <c r="E180" s="50">
        <v>422.05274677816715</v>
      </c>
      <c r="F180" s="50">
        <v>9010.3353847059861</v>
      </c>
      <c r="G180" s="57" t="s">
        <v>89</v>
      </c>
      <c r="H180" s="50">
        <v>0.48899999999999999</v>
      </c>
      <c r="I180" s="50">
        <v>30.7</v>
      </c>
      <c r="J180" s="50">
        <v>1910</v>
      </c>
      <c r="K180" s="50">
        <v>3407</v>
      </c>
      <c r="L180" s="50">
        <v>0.6</v>
      </c>
      <c r="M180" s="50">
        <v>94.95</v>
      </c>
      <c r="N180" s="51">
        <v>17.57</v>
      </c>
      <c r="O180" s="43">
        <f t="shared" si="24"/>
        <v>0.4</v>
      </c>
      <c r="P180" s="43">
        <f t="shared" si="25"/>
        <v>1343.817746778167</v>
      </c>
      <c r="Q180" s="43">
        <f t="shared" si="26"/>
        <v>1.0275153206885357E-5</v>
      </c>
      <c r="R180" s="43">
        <v>35</v>
      </c>
      <c r="S180" s="43">
        <f t="shared" si="27"/>
        <v>0.25</v>
      </c>
      <c r="T180" s="43">
        <f t="shared" si="28"/>
        <v>8.0190493621614962</v>
      </c>
      <c r="U180" s="43" t="str" cm="1">
        <f t="array" ref="U180">_xlfn.IFS(T180&lt;3,"Group I",T180&lt;5,"Group II",T180&lt;10,"Group III",T180&lt;20,"Group IV",T180&lt;50,"Group V",T180&lt;100,"Group VI",T180&lt;200,"Group VII",T180&lt;500,"Group VIII",T180&lt;1000,"Group IX",TRUE,"Group X")</f>
        <v>Group III</v>
      </c>
      <c r="V180" s="43">
        <f t="shared" si="29"/>
        <v>0.90412288683302366</v>
      </c>
      <c r="W180" s="43">
        <f t="shared" si="30"/>
        <v>2.0437651465798043</v>
      </c>
      <c r="X180" s="43">
        <f t="shared" si="31"/>
        <v>0.31043098862290719</v>
      </c>
      <c r="Y180" s="43">
        <f t="shared" si="32"/>
        <v>0.18504476040021064</v>
      </c>
      <c r="Z180" s="43">
        <f t="shared" si="33"/>
        <v>-0.73272320757774134</v>
      </c>
      <c r="AA180" s="43">
        <f t="shared" si="34"/>
        <v>0.47110893800598846</v>
      </c>
      <c r="AB180" s="43">
        <f t="shared" si="35"/>
        <v>0.34844818602915312</v>
      </c>
    </row>
    <row r="181" spans="1:28">
      <c r="A181" s="48" t="s">
        <v>18</v>
      </c>
      <c r="B181" s="50">
        <v>200</v>
      </c>
      <c r="C181" s="50">
        <v>600</v>
      </c>
      <c r="D181" s="50">
        <v>6.11</v>
      </c>
      <c r="E181" s="50">
        <v>422.05274677816715</v>
      </c>
      <c r="F181" s="50">
        <v>9010.3353847059861</v>
      </c>
      <c r="G181" s="57" t="s">
        <v>89</v>
      </c>
      <c r="H181" s="50">
        <v>0.48899999999999999</v>
      </c>
      <c r="I181" s="50">
        <v>30.7</v>
      </c>
      <c r="J181" s="50">
        <v>1910</v>
      </c>
      <c r="K181" s="50">
        <v>3407</v>
      </c>
      <c r="L181" s="50">
        <v>0.6</v>
      </c>
      <c r="M181" s="50">
        <v>115.08</v>
      </c>
      <c r="N181" s="51">
        <v>28.67</v>
      </c>
      <c r="O181" s="43">
        <f t="shared" si="24"/>
        <v>0.4</v>
      </c>
      <c r="P181" s="43">
        <f t="shared" si="25"/>
        <v>1343.817746778167</v>
      </c>
      <c r="Q181" s="43">
        <f t="shared" si="26"/>
        <v>1.0275153206885357E-5</v>
      </c>
      <c r="R181" s="43">
        <v>35</v>
      </c>
      <c r="S181" s="43">
        <f t="shared" si="27"/>
        <v>0.33333333333333331</v>
      </c>
      <c r="T181" s="43">
        <f t="shared" si="28"/>
        <v>10.692065816215328</v>
      </c>
      <c r="U181" s="43" t="str" cm="1">
        <f t="array" ref="U181">_xlfn.IFS(T181&lt;3,"Group I",T181&lt;5,"Group II",T181&lt;10,"Group III",T181&lt;20,"Group IV",T181&lt;50,"Group V",T181&lt;100,"Group VI",T181&lt;200,"Group VII",T181&lt;500,"Group VIII",T181&lt;1000,"Group IX",TRUE,"Group X")</f>
        <v>Group IV</v>
      </c>
      <c r="V181" s="43">
        <f t="shared" si="29"/>
        <v>1.0290616234413235</v>
      </c>
      <c r="W181" s="43">
        <f t="shared" si="30"/>
        <v>2.0437651465798043</v>
      </c>
      <c r="X181" s="43">
        <f t="shared" si="31"/>
        <v>0.31043098862290719</v>
      </c>
      <c r="Y181" s="43">
        <f t="shared" si="32"/>
        <v>0.24913103927702471</v>
      </c>
      <c r="Z181" s="43">
        <f t="shared" si="33"/>
        <v>-0.60357216027180383</v>
      </c>
      <c r="AA181" s="43">
        <f t="shared" si="34"/>
        <v>0.62814525067465132</v>
      </c>
      <c r="AB181" s="43">
        <f t="shared" si="35"/>
        <v>0.37962731877944256</v>
      </c>
    </row>
    <row r="182" spans="1:28">
      <c r="A182" s="48" t="s">
        <v>18</v>
      </c>
      <c r="B182" s="50">
        <v>250</v>
      </c>
      <c r="C182" s="50">
        <v>600</v>
      </c>
      <c r="D182" s="50">
        <v>6.11</v>
      </c>
      <c r="E182" s="50">
        <v>422.05274677816715</v>
      </c>
      <c r="F182" s="50">
        <v>9010.3353847059861</v>
      </c>
      <c r="G182" s="57" t="s">
        <v>89</v>
      </c>
      <c r="H182" s="50">
        <v>0.48899999999999999</v>
      </c>
      <c r="I182" s="50">
        <v>30.7</v>
      </c>
      <c r="J182" s="50">
        <v>1910</v>
      </c>
      <c r="K182" s="50">
        <v>3407</v>
      </c>
      <c r="L182" s="50">
        <v>0.6</v>
      </c>
      <c r="M182" s="50">
        <v>120.6</v>
      </c>
      <c r="N182" s="51">
        <v>42.54</v>
      </c>
      <c r="O182" s="43">
        <f t="shared" si="24"/>
        <v>0.4</v>
      </c>
      <c r="P182" s="43">
        <f t="shared" si="25"/>
        <v>1343.817746778167</v>
      </c>
      <c r="Q182" s="43">
        <f t="shared" si="26"/>
        <v>1.0275153206885357E-5</v>
      </c>
      <c r="R182" s="43">
        <v>35</v>
      </c>
      <c r="S182" s="43">
        <f t="shared" si="27"/>
        <v>0.41666666666666669</v>
      </c>
      <c r="T182" s="43">
        <f t="shared" si="28"/>
        <v>13.365082270269159</v>
      </c>
      <c r="U182" s="43" t="str" cm="1">
        <f t="array" ref="U182">_xlfn.IFS(T182&lt;3,"Group I",T182&lt;5,"Group II",T182&lt;10,"Group III",T182&lt;20,"Group IV",T182&lt;50,"Group V",T182&lt;100,"Group VI",T182&lt;200,"Group VII",T182&lt;500,"Group VIII",T182&lt;1000,"Group IX",TRUE,"Group X")</f>
        <v>Group IV</v>
      </c>
      <c r="V182" s="43">
        <f t="shared" si="29"/>
        <v>1.1259716364493799</v>
      </c>
      <c r="W182" s="43">
        <f t="shared" si="30"/>
        <v>2.0437651465798043</v>
      </c>
      <c r="X182" s="43">
        <f t="shared" si="31"/>
        <v>0.31043098862290719</v>
      </c>
      <c r="Y182" s="43">
        <f t="shared" si="32"/>
        <v>0.35273631840796021</v>
      </c>
      <c r="Z182" s="43">
        <f t="shared" si="33"/>
        <v>-0.45254982223742229</v>
      </c>
      <c r="AA182" s="43">
        <f t="shared" si="34"/>
        <v>0.78518156334331402</v>
      </c>
      <c r="AB182" s="43">
        <f t="shared" si="35"/>
        <v>0.40572049857129233</v>
      </c>
    </row>
    <row r="183" spans="1:28">
      <c r="A183" s="48" t="s">
        <v>18</v>
      </c>
      <c r="B183" s="50">
        <v>300</v>
      </c>
      <c r="C183" s="50">
        <v>600</v>
      </c>
      <c r="D183" s="50">
        <v>6.11</v>
      </c>
      <c r="E183" s="50">
        <v>422.05274677816715</v>
      </c>
      <c r="F183" s="50">
        <v>9010.3353847059861</v>
      </c>
      <c r="G183" s="57" t="s">
        <v>89</v>
      </c>
      <c r="H183" s="50">
        <v>0.48899999999999999</v>
      </c>
      <c r="I183" s="50">
        <v>30.7</v>
      </c>
      <c r="J183" s="50">
        <v>1910</v>
      </c>
      <c r="K183" s="50">
        <v>3407</v>
      </c>
      <c r="L183" s="50">
        <v>0.6</v>
      </c>
      <c r="M183" s="50">
        <v>122.02</v>
      </c>
      <c r="N183" s="51">
        <v>42.64</v>
      </c>
      <c r="O183" s="43">
        <f t="shared" si="24"/>
        <v>0.4</v>
      </c>
      <c r="P183" s="43">
        <f t="shared" si="25"/>
        <v>1343.817746778167</v>
      </c>
      <c r="Q183" s="43">
        <f t="shared" si="26"/>
        <v>1.0275153206885357E-5</v>
      </c>
      <c r="R183" s="43">
        <v>35</v>
      </c>
      <c r="S183" s="43">
        <f t="shared" si="27"/>
        <v>0.5</v>
      </c>
      <c r="T183" s="43">
        <f t="shared" si="28"/>
        <v>16.038098724322992</v>
      </c>
      <c r="U183" s="43" t="str" cm="1">
        <f t="array" ref="U183">_xlfn.IFS(T183&lt;3,"Group I",T183&lt;5,"Group II",T183&lt;10,"Group III",T183&lt;20,"Group IV",T183&lt;50,"Group V",T183&lt;100,"Group VI",T183&lt;200,"Group VII",T183&lt;500,"Group VIII",T183&lt;1000,"Group IX",TRUE,"Group X")</f>
        <v>Group IV</v>
      </c>
      <c r="V183" s="43">
        <f t="shared" si="29"/>
        <v>1.2051528824970048</v>
      </c>
      <c r="W183" s="43">
        <f t="shared" si="30"/>
        <v>2.0437651465798043</v>
      </c>
      <c r="X183" s="43">
        <f t="shared" si="31"/>
        <v>0.31043098862290719</v>
      </c>
      <c r="Y183" s="43">
        <f t="shared" si="32"/>
        <v>0.34945090968693659</v>
      </c>
      <c r="Z183" s="43">
        <f t="shared" si="33"/>
        <v>-0.45661382463785283</v>
      </c>
      <c r="AA183" s="43">
        <f t="shared" si="34"/>
        <v>0.94221787601197693</v>
      </c>
      <c r="AB183" s="43">
        <f t="shared" si="35"/>
        <v>0.42836605002754052</v>
      </c>
    </row>
    <row r="184" spans="1:28">
      <c r="A184" s="48" t="s">
        <v>18</v>
      </c>
      <c r="B184" s="50">
        <v>100</v>
      </c>
      <c r="C184" s="50">
        <v>900</v>
      </c>
      <c r="D184" s="50">
        <v>6.11</v>
      </c>
      <c r="E184" s="50">
        <v>422.05274677816715</v>
      </c>
      <c r="F184" s="50">
        <v>9010.3353847059861</v>
      </c>
      <c r="G184" s="57" t="s">
        <v>89</v>
      </c>
      <c r="H184" s="50">
        <v>0.48899999999999999</v>
      </c>
      <c r="I184" s="50">
        <v>30.7</v>
      </c>
      <c r="J184" s="50">
        <v>1910</v>
      </c>
      <c r="K184" s="50">
        <v>3407</v>
      </c>
      <c r="L184" s="50">
        <v>0.6</v>
      </c>
      <c r="M184" s="50">
        <v>61.1</v>
      </c>
      <c r="N184" s="51">
        <v>23.57</v>
      </c>
      <c r="O184" s="43">
        <f t="shared" si="24"/>
        <v>0.4</v>
      </c>
      <c r="P184" s="43">
        <f t="shared" si="25"/>
        <v>1343.817746778167</v>
      </c>
      <c r="Q184" s="43">
        <f t="shared" si="26"/>
        <v>1.0275153206885357E-5</v>
      </c>
      <c r="R184" s="43">
        <v>35</v>
      </c>
      <c r="S184" s="43">
        <f t="shared" si="27"/>
        <v>0.1111111111111111</v>
      </c>
      <c r="T184" s="43">
        <f t="shared" si="28"/>
        <v>4.3650175909970157</v>
      </c>
      <c r="U184" s="43" t="str" cm="1">
        <f t="array" ref="U184">_xlfn.IFS(T184&lt;3,"Group I",T184&lt;5,"Group II",T184&lt;10,"Group III",T184&lt;20,"Group IV",T184&lt;50,"Group V",T184&lt;100,"Group VI",T184&lt;200,"Group VII",T184&lt;500,"Group VIII",T184&lt;1000,"Group IX",TRUE,"Group X")</f>
        <v>Group II</v>
      </c>
      <c r="V184" s="43">
        <f t="shared" si="29"/>
        <v>0.63998599824950175</v>
      </c>
      <c r="W184" s="43">
        <f t="shared" si="30"/>
        <v>3.0656477198697067</v>
      </c>
      <c r="X184" s="43">
        <f t="shared" si="31"/>
        <v>0.48652224767858848</v>
      </c>
      <c r="Y184" s="43">
        <f t="shared" si="32"/>
        <v>0.38576104746317513</v>
      </c>
      <c r="Z184" s="43">
        <f t="shared" si="33"/>
        <v>-0.41368162771823047</v>
      </c>
      <c r="AA184" s="43">
        <f t="shared" si="34"/>
        <v>0.26115796703060123</v>
      </c>
      <c r="AB184" s="43">
        <f t="shared" si="35"/>
        <v>0.29070454975798499</v>
      </c>
    </row>
    <row r="185" spans="1:28">
      <c r="A185" s="48" t="s">
        <v>18</v>
      </c>
      <c r="B185" s="50">
        <v>150</v>
      </c>
      <c r="C185" s="50">
        <v>900</v>
      </c>
      <c r="D185" s="50">
        <v>6.11</v>
      </c>
      <c r="E185" s="50">
        <v>422.05274677816715</v>
      </c>
      <c r="F185" s="50">
        <v>9010.3353847059861</v>
      </c>
      <c r="G185" s="57" t="s">
        <v>89</v>
      </c>
      <c r="H185" s="50">
        <v>0.48899999999999999</v>
      </c>
      <c r="I185" s="50">
        <v>30.7</v>
      </c>
      <c r="J185" s="50">
        <v>1910</v>
      </c>
      <c r="K185" s="50">
        <v>3407</v>
      </c>
      <c r="L185" s="50">
        <v>0.6</v>
      </c>
      <c r="M185" s="50">
        <v>89.3</v>
      </c>
      <c r="N185" s="51">
        <v>42.92</v>
      </c>
      <c r="O185" s="43">
        <f t="shared" si="24"/>
        <v>0.4</v>
      </c>
      <c r="P185" s="43">
        <f t="shared" si="25"/>
        <v>1343.817746778167</v>
      </c>
      <c r="Q185" s="43">
        <f t="shared" si="26"/>
        <v>1.0275153206885357E-5</v>
      </c>
      <c r="R185" s="43">
        <v>35</v>
      </c>
      <c r="S185" s="43">
        <f t="shared" si="27"/>
        <v>0.16666666666666666</v>
      </c>
      <c r="T185" s="43">
        <f t="shared" si="28"/>
        <v>6.547526386495524</v>
      </c>
      <c r="U185" s="43" t="str" cm="1">
        <f t="array" ref="U185">_xlfn.IFS(T185&lt;3,"Group I",T185&lt;5,"Group II",T185&lt;10,"Group III",T185&lt;20,"Group IV",T185&lt;50,"Group V",T185&lt;100,"Group VI",T185&lt;200,"Group VII",T185&lt;500,"Group VIII",T185&lt;1000,"Group IX",TRUE,"Group X")</f>
        <v>Group III</v>
      </c>
      <c r="V185" s="43">
        <f t="shared" si="29"/>
        <v>0.81607725730518299</v>
      </c>
      <c r="W185" s="43">
        <f t="shared" si="30"/>
        <v>3.0656477198697067</v>
      </c>
      <c r="X185" s="43">
        <f t="shared" si="31"/>
        <v>0.48652224767858848</v>
      </c>
      <c r="Y185" s="43">
        <f t="shared" si="32"/>
        <v>0.48062709966405376</v>
      </c>
      <c r="Z185" s="43">
        <f t="shared" si="33"/>
        <v>-0.31819174559463292</v>
      </c>
      <c r="AA185" s="43">
        <f t="shared" si="34"/>
        <v>0.39173695054590191</v>
      </c>
      <c r="AB185" s="43">
        <f t="shared" si="35"/>
        <v>0.32802686620456672</v>
      </c>
    </row>
    <row r="186" spans="1:28">
      <c r="A186" s="48" t="s">
        <v>18</v>
      </c>
      <c r="B186" s="50">
        <v>200</v>
      </c>
      <c r="C186" s="50">
        <v>900</v>
      </c>
      <c r="D186" s="50">
        <v>6.11</v>
      </c>
      <c r="E186" s="50">
        <v>422.05274677816715</v>
      </c>
      <c r="F186" s="50">
        <v>9010.3353847059861</v>
      </c>
      <c r="G186" s="57" t="s">
        <v>89</v>
      </c>
      <c r="H186" s="50">
        <v>0.48899999999999999</v>
      </c>
      <c r="I186" s="50">
        <v>30.7</v>
      </c>
      <c r="J186" s="50">
        <v>1910</v>
      </c>
      <c r="K186" s="50">
        <v>3407</v>
      </c>
      <c r="L186" s="50">
        <v>0.6</v>
      </c>
      <c r="M186" s="50">
        <v>113</v>
      </c>
      <c r="N186" s="51">
        <v>30.43</v>
      </c>
      <c r="O186" s="43">
        <f t="shared" si="24"/>
        <v>0.4</v>
      </c>
      <c r="P186" s="43">
        <f t="shared" si="25"/>
        <v>1343.817746778167</v>
      </c>
      <c r="Q186" s="43">
        <f t="shared" si="26"/>
        <v>1.0275153206885357E-5</v>
      </c>
      <c r="R186" s="43">
        <v>35</v>
      </c>
      <c r="S186" s="43">
        <f t="shared" si="27"/>
        <v>0.22222222222222221</v>
      </c>
      <c r="T186" s="43">
        <f t="shared" si="28"/>
        <v>8.7300351819940314</v>
      </c>
      <c r="U186" s="43" t="str" cm="1">
        <f t="array" ref="U186">_xlfn.IFS(T186&lt;3,"Group I",T186&lt;5,"Group II",T186&lt;10,"Group III",T186&lt;20,"Group IV",T186&lt;50,"Group V",T186&lt;100,"Group VI",T186&lt;200,"Group VII",T186&lt;500,"Group VIII",T186&lt;1000,"Group IX",TRUE,"Group X")</f>
        <v>Group III</v>
      </c>
      <c r="V186" s="43">
        <f t="shared" si="29"/>
        <v>0.9410159939134829</v>
      </c>
      <c r="W186" s="43">
        <f t="shared" si="30"/>
        <v>3.0656477198697067</v>
      </c>
      <c r="X186" s="43">
        <f t="shared" si="31"/>
        <v>0.48652224767858848</v>
      </c>
      <c r="Y186" s="43">
        <f t="shared" si="32"/>
        <v>0.2692920353982301</v>
      </c>
      <c r="Z186" s="43">
        <f t="shared" si="33"/>
        <v>-0.56977649112525264</v>
      </c>
      <c r="AA186" s="43">
        <f t="shared" si="34"/>
        <v>0.52231593406120247</v>
      </c>
      <c r="AB186" s="43">
        <f t="shared" si="35"/>
        <v>0.35737869989784909</v>
      </c>
    </row>
    <row r="187" spans="1:28">
      <c r="A187" s="48" t="s">
        <v>18</v>
      </c>
      <c r="B187" s="50">
        <v>250</v>
      </c>
      <c r="C187" s="50">
        <v>900</v>
      </c>
      <c r="D187" s="50">
        <v>6.11</v>
      </c>
      <c r="E187" s="50">
        <v>422.05274677816715</v>
      </c>
      <c r="F187" s="50">
        <v>9010.3353847059861</v>
      </c>
      <c r="G187" s="57" t="s">
        <v>89</v>
      </c>
      <c r="H187" s="50">
        <v>0.48899999999999999</v>
      </c>
      <c r="I187" s="50">
        <v>30.7</v>
      </c>
      <c r="J187" s="50">
        <v>1910</v>
      </c>
      <c r="K187" s="50">
        <v>3407</v>
      </c>
      <c r="L187" s="50">
        <v>0.6</v>
      </c>
      <c r="M187" s="50">
        <v>154.25</v>
      </c>
      <c r="N187" s="51">
        <v>64.92</v>
      </c>
      <c r="O187" s="43">
        <f t="shared" si="24"/>
        <v>0.4</v>
      </c>
      <c r="P187" s="43">
        <f t="shared" si="25"/>
        <v>1343.817746778167</v>
      </c>
      <c r="Q187" s="43">
        <f t="shared" si="26"/>
        <v>1.0275153206885357E-5</v>
      </c>
      <c r="R187" s="43">
        <v>35</v>
      </c>
      <c r="S187" s="43">
        <f t="shared" si="27"/>
        <v>0.27777777777777779</v>
      </c>
      <c r="T187" s="43">
        <f t="shared" si="28"/>
        <v>10.91254397749254</v>
      </c>
      <c r="U187" s="43" t="str" cm="1">
        <f t="array" ref="U187">_xlfn.IFS(T187&lt;3,"Group I",T187&lt;5,"Group II",T187&lt;10,"Group III",T187&lt;20,"Group IV",T187&lt;50,"Group V",T187&lt;100,"Group VI",T187&lt;200,"Group VII",T187&lt;500,"Group VIII",T187&lt;1000,"Group IX",TRUE,"Group X")</f>
        <v>Group IV</v>
      </c>
      <c r="V187" s="43">
        <f t="shared" si="29"/>
        <v>1.0379260069215395</v>
      </c>
      <c r="W187" s="43">
        <f t="shared" si="30"/>
        <v>3.0656477198697067</v>
      </c>
      <c r="X187" s="43">
        <f t="shared" si="31"/>
        <v>0.48652224767858848</v>
      </c>
      <c r="Y187" s="43">
        <f t="shared" si="32"/>
        <v>0.42087520259319289</v>
      </c>
      <c r="Z187" s="43">
        <f t="shared" si="33"/>
        <v>-0.37584666155108498</v>
      </c>
      <c r="AA187" s="43">
        <f t="shared" si="34"/>
        <v>0.6528949175765032</v>
      </c>
      <c r="AB187" s="43">
        <f t="shared" si="35"/>
        <v>0.3819426504064527</v>
      </c>
    </row>
    <row r="188" spans="1:28" ht="18.600000000000001" thickBot="1">
      <c r="A188" s="70" t="s">
        <v>18</v>
      </c>
      <c r="B188" s="66">
        <v>300</v>
      </c>
      <c r="C188" s="66">
        <v>900</v>
      </c>
      <c r="D188" s="66">
        <v>6.11</v>
      </c>
      <c r="E188" s="66">
        <v>422.05274677816715</v>
      </c>
      <c r="F188" s="66">
        <v>9010.3353847059861</v>
      </c>
      <c r="G188" s="65" t="s">
        <v>89</v>
      </c>
      <c r="H188" s="66">
        <v>0.48899999999999999</v>
      </c>
      <c r="I188" s="66">
        <v>30.7</v>
      </c>
      <c r="J188" s="66">
        <v>1910</v>
      </c>
      <c r="K188" s="66">
        <v>3407</v>
      </c>
      <c r="L188" s="66">
        <v>0.6</v>
      </c>
      <c r="M188" s="66">
        <v>176</v>
      </c>
      <c r="N188" s="67">
        <v>71.5</v>
      </c>
      <c r="O188" s="43">
        <f t="shared" si="24"/>
        <v>0.4</v>
      </c>
      <c r="P188" s="43">
        <f t="shared" si="25"/>
        <v>1343.817746778167</v>
      </c>
      <c r="Q188" s="43">
        <f t="shared" si="26"/>
        <v>1.0275153206885357E-5</v>
      </c>
      <c r="R188" s="43">
        <v>35</v>
      </c>
      <c r="S188" s="43">
        <f t="shared" si="27"/>
        <v>0.33333333333333331</v>
      </c>
      <c r="T188" s="43">
        <f t="shared" si="28"/>
        <v>13.095052772991048</v>
      </c>
      <c r="U188" s="43" t="str" cm="1">
        <f t="array" ref="U188">_xlfn.IFS(T188&lt;3,"Group I",T188&lt;5,"Group II",T188&lt;10,"Group III",T188&lt;20,"Group IV",T188&lt;50,"Group V",T188&lt;100,"Group VI",T188&lt;200,"Group VII",T188&lt;500,"Group VIII",T188&lt;1000,"Group IX",TRUE,"Group X")</f>
        <v>Group IV</v>
      </c>
      <c r="V188" s="43">
        <f t="shared" si="29"/>
        <v>1.1171072529691641</v>
      </c>
      <c r="W188" s="43">
        <f t="shared" si="30"/>
        <v>3.0656477198697067</v>
      </c>
      <c r="X188" s="43">
        <f t="shared" si="31"/>
        <v>0.48652224767858848</v>
      </c>
      <c r="Y188" s="43">
        <f t="shared" si="32"/>
        <v>0.40625</v>
      </c>
      <c r="Z188" s="43">
        <f t="shared" si="33"/>
        <v>-0.39120662601306921</v>
      </c>
      <c r="AA188" s="43">
        <f t="shared" si="34"/>
        <v>0.78347390109180381</v>
      </c>
      <c r="AB188" s="43">
        <f t="shared" si="35"/>
        <v>0.40326102592253538</v>
      </c>
    </row>
    <row r="189" spans="1:28">
      <c r="A189" s="44" t="s">
        <v>47</v>
      </c>
      <c r="B189" s="46">
        <v>200</v>
      </c>
      <c r="C189" s="46">
        <v>200</v>
      </c>
      <c r="D189" s="46">
        <v>7.19</v>
      </c>
      <c r="E189" s="46">
        <v>325.02437682826212</v>
      </c>
      <c r="F189" s="46">
        <v>6621.6504699390916</v>
      </c>
      <c r="G189" s="46" t="s">
        <v>119</v>
      </c>
      <c r="H189" s="46">
        <v>0.44900000000000001</v>
      </c>
      <c r="I189" s="46">
        <v>93.9</v>
      </c>
      <c r="J189" s="46">
        <v>1907</v>
      </c>
      <c r="K189" s="46">
        <v>2671</v>
      </c>
      <c r="L189" s="46">
        <v>0.75</v>
      </c>
      <c r="M189" s="32">
        <v>150.1</v>
      </c>
      <c r="N189" s="32">
        <v>71.94</v>
      </c>
      <c r="O189" s="43">
        <f t="shared" ref="O189:O219" si="36">1-L189</f>
        <v>0.25</v>
      </c>
      <c r="P189" s="43">
        <f t="shared" si="25"/>
        <v>1170.0423768282621</v>
      </c>
      <c r="Q189" s="43">
        <f t="shared" si="26"/>
        <v>2.9086426024762179E-5</v>
      </c>
      <c r="R189" s="43">
        <v>35</v>
      </c>
      <c r="S189" s="43">
        <f t="shared" si="27"/>
        <v>1</v>
      </c>
      <c r="T189" s="43">
        <f t="shared" si="28"/>
        <v>6.7143247281264999</v>
      </c>
      <c r="U189" s="43" t="str" cm="1">
        <f t="array" ref="U189">_xlfn.IFS(T189&lt;3,"Group I",T189&lt;5,"Group II",T189&lt;10,"Group III",T189&lt;20,"Group IV",T189&lt;50,"Group V",T189&lt;100,"Group VI",T189&lt;200,"Group VII",T189&lt;500,"Group VIII",T189&lt;1000,"Group IX",TRUE,"Group X")</f>
        <v>Group III</v>
      </c>
      <c r="V189" s="43">
        <f t="shared" si="29"/>
        <v>0.82700234141349938</v>
      </c>
      <c r="W189" s="43">
        <f t="shared" si="30"/>
        <v>0.24066208732694358</v>
      </c>
      <c r="X189" s="43">
        <f t="shared" si="31"/>
        <v>-0.6185923208656483</v>
      </c>
      <c r="Y189" s="43">
        <f t="shared" si="32"/>
        <v>0.4792804796802132</v>
      </c>
      <c r="Z189" s="43">
        <f t="shared" si="33"/>
        <v>-0.31941025876077805</v>
      </c>
      <c r="AA189" s="43">
        <f t="shared" ref="AA189:AA219" si="37">(10^-0.7321)*W189^0.04497*T189*0.307</f>
        <v>0.3582800451084921</v>
      </c>
      <c r="AB189" s="43">
        <f t="shared" ref="AB189:AB219" si="38">(10^-0.7272)*T189^0.2979</f>
        <v>0.33049431815079527</v>
      </c>
    </row>
    <row r="190" spans="1:28">
      <c r="A190" s="48" t="s">
        <v>47</v>
      </c>
      <c r="B190" s="50">
        <v>200</v>
      </c>
      <c r="C190" s="50">
        <v>400</v>
      </c>
      <c r="D190" s="50">
        <v>7.19</v>
      </c>
      <c r="E190" s="50">
        <v>325.02437682826212</v>
      </c>
      <c r="F190" s="50">
        <v>6621.6504699390916</v>
      </c>
      <c r="G190" s="50" t="s">
        <v>119</v>
      </c>
      <c r="H190" s="50">
        <v>0.44900000000000001</v>
      </c>
      <c r="I190" s="50">
        <v>93.9</v>
      </c>
      <c r="J190" s="50">
        <v>1907</v>
      </c>
      <c r="K190" s="50">
        <v>2671</v>
      </c>
      <c r="L190" s="50">
        <v>0.75</v>
      </c>
      <c r="M190" s="32">
        <v>138.6</v>
      </c>
      <c r="N190" s="32">
        <v>55.93</v>
      </c>
      <c r="O190" s="43">
        <f t="shared" si="36"/>
        <v>0.25</v>
      </c>
      <c r="P190" s="43">
        <f t="shared" si="25"/>
        <v>1170.0423768282621</v>
      </c>
      <c r="Q190" s="43">
        <f t="shared" si="26"/>
        <v>2.9086426024762179E-5</v>
      </c>
      <c r="R190" s="43">
        <v>35</v>
      </c>
      <c r="S190" s="43">
        <f t="shared" si="27"/>
        <v>0.5</v>
      </c>
      <c r="T190" s="43">
        <f t="shared" si="28"/>
        <v>4.7477445463467696</v>
      </c>
      <c r="U190" s="43" t="str" cm="1">
        <f t="array" ref="U190">_xlfn.IFS(T190&lt;3,"Group I",T190&lt;5,"Group II",T190&lt;10,"Group III",T190&lt;20,"Group IV",T190&lt;50,"Group V",T190&lt;100,"Group VI",T190&lt;200,"Group VII",T190&lt;500,"Group VIII",T190&lt;1000,"Group IX",TRUE,"Group X")</f>
        <v>Group II</v>
      </c>
      <c r="V190" s="43">
        <f t="shared" si="29"/>
        <v>0.67648734358150864</v>
      </c>
      <c r="W190" s="43">
        <f t="shared" si="30"/>
        <v>0.48132417465388716</v>
      </c>
      <c r="X190" s="43">
        <f t="shared" si="31"/>
        <v>-0.31756232520166705</v>
      </c>
      <c r="Y190" s="43">
        <f t="shared" si="32"/>
        <v>0.40353535353535352</v>
      </c>
      <c r="Z190" s="43">
        <f t="shared" si="33"/>
        <v>-0.39411841094753974</v>
      </c>
      <c r="AA190" s="43">
        <f t="shared" si="37"/>
        <v>0.26136350241653661</v>
      </c>
      <c r="AB190" s="43">
        <f t="shared" si="38"/>
        <v>0.29807501854935547</v>
      </c>
    </row>
    <row r="191" spans="1:28">
      <c r="A191" s="48" t="s">
        <v>47</v>
      </c>
      <c r="B191" s="50">
        <v>200</v>
      </c>
      <c r="C191" s="50">
        <v>600</v>
      </c>
      <c r="D191" s="50">
        <v>7.19</v>
      </c>
      <c r="E191" s="50">
        <v>325.02437682826212</v>
      </c>
      <c r="F191" s="50">
        <v>6621.6504699390916</v>
      </c>
      <c r="G191" s="50" t="s">
        <v>119</v>
      </c>
      <c r="H191" s="50">
        <v>0.44900000000000001</v>
      </c>
      <c r="I191" s="50">
        <v>93.9</v>
      </c>
      <c r="J191" s="50">
        <v>1907</v>
      </c>
      <c r="K191" s="50">
        <v>2671</v>
      </c>
      <c r="L191" s="50">
        <v>0.75</v>
      </c>
      <c r="M191" s="32">
        <v>124.77</v>
      </c>
      <c r="N191" s="32">
        <v>57.98</v>
      </c>
      <c r="O191" s="43">
        <f t="shared" si="36"/>
        <v>0.25</v>
      </c>
      <c r="P191" s="43">
        <f t="shared" si="25"/>
        <v>1170.0423768282621</v>
      </c>
      <c r="Q191" s="43">
        <f t="shared" si="26"/>
        <v>2.9086426024762179E-5</v>
      </c>
      <c r="R191" s="43">
        <v>35</v>
      </c>
      <c r="S191" s="43">
        <f t="shared" si="27"/>
        <v>0.33333333333333331</v>
      </c>
      <c r="T191" s="43">
        <f t="shared" si="28"/>
        <v>3.8765171892103956</v>
      </c>
      <c r="U191" s="43" t="str" cm="1">
        <f t="array" ref="U191">_xlfn.IFS(T191&lt;3,"Group I",T191&lt;5,"Group II",T191&lt;10,"Group III",T191&lt;20,"Group IV",T191&lt;50,"Group V",T191&lt;100,"Group VI",T191&lt;200,"Group VII",T191&lt;500,"Group VIII",T191&lt;1000,"Group IX",TRUE,"Group X")</f>
        <v>Group II</v>
      </c>
      <c r="V191" s="43">
        <f t="shared" si="29"/>
        <v>0.58844171405366807</v>
      </c>
      <c r="W191" s="43">
        <f t="shared" si="30"/>
        <v>0.72198626198083071</v>
      </c>
      <c r="X191" s="43">
        <f t="shared" si="31"/>
        <v>-0.14147106614598584</v>
      </c>
      <c r="Y191" s="43">
        <f t="shared" si="32"/>
        <v>0.46469503887152358</v>
      </c>
      <c r="Z191" s="43">
        <f t="shared" si="33"/>
        <v>-0.33283196406561744</v>
      </c>
      <c r="AA191" s="43">
        <f t="shared" si="37"/>
        <v>0.21732922719319972</v>
      </c>
      <c r="AB191" s="43">
        <f t="shared" si="38"/>
        <v>0.28060589249396362</v>
      </c>
    </row>
    <row r="192" spans="1:28">
      <c r="A192" s="48" t="s">
        <v>47</v>
      </c>
      <c r="B192" s="50">
        <v>200</v>
      </c>
      <c r="C192" s="50">
        <v>800</v>
      </c>
      <c r="D192" s="50">
        <v>7.19</v>
      </c>
      <c r="E192" s="50">
        <v>325.02437682826212</v>
      </c>
      <c r="F192" s="50">
        <v>6621.6504699390916</v>
      </c>
      <c r="G192" s="50" t="s">
        <v>119</v>
      </c>
      <c r="H192" s="50">
        <v>0.44900000000000001</v>
      </c>
      <c r="I192" s="50">
        <v>93.9</v>
      </c>
      <c r="J192" s="50">
        <v>1907</v>
      </c>
      <c r="K192" s="50">
        <v>2671</v>
      </c>
      <c r="L192" s="50">
        <v>0.75</v>
      </c>
      <c r="M192" s="32">
        <v>108.58</v>
      </c>
      <c r="N192" s="32">
        <v>49.21</v>
      </c>
      <c r="O192" s="43">
        <f t="shared" si="36"/>
        <v>0.25</v>
      </c>
      <c r="P192" s="43">
        <f t="shared" si="25"/>
        <v>1170.0423768282621</v>
      </c>
      <c r="Q192" s="43">
        <f t="shared" si="26"/>
        <v>2.9086426024762179E-5</v>
      </c>
      <c r="R192" s="43">
        <v>35</v>
      </c>
      <c r="S192" s="43">
        <f t="shared" si="27"/>
        <v>0.25</v>
      </c>
      <c r="T192" s="43">
        <f t="shared" si="28"/>
        <v>3.35716236406325</v>
      </c>
      <c r="U192" s="43" t="str" cm="1">
        <f t="array" ref="U192">_xlfn.IFS(T192&lt;3,"Group I",T192&lt;5,"Group II",T192&lt;10,"Group III",T192&lt;20,"Group IV",T192&lt;50,"Group V",T192&lt;100,"Group VI",T192&lt;200,"Group VII",T192&lt;500,"Group VIII",T192&lt;1000,"Group IX",TRUE,"Group X")</f>
        <v>Group II</v>
      </c>
      <c r="V192" s="43">
        <f t="shared" si="29"/>
        <v>0.52597234574951812</v>
      </c>
      <c r="W192" s="43">
        <f t="shared" si="30"/>
        <v>0.96264834930777432</v>
      </c>
      <c r="X192" s="43">
        <f t="shared" si="31"/>
        <v>-1.6532329537685877E-2</v>
      </c>
      <c r="Y192" s="43">
        <f t="shared" si="32"/>
        <v>0.45321421993000555</v>
      </c>
      <c r="Z192" s="43">
        <f t="shared" si="33"/>
        <v>-0.3436964722855802</v>
      </c>
      <c r="AA192" s="43">
        <f t="shared" si="37"/>
        <v>0.19066336885927729</v>
      </c>
      <c r="AB192" s="43">
        <f t="shared" si="38"/>
        <v>0.26883583711917081</v>
      </c>
    </row>
    <row r="193" spans="1:28">
      <c r="A193" s="48" t="s">
        <v>47</v>
      </c>
      <c r="B193" s="50">
        <v>200</v>
      </c>
      <c r="C193" s="50">
        <v>1200</v>
      </c>
      <c r="D193" s="50">
        <v>7.19</v>
      </c>
      <c r="E193" s="50">
        <v>325.02437682826212</v>
      </c>
      <c r="F193" s="50">
        <v>6621.6504699390916</v>
      </c>
      <c r="G193" s="50" t="s">
        <v>119</v>
      </c>
      <c r="H193" s="50">
        <v>0.44900000000000001</v>
      </c>
      <c r="I193" s="50">
        <v>93.9</v>
      </c>
      <c r="J193" s="50">
        <v>1907</v>
      </c>
      <c r="K193" s="50">
        <v>2671</v>
      </c>
      <c r="L193" s="50">
        <v>0.75</v>
      </c>
      <c r="M193" s="32">
        <v>102.85</v>
      </c>
      <c r="N193" s="32">
        <v>43.65</v>
      </c>
      <c r="O193" s="43">
        <f t="shared" si="36"/>
        <v>0.25</v>
      </c>
      <c r="P193" s="43">
        <f t="shared" si="25"/>
        <v>1170.0423768282621</v>
      </c>
      <c r="Q193" s="43">
        <f t="shared" si="26"/>
        <v>2.9086426024762179E-5</v>
      </c>
      <c r="R193" s="43">
        <v>35</v>
      </c>
      <c r="S193" s="43">
        <f t="shared" si="27"/>
        <v>0.16666666666666666</v>
      </c>
      <c r="T193" s="43">
        <f t="shared" si="28"/>
        <v>2.7411115918768858</v>
      </c>
      <c r="U193" s="43" t="str" cm="1">
        <f t="array" ref="U193">_xlfn.IFS(T193&lt;3,"Group I",T193&lt;5,"Group II",T193&lt;10,"Group III",T193&lt;20,"Group IV",T193&lt;50,"Group V",T193&lt;100,"Group VI",T193&lt;200,"Group VII",T193&lt;500,"Group VIII",T193&lt;1000,"Group IX",TRUE,"Group X")</f>
        <v>Group I</v>
      </c>
      <c r="V193" s="43">
        <f t="shared" si="29"/>
        <v>0.43792671622167756</v>
      </c>
      <c r="W193" s="43">
        <f t="shared" si="30"/>
        <v>1.4439725239616614</v>
      </c>
      <c r="X193" s="43">
        <f t="shared" si="31"/>
        <v>0.15955892951799536</v>
      </c>
      <c r="Y193" s="43">
        <f t="shared" si="32"/>
        <v>0.42440447253281477</v>
      </c>
      <c r="Z193" s="43">
        <f t="shared" si="33"/>
        <v>-0.37222004798915431</v>
      </c>
      <c r="AA193" s="43">
        <f t="shared" si="37"/>
        <v>0.15854058514337158</v>
      </c>
      <c r="AB193" s="43">
        <f t="shared" si="38"/>
        <v>0.25308031641268136</v>
      </c>
    </row>
    <row r="194" spans="1:28">
      <c r="A194" s="48" t="s">
        <v>47</v>
      </c>
      <c r="B194" s="50">
        <v>200</v>
      </c>
      <c r="C194" s="50">
        <v>1600</v>
      </c>
      <c r="D194" s="50">
        <v>7.19</v>
      </c>
      <c r="E194" s="50">
        <v>325.02437682826212</v>
      </c>
      <c r="F194" s="50">
        <v>6621.6504699390916</v>
      </c>
      <c r="G194" s="50" t="s">
        <v>119</v>
      </c>
      <c r="H194" s="50">
        <v>0.44900000000000001</v>
      </c>
      <c r="I194" s="50">
        <v>93.9</v>
      </c>
      <c r="J194" s="50">
        <v>1907</v>
      </c>
      <c r="K194" s="50">
        <v>2671</v>
      </c>
      <c r="L194" s="50">
        <v>0.75</v>
      </c>
      <c r="M194" s="32">
        <v>97.93</v>
      </c>
      <c r="N194" s="32">
        <v>45.28</v>
      </c>
      <c r="O194" s="43">
        <f t="shared" si="36"/>
        <v>0.25</v>
      </c>
      <c r="P194" s="43">
        <f t="shared" si="25"/>
        <v>1170.0423768282621</v>
      </c>
      <c r="Q194" s="43">
        <f t="shared" si="26"/>
        <v>2.9086426024762179E-5</v>
      </c>
      <c r="R194" s="43">
        <v>35</v>
      </c>
      <c r="S194" s="43">
        <f t="shared" si="27"/>
        <v>0.125</v>
      </c>
      <c r="T194" s="43">
        <f t="shared" si="28"/>
        <v>2.3738722731733848</v>
      </c>
      <c r="U194" s="43" t="str" cm="1">
        <f t="array" ref="U194">_xlfn.IFS(T194&lt;3,"Group I",T194&lt;5,"Group II",T194&lt;10,"Group III",T194&lt;20,"Group IV",T194&lt;50,"Group V",T194&lt;100,"Group VI",T194&lt;200,"Group VII",T194&lt;500,"Group VIII",T194&lt;1000,"Group IX",TRUE,"Group X")</f>
        <v>Group I</v>
      </c>
      <c r="V194" s="43">
        <f t="shared" si="29"/>
        <v>0.3754573479175275</v>
      </c>
      <c r="W194" s="43">
        <f t="shared" si="30"/>
        <v>1.9252966986155486</v>
      </c>
      <c r="X194" s="43">
        <f t="shared" si="31"/>
        <v>0.28449766612629535</v>
      </c>
      <c r="Y194" s="43">
        <f t="shared" si="32"/>
        <v>0.46237108138466249</v>
      </c>
      <c r="Z194" s="43">
        <f t="shared" si="33"/>
        <v>-0.33500933632586949</v>
      </c>
      <c r="AA194" s="43">
        <f t="shared" si="37"/>
        <v>0.13908797475032914</v>
      </c>
      <c r="AB194" s="43">
        <f t="shared" si="38"/>
        <v>0.24246482536945096</v>
      </c>
    </row>
    <row r="195" spans="1:28">
      <c r="A195" s="48" t="s">
        <v>47</v>
      </c>
      <c r="B195" s="50">
        <v>200</v>
      </c>
      <c r="C195" s="50">
        <v>2000</v>
      </c>
      <c r="D195" s="50">
        <v>7.19</v>
      </c>
      <c r="E195" s="50">
        <v>325.02437682826212</v>
      </c>
      <c r="F195" s="50">
        <v>6621.6504699390916</v>
      </c>
      <c r="G195" s="50" t="s">
        <v>119</v>
      </c>
      <c r="H195" s="50">
        <v>0.44900000000000001</v>
      </c>
      <c r="I195" s="50">
        <v>93.9</v>
      </c>
      <c r="J195" s="50">
        <v>1907</v>
      </c>
      <c r="K195" s="50">
        <v>2671</v>
      </c>
      <c r="L195" s="50">
        <v>0.75</v>
      </c>
      <c r="M195" s="32">
        <v>80.52</v>
      </c>
      <c r="N195" s="32">
        <v>34.83</v>
      </c>
      <c r="O195" s="43">
        <f t="shared" si="36"/>
        <v>0.25</v>
      </c>
      <c r="P195" s="43">
        <f t="shared" si="25"/>
        <v>1170.0423768282621</v>
      </c>
      <c r="Q195" s="43">
        <f t="shared" si="26"/>
        <v>2.9086426024762179E-5</v>
      </c>
      <c r="R195" s="43">
        <v>35</v>
      </c>
      <c r="S195" s="43">
        <f t="shared" si="27"/>
        <v>0.1</v>
      </c>
      <c r="T195" s="43">
        <f t="shared" si="28"/>
        <v>2.1232559090870557</v>
      </c>
      <c r="U195" s="43" t="str" cm="1">
        <f t="array" ref="U195">_xlfn.IFS(T195&lt;3,"Group I",T195&lt;5,"Group II",T195&lt;10,"Group III",T195&lt;20,"Group IV",T195&lt;50,"Group V",T195&lt;100,"Group VI",T195&lt;200,"Group VII",T195&lt;500,"Group VIII",T195&lt;1000,"Group IX",TRUE,"Group X")</f>
        <v>Group I</v>
      </c>
      <c r="V195" s="43">
        <f t="shared" si="29"/>
        <v>0.32700234141349932</v>
      </c>
      <c r="W195" s="43">
        <f t="shared" si="30"/>
        <v>2.4066208732694356</v>
      </c>
      <c r="X195" s="43">
        <f t="shared" si="31"/>
        <v>0.3814076791343517</v>
      </c>
      <c r="Y195" s="43">
        <f t="shared" si="32"/>
        <v>0.43256333830104321</v>
      </c>
      <c r="Z195" s="43">
        <f t="shared" si="33"/>
        <v>-0.36395029175838062</v>
      </c>
      <c r="AA195" s="43">
        <f t="shared" si="37"/>
        <v>0.12565871672516585</v>
      </c>
      <c r="AB195" s="43">
        <f t="shared" si="38"/>
        <v>0.23453842127733793</v>
      </c>
    </row>
    <row r="196" spans="1:28">
      <c r="A196" s="48" t="s">
        <v>47</v>
      </c>
      <c r="B196" s="50">
        <v>200</v>
      </c>
      <c r="C196" s="50">
        <v>2400</v>
      </c>
      <c r="D196" s="50">
        <v>7.19</v>
      </c>
      <c r="E196" s="50">
        <v>325.02437682826212</v>
      </c>
      <c r="F196" s="50">
        <v>6621.6504699390916</v>
      </c>
      <c r="G196" s="50" t="s">
        <v>119</v>
      </c>
      <c r="H196" s="50">
        <v>0.44900000000000001</v>
      </c>
      <c r="I196" s="50">
        <v>93.9</v>
      </c>
      <c r="J196" s="50">
        <v>1907</v>
      </c>
      <c r="K196" s="50">
        <v>2671</v>
      </c>
      <c r="L196" s="50">
        <v>0.75</v>
      </c>
      <c r="M196" s="32">
        <v>77.23</v>
      </c>
      <c r="N196" s="32">
        <v>32.159999999999997</v>
      </c>
      <c r="O196" s="43">
        <f t="shared" si="36"/>
        <v>0.25</v>
      </c>
      <c r="P196" s="43">
        <f t="shared" ref="P196:P259" si="39">H196*(J196-25)+E196</f>
        <v>1170.0423768282621</v>
      </c>
      <c r="Q196" s="43">
        <f t="shared" ref="Q196:Q259" si="40">I196/(D196*H196*10^6)</f>
        <v>2.9086426024762179E-5</v>
      </c>
      <c r="R196" s="43">
        <v>35</v>
      </c>
      <c r="S196" s="43">
        <f t="shared" ref="S196:S259" si="41">B196/C196</f>
        <v>8.3333333333333329E-2</v>
      </c>
      <c r="T196" s="43">
        <f t="shared" ref="T196:T259" si="42">(O196*B196)/(D196*P196*1000000*SQRT(PI()*(R196*0.000001)^3*Q196*(C196/1000)))</f>
        <v>1.9382585946051978</v>
      </c>
      <c r="U196" s="43" t="str" cm="1">
        <f t="array" ref="U196">_xlfn.IFS(T196&lt;3,"Group I",T196&lt;5,"Group II",T196&lt;10,"Group III",T196&lt;20,"Group IV",T196&lt;50,"Group V",T196&lt;100,"Group VI",T196&lt;200,"Group VII",T196&lt;500,"Group VIII",T196&lt;1000,"Group IX",TRUE,"Group X")</f>
        <v>Group I</v>
      </c>
      <c r="V196" s="43">
        <f t="shared" ref="V196:V259" si="43">LOG(T196)</f>
        <v>0.28741171838968693</v>
      </c>
      <c r="W196" s="43">
        <f t="shared" ref="W196:W259" si="44">(C196/1000)*(R196/1000000)/Q196</f>
        <v>2.8879450479233228</v>
      </c>
      <c r="X196" s="43">
        <f t="shared" si="31"/>
        <v>0.46058892518197653</v>
      </c>
      <c r="Y196" s="43">
        <f t="shared" ref="Y196:Y259" si="45">N196/M196</f>
        <v>0.41641849022400618</v>
      </c>
      <c r="Z196" s="43">
        <f t="shared" si="33"/>
        <v>-0.38046999476195792</v>
      </c>
      <c r="AA196" s="43">
        <f t="shared" si="37"/>
        <v>0.11565456456189492</v>
      </c>
      <c r="AB196" s="43">
        <f t="shared" si="38"/>
        <v>0.22825481669783809</v>
      </c>
    </row>
    <row r="197" spans="1:28">
      <c r="A197" s="48" t="s">
        <v>47</v>
      </c>
      <c r="B197" s="50">
        <v>350</v>
      </c>
      <c r="C197" s="50">
        <v>400</v>
      </c>
      <c r="D197" s="50">
        <v>7.19</v>
      </c>
      <c r="E197" s="50">
        <v>325.02437682826212</v>
      </c>
      <c r="F197" s="50">
        <v>6621.6504699390916</v>
      </c>
      <c r="G197" s="50" t="s">
        <v>119</v>
      </c>
      <c r="H197" s="50">
        <v>0.44900000000000001</v>
      </c>
      <c r="I197" s="50">
        <v>93.9</v>
      </c>
      <c r="J197" s="50">
        <v>1907</v>
      </c>
      <c r="K197" s="50">
        <v>2671</v>
      </c>
      <c r="L197" s="50">
        <v>0.75</v>
      </c>
      <c r="M197" s="32">
        <v>239</v>
      </c>
      <c r="N197" s="32">
        <v>136.4</v>
      </c>
      <c r="O197" s="43">
        <f t="shared" si="36"/>
        <v>0.25</v>
      </c>
      <c r="P197" s="43">
        <f t="shared" si="39"/>
        <v>1170.0423768282621</v>
      </c>
      <c r="Q197" s="43">
        <f t="shared" si="40"/>
        <v>2.9086426024762179E-5</v>
      </c>
      <c r="R197" s="43">
        <v>35</v>
      </c>
      <c r="S197" s="43">
        <f t="shared" si="41"/>
        <v>0.875</v>
      </c>
      <c r="T197" s="43">
        <f t="shared" si="42"/>
        <v>8.3085529561068476</v>
      </c>
      <c r="U197" s="43" t="str" cm="1">
        <f t="array" ref="U197">_xlfn.IFS(T197&lt;3,"Group I",T197&lt;5,"Group II",T197&lt;10,"Group III",T197&lt;20,"Group IV",T197&lt;50,"Group V",T197&lt;100,"Group VI",T197&lt;200,"Group VII",T197&lt;500,"Group VIII",T197&lt;1000,"Group IX",TRUE,"Group X")</f>
        <v>Group III</v>
      </c>
      <c r="V197" s="43">
        <f t="shared" si="43"/>
        <v>0.91952539226780317</v>
      </c>
      <c r="W197" s="43">
        <f t="shared" si="44"/>
        <v>0.48132417465388716</v>
      </c>
      <c r="X197" s="43">
        <f t="shared" si="31"/>
        <v>-0.31756232520166705</v>
      </c>
      <c r="Y197" s="43">
        <f t="shared" si="45"/>
        <v>0.57071129707112978</v>
      </c>
      <c r="Z197" s="43">
        <f t="shared" si="33"/>
        <v>-0.24358353062767751</v>
      </c>
      <c r="AA197" s="43">
        <f t="shared" si="37"/>
        <v>0.45738612922893906</v>
      </c>
      <c r="AB197" s="43">
        <f t="shared" si="38"/>
        <v>0.35214912559757555</v>
      </c>
    </row>
    <row r="198" spans="1:28">
      <c r="A198" s="48" t="s">
        <v>47</v>
      </c>
      <c r="B198" s="50">
        <v>350</v>
      </c>
      <c r="C198" s="50">
        <v>600</v>
      </c>
      <c r="D198" s="50">
        <v>7.19</v>
      </c>
      <c r="E198" s="50">
        <v>325.02437682826212</v>
      </c>
      <c r="F198" s="50">
        <v>6621.6504699390916</v>
      </c>
      <c r="G198" s="50" t="s">
        <v>119</v>
      </c>
      <c r="H198" s="50">
        <v>0.44900000000000001</v>
      </c>
      <c r="I198" s="50">
        <v>93.9</v>
      </c>
      <c r="J198" s="50">
        <v>1907</v>
      </c>
      <c r="K198" s="50">
        <v>2671</v>
      </c>
      <c r="L198" s="50">
        <v>0.75</v>
      </c>
      <c r="M198" s="32">
        <v>168.24</v>
      </c>
      <c r="N198" s="32">
        <v>73.099999999999994</v>
      </c>
      <c r="O198" s="43">
        <f t="shared" si="36"/>
        <v>0.25</v>
      </c>
      <c r="P198" s="43">
        <f t="shared" si="39"/>
        <v>1170.0423768282621</v>
      </c>
      <c r="Q198" s="43">
        <f t="shared" si="40"/>
        <v>2.9086426024762179E-5</v>
      </c>
      <c r="R198" s="43">
        <v>35</v>
      </c>
      <c r="S198" s="43">
        <f t="shared" si="41"/>
        <v>0.58333333333333337</v>
      </c>
      <c r="T198" s="43">
        <f t="shared" si="42"/>
        <v>6.783905081118192</v>
      </c>
      <c r="U198" s="43" t="str" cm="1">
        <f t="array" ref="U198">_xlfn.IFS(T198&lt;3,"Group I",T198&lt;5,"Group II",T198&lt;10,"Group III",T198&lt;20,"Group IV",T198&lt;50,"Group V",T198&lt;100,"Group VI",T198&lt;200,"Group VII",T198&lt;500,"Group VIII",T198&lt;1000,"Group IX",TRUE,"Group X")</f>
        <v>Group III</v>
      </c>
      <c r="V198" s="43">
        <f t="shared" si="43"/>
        <v>0.83147976273996249</v>
      </c>
      <c r="W198" s="43">
        <f t="shared" si="44"/>
        <v>0.72198626198083071</v>
      </c>
      <c r="X198" s="43">
        <f t="shared" si="31"/>
        <v>-0.14147106614598584</v>
      </c>
      <c r="Y198" s="43">
        <f t="shared" si="45"/>
        <v>0.43449833571088914</v>
      </c>
      <c r="Z198" s="43">
        <f t="shared" si="33"/>
        <v>-0.3620118827204043</v>
      </c>
      <c r="AA198" s="43">
        <f t="shared" si="37"/>
        <v>0.38032614758809952</v>
      </c>
      <c r="AB198" s="43">
        <f t="shared" si="38"/>
        <v>0.33151090675153211</v>
      </c>
    </row>
    <row r="199" spans="1:28">
      <c r="A199" s="48" t="s">
        <v>47</v>
      </c>
      <c r="B199" s="50">
        <v>350</v>
      </c>
      <c r="C199" s="50">
        <v>800</v>
      </c>
      <c r="D199" s="50">
        <v>7.19</v>
      </c>
      <c r="E199" s="50">
        <v>325.02437682826212</v>
      </c>
      <c r="F199" s="50">
        <v>6621.6504699390916</v>
      </c>
      <c r="G199" s="50" t="s">
        <v>119</v>
      </c>
      <c r="H199" s="50">
        <v>0.44900000000000001</v>
      </c>
      <c r="I199" s="50">
        <v>93.9</v>
      </c>
      <c r="J199" s="50">
        <v>1907</v>
      </c>
      <c r="K199" s="50">
        <v>2671</v>
      </c>
      <c r="L199" s="50">
        <v>0.75</v>
      </c>
      <c r="M199" s="32">
        <v>140</v>
      </c>
      <c r="N199" s="32">
        <v>47.59</v>
      </c>
      <c r="O199" s="43">
        <f t="shared" si="36"/>
        <v>0.25</v>
      </c>
      <c r="P199" s="43">
        <f t="shared" si="39"/>
        <v>1170.0423768282621</v>
      </c>
      <c r="Q199" s="43">
        <f t="shared" si="40"/>
        <v>2.9086426024762179E-5</v>
      </c>
      <c r="R199" s="43">
        <v>35</v>
      </c>
      <c r="S199" s="43">
        <f t="shared" si="41"/>
        <v>0.4375</v>
      </c>
      <c r="T199" s="43">
        <f t="shared" si="42"/>
        <v>5.8750341371106876</v>
      </c>
      <c r="U199" s="43" t="str" cm="1">
        <f t="array" ref="U199">_xlfn.IFS(T199&lt;3,"Group I",T199&lt;5,"Group II",T199&lt;10,"Group III",T199&lt;20,"Group IV",T199&lt;50,"Group V",T199&lt;100,"Group VI",T199&lt;200,"Group VII",T199&lt;500,"Group VIII",T199&lt;1000,"Group IX",TRUE,"Group X")</f>
        <v>Group III</v>
      </c>
      <c r="V199" s="43">
        <f t="shared" si="43"/>
        <v>0.76901039443581254</v>
      </c>
      <c r="W199" s="43">
        <f t="shared" si="44"/>
        <v>0.96264834930777432</v>
      </c>
      <c r="X199" s="43">
        <f t="shared" si="31"/>
        <v>-1.6532329537685877E-2</v>
      </c>
      <c r="Y199" s="43">
        <f t="shared" si="45"/>
        <v>0.33992857142857147</v>
      </c>
      <c r="Z199" s="43">
        <f t="shared" si="33"/>
        <v>-0.46861233087948051</v>
      </c>
      <c r="AA199" s="43">
        <f t="shared" si="37"/>
        <v>0.33366089550373529</v>
      </c>
      <c r="AB199" s="43">
        <f t="shared" si="38"/>
        <v>0.31760563307700568</v>
      </c>
    </row>
    <row r="200" spans="1:28">
      <c r="A200" s="48" t="s">
        <v>47</v>
      </c>
      <c r="B200" s="50">
        <v>350</v>
      </c>
      <c r="C200" s="50">
        <v>1000</v>
      </c>
      <c r="D200" s="50">
        <v>7.19</v>
      </c>
      <c r="E200" s="50">
        <v>325.02437682826212</v>
      </c>
      <c r="F200" s="50">
        <v>6621.6504699390916</v>
      </c>
      <c r="G200" s="50" t="s">
        <v>119</v>
      </c>
      <c r="H200" s="50">
        <v>0.44900000000000001</v>
      </c>
      <c r="I200" s="50">
        <v>93.9</v>
      </c>
      <c r="J200" s="50">
        <v>1907</v>
      </c>
      <c r="K200" s="50">
        <v>2671</v>
      </c>
      <c r="L200" s="50">
        <v>0.75</v>
      </c>
      <c r="M200" s="32">
        <v>110</v>
      </c>
      <c r="N200" s="32">
        <v>44.46</v>
      </c>
      <c r="O200" s="43">
        <f t="shared" si="36"/>
        <v>0.25</v>
      </c>
      <c r="P200" s="43">
        <f t="shared" si="39"/>
        <v>1170.0423768282621</v>
      </c>
      <c r="Q200" s="43">
        <f t="shared" si="40"/>
        <v>2.9086426024762179E-5</v>
      </c>
      <c r="R200" s="43">
        <v>35</v>
      </c>
      <c r="S200" s="43">
        <f t="shared" si="41"/>
        <v>0.35</v>
      </c>
      <c r="T200" s="43">
        <f t="shared" si="42"/>
        <v>5.2547902802845261</v>
      </c>
      <c r="U200" s="43" t="str" cm="1">
        <f t="array" ref="U200">_xlfn.IFS(T200&lt;3,"Group I",T200&lt;5,"Group II",T200&lt;10,"Group III",T200&lt;20,"Group IV",T200&lt;50,"Group V",T200&lt;100,"Group VI",T200&lt;200,"Group VII",T200&lt;500,"Group VIII",T200&lt;1000,"Group IX",TRUE,"Group X")</f>
        <v>Group III</v>
      </c>
      <c r="V200" s="43">
        <f t="shared" si="43"/>
        <v>0.72055538793178431</v>
      </c>
      <c r="W200" s="43">
        <f t="shared" si="44"/>
        <v>1.2033104366347178</v>
      </c>
      <c r="X200" s="43">
        <f t="shared" si="31"/>
        <v>8.0377683470370512E-2</v>
      </c>
      <c r="Y200" s="43">
        <f t="shared" si="45"/>
        <v>0.4041818181818182</v>
      </c>
      <c r="Z200" s="43">
        <f t="shared" si="33"/>
        <v>-0.39342322679525321</v>
      </c>
      <c r="AA200" s="43">
        <f t="shared" si="37"/>
        <v>0.30144518263085723</v>
      </c>
      <c r="AB200" s="43">
        <f t="shared" si="38"/>
        <v>0.30722280502817922</v>
      </c>
    </row>
    <row r="201" spans="1:28">
      <c r="A201" s="48" t="s">
        <v>47</v>
      </c>
      <c r="B201" s="50">
        <v>350</v>
      </c>
      <c r="C201" s="50">
        <v>1200</v>
      </c>
      <c r="D201" s="50">
        <v>7.19</v>
      </c>
      <c r="E201" s="50">
        <v>325.02437682826212</v>
      </c>
      <c r="F201" s="50">
        <v>6621.6504699390916</v>
      </c>
      <c r="G201" s="50" t="s">
        <v>119</v>
      </c>
      <c r="H201" s="50">
        <v>0.44900000000000001</v>
      </c>
      <c r="I201" s="50">
        <v>93.9</v>
      </c>
      <c r="J201" s="50">
        <v>1907</v>
      </c>
      <c r="K201" s="50">
        <v>2671</v>
      </c>
      <c r="L201" s="50">
        <v>0.75</v>
      </c>
      <c r="M201" s="32">
        <v>77.44</v>
      </c>
      <c r="N201" s="32">
        <v>25.43</v>
      </c>
      <c r="O201" s="43">
        <f t="shared" si="36"/>
        <v>0.25</v>
      </c>
      <c r="P201" s="43">
        <f t="shared" si="39"/>
        <v>1170.0423768282621</v>
      </c>
      <c r="Q201" s="43">
        <f t="shared" si="40"/>
        <v>2.9086426024762179E-5</v>
      </c>
      <c r="R201" s="43">
        <v>35</v>
      </c>
      <c r="S201" s="43">
        <f t="shared" si="41"/>
        <v>0.29166666666666669</v>
      </c>
      <c r="T201" s="43">
        <f t="shared" si="42"/>
        <v>4.7969452857845498</v>
      </c>
      <c r="U201" s="43" t="str" cm="1">
        <f t="array" ref="U201">_xlfn.IFS(T201&lt;3,"Group I",T201&lt;5,"Group II",T201&lt;10,"Group III",T201&lt;20,"Group IV",T201&lt;50,"Group V",T201&lt;100,"Group VI",T201&lt;200,"Group VII",T201&lt;500,"Group VIII",T201&lt;1000,"Group IX",TRUE,"Group X")</f>
        <v>Group II</v>
      </c>
      <c r="V201" s="43">
        <f t="shared" si="43"/>
        <v>0.68096476490797198</v>
      </c>
      <c r="W201" s="43">
        <f t="shared" si="44"/>
        <v>1.4439725239616614</v>
      </c>
      <c r="X201" s="43">
        <f t="shared" si="31"/>
        <v>0.15955892951799536</v>
      </c>
      <c r="Y201" s="43">
        <f t="shared" si="45"/>
        <v>0.32838326446280991</v>
      </c>
      <c r="Z201" s="43">
        <f t="shared" si="33"/>
        <v>-0.48361898412462839</v>
      </c>
      <c r="AA201" s="43">
        <f t="shared" si="37"/>
        <v>0.27744602400090024</v>
      </c>
      <c r="AB201" s="43">
        <f t="shared" si="38"/>
        <v>0.29899188655397707</v>
      </c>
    </row>
    <row r="202" spans="1:28">
      <c r="A202" s="48" t="s">
        <v>47</v>
      </c>
      <c r="B202" s="50">
        <v>350</v>
      </c>
      <c r="C202" s="50">
        <v>1600</v>
      </c>
      <c r="D202" s="50">
        <v>7.19</v>
      </c>
      <c r="E202" s="50">
        <v>325.02437682826212</v>
      </c>
      <c r="F202" s="50">
        <v>6621.6504699390916</v>
      </c>
      <c r="G202" s="50" t="s">
        <v>119</v>
      </c>
      <c r="H202" s="50">
        <v>0.44900000000000001</v>
      </c>
      <c r="I202" s="50">
        <v>93.9</v>
      </c>
      <c r="J202" s="50">
        <v>1907</v>
      </c>
      <c r="K202" s="50">
        <v>2671</v>
      </c>
      <c r="L202" s="50">
        <v>0.75</v>
      </c>
      <c r="M202" s="32">
        <v>75.400000000000006</v>
      </c>
      <c r="N202" s="32">
        <v>23.57</v>
      </c>
      <c r="O202" s="43">
        <f t="shared" si="36"/>
        <v>0.25</v>
      </c>
      <c r="P202" s="43">
        <f t="shared" si="39"/>
        <v>1170.0423768282621</v>
      </c>
      <c r="Q202" s="43">
        <f t="shared" si="40"/>
        <v>2.9086426024762179E-5</v>
      </c>
      <c r="R202" s="43">
        <v>35</v>
      </c>
      <c r="S202" s="43">
        <f t="shared" si="41"/>
        <v>0.21875</v>
      </c>
      <c r="T202" s="43">
        <f t="shared" si="42"/>
        <v>4.1542764780534238</v>
      </c>
      <c r="U202" s="43" t="str" cm="1">
        <f t="array" ref="U202">_xlfn.IFS(T202&lt;3,"Group I",T202&lt;5,"Group II",T202&lt;10,"Group III",T202&lt;20,"Group IV",T202&lt;50,"Group V",T202&lt;100,"Group VI",T202&lt;200,"Group VII",T202&lt;500,"Group VIII",T202&lt;1000,"Group IX",TRUE,"Group X")</f>
        <v>Group II</v>
      </c>
      <c r="V202" s="43">
        <f t="shared" si="43"/>
        <v>0.61849539660382202</v>
      </c>
      <c r="W202" s="43">
        <f t="shared" si="44"/>
        <v>1.9252966986155486</v>
      </c>
      <c r="X202" s="43">
        <f t="shared" si="31"/>
        <v>0.28449766612629535</v>
      </c>
      <c r="Y202" s="43">
        <f t="shared" si="45"/>
        <v>0.31259946949602119</v>
      </c>
      <c r="Z202" s="43">
        <f t="shared" si="33"/>
        <v>-0.50501176334545028</v>
      </c>
      <c r="AA202" s="43">
        <f t="shared" si="37"/>
        <v>0.243403955813076</v>
      </c>
      <c r="AB202" s="43">
        <f t="shared" si="38"/>
        <v>0.28645062795788473</v>
      </c>
    </row>
    <row r="203" spans="1:28">
      <c r="A203" s="48" t="s">
        <v>47</v>
      </c>
      <c r="B203" s="50">
        <v>350</v>
      </c>
      <c r="C203" s="50">
        <v>2000</v>
      </c>
      <c r="D203" s="50">
        <v>7.19</v>
      </c>
      <c r="E203" s="50">
        <v>325.02437682826212</v>
      </c>
      <c r="F203" s="50">
        <v>6621.6504699390916</v>
      </c>
      <c r="G203" s="50" t="s">
        <v>119</v>
      </c>
      <c r="H203" s="50">
        <v>0.44900000000000001</v>
      </c>
      <c r="I203" s="50">
        <v>93.9</v>
      </c>
      <c r="J203" s="50">
        <v>1907</v>
      </c>
      <c r="K203" s="50">
        <v>2671</v>
      </c>
      <c r="L203" s="50">
        <v>0.75</v>
      </c>
      <c r="M203" s="32">
        <v>70.28</v>
      </c>
      <c r="N203" s="32">
        <v>20</v>
      </c>
      <c r="O203" s="43">
        <f t="shared" si="36"/>
        <v>0.25</v>
      </c>
      <c r="P203" s="43">
        <f t="shared" si="39"/>
        <v>1170.0423768282621</v>
      </c>
      <c r="Q203" s="43">
        <f t="shared" si="40"/>
        <v>2.9086426024762179E-5</v>
      </c>
      <c r="R203" s="43">
        <v>35</v>
      </c>
      <c r="S203" s="43">
        <f t="shared" si="41"/>
        <v>0.17499999999999999</v>
      </c>
      <c r="T203" s="43">
        <f t="shared" si="42"/>
        <v>3.7156978409023478</v>
      </c>
      <c r="U203" s="43" t="str" cm="1">
        <f t="array" ref="U203">_xlfn.IFS(T203&lt;3,"Group I",T203&lt;5,"Group II",T203&lt;10,"Group III",T203&lt;20,"Group IV",T203&lt;50,"Group V",T203&lt;100,"Group VI",T203&lt;200,"Group VII",T203&lt;500,"Group VIII",T203&lt;1000,"Group IX",TRUE,"Group X")</f>
        <v>Group II</v>
      </c>
      <c r="V203" s="43">
        <f t="shared" si="43"/>
        <v>0.57004039009979379</v>
      </c>
      <c r="W203" s="43">
        <f t="shared" si="44"/>
        <v>2.4066208732694356</v>
      </c>
      <c r="X203" s="43">
        <f t="shared" si="31"/>
        <v>0.3814076791343517</v>
      </c>
      <c r="Y203" s="43">
        <f t="shared" si="45"/>
        <v>0.28457598178713717</v>
      </c>
      <c r="Z203" s="43">
        <f t="shared" si="33"/>
        <v>-0.54580175715927615</v>
      </c>
      <c r="AA203" s="43">
        <f t="shared" si="37"/>
        <v>0.21990275426904021</v>
      </c>
      <c r="AB203" s="43">
        <f t="shared" si="38"/>
        <v>0.27708628644494954</v>
      </c>
    </row>
    <row r="204" spans="1:28">
      <c r="A204" s="48" t="s">
        <v>47</v>
      </c>
      <c r="B204" s="50">
        <v>350</v>
      </c>
      <c r="C204" s="50">
        <v>2400</v>
      </c>
      <c r="D204" s="50">
        <v>7.19</v>
      </c>
      <c r="E204" s="50">
        <v>325.02437682826212</v>
      </c>
      <c r="F204" s="50">
        <v>6621.6504699390916</v>
      </c>
      <c r="G204" s="50" t="s">
        <v>119</v>
      </c>
      <c r="H204" s="50">
        <v>0.44900000000000001</v>
      </c>
      <c r="I204" s="50">
        <v>93.9</v>
      </c>
      <c r="J204" s="50">
        <v>1907</v>
      </c>
      <c r="K204" s="50">
        <v>2671</v>
      </c>
      <c r="L204" s="50">
        <v>0.75</v>
      </c>
      <c r="M204" s="32">
        <v>61.26</v>
      </c>
      <c r="N204" s="32">
        <v>15.45</v>
      </c>
      <c r="O204" s="43">
        <f t="shared" si="36"/>
        <v>0.25</v>
      </c>
      <c r="P204" s="43">
        <f t="shared" si="39"/>
        <v>1170.0423768282621</v>
      </c>
      <c r="Q204" s="43">
        <f t="shared" si="40"/>
        <v>2.9086426024762179E-5</v>
      </c>
      <c r="R204" s="43">
        <v>35</v>
      </c>
      <c r="S204" s="43">
        <f t="shared" si="41"/>
        <v>0.14583333333333334</v>
      </c>
      <c r="T204" s="43">
        <f t="shared" si="42"/>
        <v>3.391952540559096</v>
      </c>
      <c r="U204" s="43" t="str" cm="1">
        <f t="array" ref="U204">_xlfn.IFS(T204&lt;3,"Group I",T204&lt;5,"Group II",T204&lt;10,"Group III",T204&lt;20,"Group IV",T204&lt;50,"Group V",T204&lt;100,"Group VI",T204&lt;200,"Group VII",T204&lt;500,"Group VIII",T204&lt;1000,"Group IX",TRUE,"Group X")</f>
        <v>Group II</v>
      </c>
      <c r="V204" s="43">
        <f t="shared" si="43"/>
        <v>0.53044976707598135</v>
      </c>
      <c r="W204" s="43">
        <f t="shared" si="44"/>
        <v>2.8879450479233228</v>
      </c>
      <c r="X204" s="43">
        <f t="shared" si="31"/>
        <v>0.46058892518197653</v>
      </c>
      <c r="Y204" s="43">
        <f t="shared" si="45"/>
        <v>0.25220372184133205</v>
      </c>
      <c r="Z204" s="43">
        <f t="shared" si="33"/>
        <v>-0.59824850870970037</v>
      </c>
      <c r="AA204" s="43">
        <f t="shared" si="37"/>
        <v>0.20239548798331608</v>
      </c>
      <c r="AB204" s="43">
        <f t="shared" si="38"/>
        <v>0.26966276645645576</v>
      </c>
    </row>
    <row r="205" spans="1:28">
      <c r="A205" s="48" t="s">
        <v>47</v>
      </c>
      <c r="B205" s="50">
        <v>100</v>
      </c>
      <c r="C205" s="50">
        <v>300</v>
      </c>
      <c r="D205" s="50">
        <v>7.19</v>
      </c>
      <c r="E205" s="50">
        <v>325.02437682826212</v>
      </c>
      <c r="F205" s="50">
        <v>6621.6504699390916</v>
      </c>
      <c r="G205" s="50" t="s">
        <v>119</v>
      </c>
      <c r="H205" s="50">
        <v>0.44900000000000001</v>
      </c>
      <c r="I205" s="50">
        <v>93.9</v>
      </c>
      <c r="J205" s="50">
        <v>1907</v>
      </c>
      <c r="K205" s="50">
        <v>2671</v>
      </c>
      <c r="L205" s="50">
        <v>0.75</v>
      </c>
      <c r="M205" s="32">
        <v>84</v>
      </c>
      <c r="N205" s="32">
        <v>26.43</v>
      </c>
      <c r="O205" s="43">
        <f t="shared" si="36"/>
        <v>0.25</v>
      </c>
      <c r="P205" s="43">
        <f t="shared" si="39"/>
        <v>1170.0423768282621</v>
      </c>
      <c r="Q205" s="43">
        <f t="shared" si="40"/>
        <v>2.9086426024762179E-5</v>
      </c>
      <c r="R205" s="43">
        <v>35</v>
      </c>
      <c r="S205" s="43">
        <f t="shared" si="41"/>
        <v>0.33333333333333331</v>
      </c>
      <c r="T205" s="43">
        <f t="shared" si="42"/>
        <v>2.7411115918768858</v>
      </c>
      <c r="U205" s="43" t="str" cm="1">
        <f t="array" ref="U205">_xlfn.IFS(T205&lt;3,"Group I",T205&lt;5,"Group II",T205&lt;10,"Group III",T205&lt;20,"Group IV",T205&lt;50,"Group V",T205&lt;100,"Group VI",T205&lt;200,"Group VII",T205&lt;500,"Group VIII",T205&lt;1000,"Group IX",TRUE,"Group X")</f>
        <v>Group I</v>
      </c>
      <c r="V205" s="43">
        <f t="shared" si="43"/>
        <v>0.43792671622167756</v>
      </c>
      <c r="W205" s="43">
        <f t="shared" si="44"/>
        <v>0.36099313099041536</v>
      </c>
      <c r="X205" s="43">
        <f t="shared" si="31"/>
        <v>-0.44250106180996707</v>
      </c>
      <c r="Y205" s="43">
        <f t="shared" si="45"/>
        <v>0.31464285714285711</v>
      </c>
      <c r="Z205" s="43">
        <f t="shared" si="33"/>
        <v>-0.50218212293017139</v>
      </c>
      <c r="AA205" s="43">
        <f t="shared" si="37"/>
        <v>0.14895868130447656</v>
      </c>
      <c r="AB205" s="43">
        <f t="shared" si="38"/>
        <v>0.25308031641268136</v>
      </c>
    </row>
    <row r="206" spans="1:28">
      <c r="A206" s="48" t="s">
        <v>47</v>
      </c>
      <c r="B206" s="50">
        <v>150</v>
      </c>
      <c r="C206" s="50">
        <v>300</v>
      </c>
      <c r="D206" s="50">
        <v>7.19</v>
      </c>
      <c r="E206" s="50">
        <v>325.02437682826212</v>
      </c>
      <c r="F206" s="50">
        <v>6621.6504699390916</v>
      </c>
      <c r="G206" s="50" t="s">
        <v>119</v>
      </c>
      <c r="H206" s="50">
        <v>0.44900000000000001</v>
      </c>
      <c r="I206" s="50">
        <v>93.9</v>
      </c>
      <c r="J206" s="50">
        <v>1907</v>
      </c>
      <c r="K206" s="50">
        <v>2671</v>
      </c>
      <c r="L206" s="50">
        <v>0.75</v>
      </c>
      <c r="M206" s="32">
        <v>115.95</v>
      </c>
      <c r="N206" s="32">
        <v>45.31</v>
      </c>
      <c r="O206" s="43">
        <f t="shared" si="36"/>
        <v>0.25</v>
      </c>
      <c r="P206" s="43">
        <f t="shared" si="39"/>
        <v>1170.0423768282621</v>
      </c>
      <c r="Q206" s="43">
        <f t="shared" si="40"/>
        <v>2.9086426024762179E-5</v>
      </c>
      <c r="R206" s="43">
        <v>35</v>
      </c>
      <c r="S206" s="43">
        <f t="shared" si="41"/>
        <v>0.5</v>
      </c>
      <c r="T206" s="43">
        <f t="shared" si="42"/>
        <v>4.1116673878153289</v>
      </c>
      <c r="U206" s="43" t="str" cm="1">
        <f t="array" ref="U206">_xlfn.IFS(T206&lt;3,"Group I",T206&lt;5,"Group II",T206&lt;10,"Group III",T206&lt;20,"Group IV",T206&lt;50,"Group V",T206&lt;100,"Group VI",T206&lt;200,"Group VII",T206&lt;500,"Group VIII",T206&lt;1000,"Group IX",TRUE,"Group X")</f>
        <v>Group II</v>
      </c>
      <c r="V206" s="43">
        <f t="shared" si="43"/>
        <v>0.6140179752773588</v>
      </c>
      <c r="W206" s="43">
        <f t="shared" si="44"/>
        <v>0.36099313099041536</v>
      </c>
      <c r="X206" s="43">
        <f t="shared" si="31"/>
        <v>-0.44250106180996707</v>
      </c>
      <c r="Y206" s="43">
        <f t="shared" si="45"/>
        <v>0.39077188443294525</v>
      </c>
      <c r="Z206" s="43">
        <f t="shared" si="33"/>
        <v>-0.40807669079482034</v>
      </c>
      <c r="AA206" s="43">
        <f t="shared" si="37"/>
        <v>0.22343802195671486</v>
      </c>
      <c r="AB206" s="43">
        <f t="shared" si="38"/>
        <v>0.2855722181163825</v>
      </c>
    </row>
    <row r="207" spans="1:28">
      <c r="A207" s="48" t="s">
        <v>47</v>
      </c>
      <c r="B207" s="50">
        <v>200</v>
      </c>
      <c r="C207" s="50">
        <v>300</v>
      </c>
      <c r="D207" s="50">
        <v>7.19</v>
      </c>
      <c r="E207" s="50">
        <v>325.02437682826212</v>
      </c>
      <c r="F207" s="50">
        <v>6621.6504699390916</v>
      </c>
      <c r="G207" s="50" t="s">
        <v>119</v>
      </c>
      <c r="H207" s="50">
        <v>0.44900000000000001</v>
      </c>
      <c r="I207" s="50">
        <v>93.9</v>
      </c>
      <c r="J207" s="50">
        <v>1907</v>
      </c>
      <c r="K207" s="50">
        <v>2671</v>
      </c>
      <c r="L207" s="50">
        <v>0.75</v>
      </c>
      <c r="M207" s="32">
        <v>122.71</v>
      </c>
      <c r="N207" s="32">
        <v>54.09</v>
      </c>
      <c r="O207" s="43">
        <f t="shared" si="36"/>
        <v>0.25</v>
      </c>
      <c r="P207" s="43">
        <f t="shared" si="39"/>
        <v>1170.0423768282621</v>
      </c>
      <c r="Q207" s="43">
        <f t="shared" si="40"/>
        <v>2.9086426024762179E-5</v>
      </c>
      <c r="R207" s="43">
        <v>35</v>
      </c>
      <c r="S207" s="43">
        <f t="shared" si="41"/>
        <v>0.66666666666666663</v>
      </c>
      <c r="T207" s="43">
        <f t="shared" si="42"/>
        <v>5.4822231837537716</v>
      </c>
      <c r="U207" s="43" t="str" cm="1">
        <f t="array" ref="U207">_xlfn.IFS(T207&lt;3,"Group I",T207&lt;5,"Group II",T207&lt;10,"Group III",T207&lt;20,"Group IV",T207&lt;50,"Group V",T207&lt;100,"Group VI",T207&lt;200,"Group VII",T207&lt;500,"Group VIII",T207&lt;1000,"Group IX",TRUE,"Group X")</f>
        <v>Group III</v>
      </c>
      <c r="V207" s="43">
        <f t="shared" si="43"/>
        <v>0.73895671188565881</v>
      </c>
      <c r="W207" s="43">
        <f t="shared" si="44"/>
        <v>0.36099313099041536</v>
      </c>
      <c r="X207" s="43">
        <f t="shared" si="31"/>
        <v>-0.44250106180996707</v>
      </c>
      <c r="Y207" s="43">
        <f t="shared" si="45"/>
        <v>0.4407953712003912</v>
      </c>
      <c r="Z207" s="43">
        <f t="shared" si="33"/>
        <v>-0.35576297466598733</v>
      </c>
      <c r="AA207" s="43">
        <f t="shared" si="37"/>
        <v>0.29791736260895313</v>
      </c>
      <c r="AB207" s="43">
        <f t="shared" si="38"/>
        <v>0.3111252112311188</v>
      </c>
    </row>
    <row r="208" spans="1:28">
      <c r="A208" s="48" t="s">
        <v>47</v>
      </c>
      <c r="B208" s="50">
        <v>250</v>
      </c>
      <c r="C208" s="50">
        <v>300</v>
      </c>
      <c r="D208" s="50">
        <v>7.19</v>
      </c>
      <c r="E208" s="50">
        <v>325.02437682826212</v>
      </c>
      <c r="F208" s="50">
        <v>6621.6504699390916</v>
      </c>
      <c r="G208" s="50" t="s">
        <v>119</v>
      </c>
      <c r="H208" s="50">
        <v>0.44900000000000001</v>
      </c>
      <c r="I208" s="50">
        <v>93.9</v>
      </c>
      <c r="J208" s="50">
        <v>1907</v>
      </c>
      <c r="K208" s="50">
        <v>2671</v>
      </c>
      <c r="L208" s="50">
        <v>0.75</v>
      </c>
      <c r="M208" s="32">
        <v>112.2</v>
      </c>
      <c r="N208" s="32">
        <v>62.12</v>
      </c>
      <c r="O208" s="43">
        <f t="shared" si="36"/>
        <v>0.25</v>
      </c>
      <c r="P208" s="43">
        <f t="shared" si="39"/>
        <v>1170.0423768282621</v>
      </c>
      <c r="Q208" s="43">
        <f t="shared" si="40"/>
        <v>2.9086426024762179E-5</v>
      </c>
      <c r="R208" s="43">
        <v>35</v>
      </c>
      <c r="S208" s="43">
        <f t="shared" si="41"/>
        <v>0.83333333333333337</v>
      </c>
      <c r="T208" s="43">
        <f t="shared" si="42"/>
        <v>6.8527789796922143</v>
      </c>
      <c r="U208" s="43" t="str" cm="1">
        <f t="array" ref="U208">_xlfn.IFS(T208&lt;3,"Group I",T208&lt;5,"Group II",T208&lt;10,"Group III",T208&lt;20,"Group IV",T208&lt;50,"Group V",T208&lt;100,"Group VI",T208&lt;200,"Group VII",T208&lt;500,"Group VIII",T208&lt;1000,"Group IX",TRUE,"Group X")</f>
        <v>Group III</v>
      </c>
      <c r="V208" s="43">
        <f t="shared" si="43"/>
        <v>0.83586672489371516</v>
      </c>
      <c r="W208" s="43">
        <f t="shared" si="44"/>
        <v>0.36099313099041536</v>
      </c>
      <c r="X208" s="43">
        <f t="shared" si="31"/>
        <v>-0.44250106180996707</v>
      </c>
      <c r="Y208" s="43">
        <f t="shared" si="45"/>
        <v>0.55365418894830654</v>
      </c>
      <c r="Z208" s="43">
        <f t="shared" si="33"/>
        <v>-0.25676140986362173</v>
      </c>
      <c r="AA208" s="43">
        <f t="shared" si="37"/>
        <v>0.3723967032611914</v>
      </c>
      <c r="AB208" s="43">
        <f t="shared" si="38"/>
        <v>0.33250998959884048</v>
      </c>
    </row>
    <row r="209" spans="1:28">
      <c r="A209" s="48" t="s">
        <v>47</v>
      </c>
      <c r="B209" s="50">
        <v>300</v>
      </c>
      <c r="C209" s="50">
        <v>300</v>
      </c>
      <c r="D209" s="50">
        <v>7.19</v>
      </c>
      <c r="E209" s="50">
        <v>325.02437682826212</v>
      </c>
      <c r="F209" s="50">
        <v>6621.6504699390916</v>
      </c>
      <c r="G209" s="50" t="s">
        <v>119</v>
      </c>
      <c r="H209" s="50">
        <v>0.44900000000000001</v>
      </c>
      <c r="I209" s="50">
        <v>93.9</v>
      </c>
      <c r="J209" s="50">
        <v>1907</v>
      </c>
      <c r="K209" s="50">
        <v>2671</v>
      </c>
      <c r="L209" s="50">
        <v>0.75</v>
      </c>
      <c r="M209" s="32">
        <v>114.52</v>
      </c>
      <c r="N209" s="32">
        <v>64.94</v>
      </c>
      <c r="O209" s="43">
        <f t="shared" si="36"/>
        <v>0.25</v>
      </c>
      <c r="P209" s="43">
        <f t="shared" si="39"/>
        <v>1170.0423768282621</v>
      </c>
      <c r="Q209" s="43">
        <f t="shared" si="40"/>
        <v>2.9086426024762179E-5</v>
      </c>
      <c r="R209" s="43">
        <v>35</v>
      </c>
      <c r="S209" s="43">
        <f t="shared" si="41"/>
        <v>1</v>
      </c>
      <c r="T209" s="43">
        <f t="shared" si="42"/>
        <v>8.2233347756306578</v>
      </c>
      <c r="U209" s="43" t="str" cm="1">
        <f t="array" ref="U209">_xlfn.IFS(T209&lt;3,"Group I",T209&lt;5,"Group II",T209&lt;10,"Group III",T209&lt;20,"Group IV",T209&lt;50,"Group V",T209&lt;100,"Group VI",T209&lt;200,"Group VII",T209&lt;500,"Group VIII",T209&lt;1000,"Group IX",TRUE,"Group X")</f>
        <v>Group III</v>
      </c>
      <c r="V209" s="43">
        <f t="shared" si="43"/>
        <v>0.91504797094134005</v>
      </c>
      <c r="W209" s="43">
        <f t="shared" si="44"/>
        <v>0.36099313099041536</v>
      </c>
      <c r="X209" s="43">
        <f t="shared" si="31"/>
        <v>-0.44250106180996707</v>
      </c>
      <c r="Y209" s="43">
        <f t="shared" si="45"/>
        <v>0.56706252183024797</v>
      </c>
      <c r="Z209" s="43">
        <f t="shared" si="33"/>
        <v>-0.24636905505957837</v>
      </c>
      <c r="AA209" s="43">
        <f t="shared" si="37"/>
        <v>0.44687604391342972</v>
      </c>
      <c r="AB209" s="43">
        <f t="shared" si="38"/>
        <v>0.35106924925097249</v>
      </c>
    </row>
    <row r="210" spans="1:28">
      <c r="A210" s="48" t="s">
        <v>47</v>
      </c>
      <c r="B210" s="50">
        <v>100</v>
      </c>
      <c r="C210" s="50">
        <v>600</v>
      </c>
      <c r="D210" s="50">
        <v>7.19</v>
      </c>
      <c r="E210" s="50">
        <v>325.02437682826212</v>
      </c>
      <c r="F210" s="50">
        <v>6621.6504699390916</v>
      </c>
      <c r="G210" s="50" t="s">
        <v>119</v>
      </c>
      <c r="H210" s="50">
        <v>0.44900000000000001</v>
      </c>
      <c r="I210" s="50">
        <v>93.9</v>
      </c>
      <c r="J210" s="50">
        <v>1907</v>
      </c>
      <c r="K210" s="50">
        <v>2671</v>
      </c>
      <c r="L210" s="50">
        <v>0.75</v>
      </c>
      <c r="M210" s="32">
        <v>33.19</v>
      </c>
      <c r="N210" s="32">
        <v>15.37</v>
      </c>
      <c r="O210" s="43">
        <f t="shared" si="36"/>
        <v>0.25</v>
      </c>
      <c r="P210" s="43">
        <f t="shared" si="39"/>
        <v>1170.0423768282621</v>
      </c>
      <c r="Q210" s="43">
        <f t="shared" si="40"/>
        <v>2.9086426024762179E-5</v>
      </c>
      <c r="R210" s="43">
        <v>35</v>
      </c>
      <c r="S210" s="43">
        <f t="shared" si="41"/>
        <v>0.16666666666666666</v>
      </c>
      <c r="T210" s="43">
        <f t="shared" si="42"/>
        <v>1.9382585946051978</v>
      </c>
      <c r="U210" s="43" t="str" cm="1">
        <f t="array" ref="U210">_xlfn.IFS(T210&lt;3,"Group I",T210&lt;5,"Group II",T210&lt;10,"Group III",T210&lt;20,"Group IV",T210&lt;50,"Group V",T210&lt;100,"Group VI",T210&lt;200,"Group VII",T210&lt;500,"Group VIII",T210&lt;1000,"Group IX",TRUE,"Group X")</f>
        <v>Group I</v>
      </c>
      <c r="V210" s="43">
        <f t="shared" si="43"/>
        <v>0.28741171838968693</v>
      </c>
      <c r="W210" s="43">
        <f t="shared" si="44"/>
        <v>0.72198626198083071</v>
      </c>
      <c r="X210" s="43">
        <f t="shared" si="31"/>
        <v>-0.14147106614598584</v>
      </c>
      <c r="Y210" s="43">
        <f t="shared" si="45"/>
        <v>0.46309129255799941</v>
      </c>
      <c r="Z210" s="43">
        <f t="shared" si="33"/>
        <v>-0.33433338490885878</v>
      </c>
      <c r="AA210" s="43">
        <f t="shared" si="37"/>
        <v>0.10866461359659986</v>
      </c>
      <c r="AB210" s="43">
        <f t="shared" si="38"/>
        <v>0.22825481669783809</v>
      </c>
    </row>
    <row r="211" spans="1:28">
      <c r="A211" s="48" t="s">
        <v>47</v>
      </c>
      <c r="B211" s="50">
        <v>150</v>
      </c>
      <c r="C211" s="50">
        <v>600</v>
      </c>
      <c r="D211" s="50">
        <v>7.19</v>
      </c>
      <c r="E211" s="50">
        <v>325.02437682826212</v>
      </c>
      <c r="F211" s="50">
        <v>6621.6504699390916</v>
      </c>
      <c r="G211" s="50" t="s">
        <v>119</v>
      </c>
      <c r="H211" s="50">
        <v>0.44900000000000001</v>
      </c>
      <c r="I211" s="50">
        <v>93.9</v>
      </c>
      <c r="J211" s="50">
        <v>1907</v>
      </c>
      <c r="K211" s="50">
        <v>2671</v>
      </c>
      <c r="L211" s="50">
        <v>0.75</v>
      </c>
      <c r="M211" s="32">
        <v>88.93</v>
      </c>
      <c r="N211" s="32">
        <v>34.22</v>
      </c>
      <c r="O211" s="43">
        <f t="shared" si="36"/>
        <v>0.25</v>
      </c>
      <c r="P211" s="43">
        <f t="shared" si="39"/>
        <v>1170.0423768282621</v>
      </c>
      <c r="Q211" s="43">
        <f t="shared" si="40"/>
        <v>2.9086426024762179E-5</v>
      </c>
      <c r="R211" s="43">
        <v>35</v>
      </c>
      <c r="S211" s="43">
        <f t="shared" si="41"/>
        <v>0.25</v>
      </c>
      <c r="T211" s="43">
        <f t="shared" si="42"/>
        <v>2.9073878919077969</v>
      </c>
      <c r="U211" s="43" t="str" cm="1">
        <f t="array" ref="U211">_xlfn.IFS(T211&lt;3,"Group I",T211&lt;5,"Group II",T211&lt;10,"Group III",T211&lt;20,"Group IV",T211&lt;50,"Group V",T211&lt;100,"Group VI",T211&lt;200,"Group VII",T211&lt;500,"Group VIII",T211&lt;1000,"Group IX",TRUE,"Group X")</f>
        <v>Group I</v>
      </c>
      <c r="V211" s="43">
        <f t="shared" si="43"/>
        <v>0.46350297744536817</v>
      </c>
      <c r="W211" s="43">
        <f t="shared" si="44"/>
        <v>0.72198626198083071</v>
      </c>
      <c r="X211" s="43">
        <f t="shared" si="31"/>
        <v>-0.14147106614598584</v>
      </c>
      <c r="Y211" s="43">
        <f t="shared" si="45"/>
        <v>0.38479703137298993</v>
      </c>
      <c r="Z211" s="43">
        <f t="shared" si="33"/>
        <v>-0.41476828711058239</v>
      </c>
      <c r="AA211" s="43">
        <f t="shared" si="37"/>
        <v>0.16299692039489982</v>
      </c>
      <c r="AB211" s="43">
        <f t="shared" si="38"/>
        <v>0.25755947844580657</v>
      </c>
    </row>
    <row r="212" spans="1:28">
      <c r="A212" s="48" t="s">
        <v>47</v>
      </c>
      <c r="B212" s="50">
        <v>200</v>
      </c>
      <c r="C212" s="50">
        <v>600</v>
      </c>
      <c r="D212" s="50">
        <v>7.19</v>
      </c>
      <c r="E212" s="50">
        <v>325.02437682826212</v>
      </c>
      <c r="F212" s="50">
        <v>6621.6504699390916</v>
      </c>
      <c r="G212" s="50" t="s">
        <v>119</v>
      </c>
      <c r="H212" s="50">
        <v>0.44900000000000001</v>
      </c>
      <c r="I212" s="50">
        <v>93.9</v>
      </c>
      <c r="J212" s="50">
        <v>1907</v>
      </c>
      <c r="K212" s="50">
        <v>2671</v>
      </c>
      <c r="L212" s="50">
        <v>0.75</v>
      </c>
      <c r="M212" s="32">
        <v>97.51</v>
      </c>
      <c r="N212" s="32">
        <v>43.23</v>
      </c>
      <c r="O212" s="43">
        <f t="shared" si="36"/>
        <v>0.25</v>
      </c>
      <c r="P212" s="43">
        <f t="shared" si="39"/>
        <v>1170.0423768282621</v>
      </c>
      <c r="Q212" s="43">
        <f t="shared" si="40"/>
        <v>2.9086426024762179E-5</v>
      </c>
      <c r="R212" s="43">
        <v>35</v>
      </c>
      <c r="S212" s="43">
        <f t="shared" si="41"/>
        <v>0.33333333333333331</v>
      </c>
      <c r="T212" s="43">
        <f t="shared" si="42"/>
        <v>3.8765171892103956</v>
      </c>
      <c r="U212" s="43" t="str" cm="1">
        <f t="array" ref="U212">_xlfn.IFS(T212&lt;3,"Group I",T212&lt;5,"Group II",T212&lt;10,"Group III",T212&lt;20,"Group IV",T212&lt;50,"Group V",T212&lt;100,"Group VI",T212&lt;200,"Group VII",T212&lt;500,"Group VIII",T212&lt;1000,"Group IX",TRUE,"Group X")</f>
        <v>Group II</v>
      </c>
      <c r="V212" s="43">
        <f t="shared" si="43"/>
        <v>0.58844171405366807</v>
      </c>
      <c r="W212" s="43">
        <f t="shared" si="44"/>
        <v>0.72198626198083071</v>
      </c>
      <c r="X212" s="43">
        <f t="shared" si="31"/>
        <v>-0.14147106614598584</v>
      </c>
      <c r="Y212" s="43">
        <f t="shared" si="45"/>
        <v>0.44333914470310731</v>
      </c>
      <c r="Z212" s="43">
        <f t="shared" si="33"/>
        <v>-0.35326392090456865</v>
      </c>
      <c r="AA212" s="43">
        <f t="shared" si="37"/>
        <v>0.21732922719319972</v>
      </c>
      <c r="AB212" s="43">
        <f t="shared" si="38"/>
        <v>0.28060589249396362</v>
      </c>
    </row>
    <row r="213" spans="1:28">
      <c r="A213" s="48" t="s">
        <v>47</v>
      </c>
      <c r="B213" s="50">
        <v>250</v>
      </c>
      <c r="C213" s="50">
        <v>600</v>
      </c>
      <c r="D213" s="50">
        <v>7.19</v>
      </c>
      <c r="E213" s="50">
        <v>325.02437682826212</v>
      </c>
      <c r="F213" s="50">
        <v>6621.6504699390916</v>
      </c>
      <c r="G213" s="50" t="s">
        <v>119</v>
      </c>
      <c r="H213" s="50">
        <v>0.44900000000000001</v>
      </c>
      <c r="I213" s="50">
        <v>93.9</v>
      </c>
      <c r="J213" s="50">
        <v>1907</v>
      </c>
      <c r="K213" s="50">
        <v>2671</v>
      </c>
      <c r="L213" s="50">
        <v>0.75</v>
      </c>
      <c r="M213" s="32">
        <v>98.74</v>
      </c>
      <c r="N213" s="32">
        <v>49.37</v>
      </c>
      <c r="O213" s="43">
        <f t="shared" si="36"/>
        <v>0.25</v>
      </c>
      <c r="P213" s="43">
        <f t="shared" si="39"/>
        <v>1170.0423768282621</v>
      </c>
      <c r="Q213" s="43">
        <f t="shared" si="40"/>
        <v>2.9086426024762179E-5</v>
      </c>
      <c r="R213" s="43">
        <v>35</v>
      </c>
      <c r="S213" s="43">
        <f t="shared" si="41"/>
        <v>0.41666666666666669</v>
      </c>
      <c r="T213" s="43">
        <f t="shared" si="42"/>
        <v>4.8456464865129947</v>
      </c>
      <c r="U213" s="43" t="str" cm="1">
        <f t="array" ref="U213">_xlfn.IFS(T213&lt;3,"Group I",T213&lt;5,"Group II",T213&lt;10,"Group III",T213&lt;20,"Group IV",T213&lt;50,"Group V",T213&lt;100,"Group VI",T213&lt;200,"Group VII",T213&lt;500,"Group VIII",T213&lt;1000,"Group IX",TRUE,"Group X")</f>
        <v>Group II</v>
      </c>
      <c r="V213" s="43">
        <f t="shared" si="43"/>
        <v>0.68535172706172454</v>
      </c>
      <c r="W213" s="43">
        <f t="shared" si="44"/>
        <v>0.72198626198083071</v>
      </c>
      <c r="X213" s="43">
        <f t="shared" si="31"/>
        <v>-0.14147106614598584</v>
      </c>
      <c r="Y213" s="43">
        <f t="shared" si="45"/>
        <v>0.5</v>
      </c>
      <c r="Z213" s="43">
        <f t="shared" si="33"/>
        <v>-0.3010299956639812</v>
      </c>
      <c r="AA213" s="43">
        <f t="shared" si="37"/>
        <v>0.27166153399149967</v>
      </c>
      <c r="AB213" s="43">
        <f t="shared" si="38"/>
        <v>0.29989296600342136</v>
      </c>
    </row>
    <row r="214" spans="1:28">
      <c r="A214" s="48" t="s">
        <v>47</v>
      </c>
      <c r="B214" s="50">
        <v>300</v>
      </c>
      <c r="C214" s="50">
        <v>600</v>
      </c>
      <c r="D214" s="50">
        <v>7.19</v>
      </c>
      <c r="E214" s="50">
        <v>325.02437682826212</v>
      </c>
      <c r="F214" s="50">
        <v>6621.6504699390916</v>
      </c>
      <c r="G214" s="50" t="s">
        <v>119</v>
      </c>
      <c r="H214" s="50">
        <v>0.44900000000000001</v>
      </c>
      <c r="I214" s="50">
        <v>93.9</v>
      </c>
      <c r="J214" s="50">
        <v>1907</v>
      </c>
      <c r="K214" s="50">
        <v>2671</v>
      </c>
      <c r="L214" s="50">
        <v>0.75</v>
      </c>
      <c r="M214" s="32">
        <v>99.21</v>
      </c>
      <c r="N214" s="32">
        <v>36.880000000000003</v>
      </c>
      <c r="O214" s="43">
        <f t="shared" si="36"/>
        <v>0.25</v>
      </c>
      <c r="P214" s="43">
        <f t="shared" si="39"/>
        <v>1170.0423768282621</v>
      </c>
      <c r="Q214" s="43">
        <f t="shared" si="40"/>
        <v>2.9086426024762179E-5</v>
      </c>
      <c r="R214" s="43">
        <v>35</v>
      </c>
      <c r="S214" s="43">
        <f t="shared" si="41"/>
        <v>0.5</v>
      </c>
      <c r="T214" s="43">
        <f t="shared" si="42"/>
        <v>5.8147757838155938</v>
      </c>
      <c r="U214" s="43" t="str" cm="1">
        <f t="array" ref="U214">_xlfn.IFS(T214&lt;3,"Group I",T214&lt;5,"Group II",T214&lt;10,"Group III",T214&lt;20,"Group IV",T214&lt;50,"Group V",T214&lt;100,"Group VI",T214&lt;200,"Group VII",T214&lt;500,"Group VIII",T214&lt;1000,"Group IX",TRUE,"Group X")</f>
        <v>Group III</v>
      </c>
      <c r="V214" s="43">
        <f t="shared" si="43"/>
        <v>0.76453297310934942</v>
      </c>
      <c r="W214" s="43">
        <f t="shared" si="44"/>
        <v>0.72198626198083071</v>
      </c>
      <c r="X214" s="43">
        <f t="shared" si="31"/>
        <v>-0.14147106614598584</v>
      </c>
      <c r="Y214" s="43">
        <f t="shared" si="45"/>
        <v>0.37173672008870079</v>
      </c>
      <c r="Z214" s="43">
        <f t="shared" si="33"/>
        <v>-0.42976453725177349</v>
      </c>
      <c r="AA214" s="43">
        <f t="shared" si="37"/>
        <v>0.32599384078979965</v>
      </c>
      <c r="AB214" s="43">
        <f t="shared" si="38"/>
        <v>0.31663168543443876</v>
      </c>
    </row>
    <row r="215" spans="1:28">
      <c r="A215" s="48" t="s">
        <v>47</v>
      </c>
      <c r="B215" s="50">
        <v>100</v>
      </c>
      <c r="C215" s="50">
        <v>900</v>
      </c>
      <c r="D215" s="50">
        <v>7.19</v>
      </c>
      <c r="E215" s="50">
        <v>325.02437682826212</v>
      </c>
      <c r="F215" s="50">
        <v>6621.6504699390916</v>
      </c>
      <c r="G215" s="50" t="s">
        <v>119</v>
      </c>
      <c r="H215" s="50">
        <v>0.44900000000000001</v>
      </c>
      <c r="I215" s="50">
        <v>93.9</v>
      </c>
      <c r="J215" s="50">
        <v>1907</v>
      </c>
      <c r="K215" s="50">
        <v>2671</v>
      </c>
      <c r="L215" s="50">
        <v>0.75</v>
      </c>
      <c r="M215" s="32">
        <v>58.81</v>
      </c>
      <c r="N215" s="32">
        <v>17.41</v>
      </c>
      <c r="O215" s="43">
        <f t="shared" si="36"/>
        <v>0.25</v>
      </c>
      <c r="P215" s="43">
        <f t="shared" si="39"/>
        <v>1170.0423768282621</v>
      </c>
      <c r="Q215" s="43">
        <f t="shared" si="40"/>
        <v>2.9086426024762179E-5</v>
      </c>
      <c r="R215" s="43">
        <v>35</v>
      </c>
      <c r="S215" s="43">
        <f t="shared" si="41"/>
        <v>0.1111111111111111</v>
      </c>
      <c r="T215" s="43">
        <f t="shared" si="42"/>
        <v>1.5825815154489233</v>
      </c>
      <c r="U215" s="43" t="str" cm="1">
        <f t="array" ref="U215">_xlfn.IFS(T215&lt;3,"Group I",T215&lt;5,"Group II",T215&lt;10,"Group III",T215&lt;20,"Group IV",T215&lt;50,"Group V",T215&lt;100,"Group VI",T215&lt;200,"Group VII",T215&lt;500,"Group VIII",T215&lt;1000,"Group IX",TRUE,"Group X")</f>
        <v>Group I</v>
      </c>
      <c r="V215" s="43">
        <f t="shared" si="43"/>
        <v>0.19936608886184629</v>
      </c>
      <c r="W215" s="43">
        <f t="shared" si="44"/>
        <v>1.0829793929712461</v>
      </c>
      <c r="X215" s="43">
        <f t="shared" si="31"/>
        <v>3.4620192909695417E-2</v>
      </c>
      <c r="Y215" s="43">
        <f t="shared" si="45"/>
        <v>0.29603808876041487</v>
      </c>
      <c r="Z215" s="43">
        <f t="shared" si="33"/>
        <v>-0.5286524082847065</v>
      </c>
      <c r="AA215" s="43">
        <f t="shared" si="37"/>
        <v>9.0356902466664057E-2</v>
      </c>
      <c r="AB215" s="43">
        <f t="shared" si="38"/>
        <v>0.21487760654097729</v>
      </c>
    </row>
    <row r="216" spans="1:28">
      <c r="A216" s="48" t="s">
        <v>47</v>
      </c>
      <c r="B216" s="50">
        <v>150</v>
      </c>
      <c r="C216" s="50">
        <v>900</v>
      </c>
      <c r="D216" s="50">
        <v>7.19</v>
      </c>
      <c r="E216" s="50">
        <v>325.02437682826212</v>
      </c>
      <c r="F216" s="50">
        <v>6621.6504699390916</v>
      </c>
      <c r="G216" s="50" t="s">
        <v>119</v>
      </c>
      <c r="H216" s="50">
        <v>0.44900000000000001</v>
      </c>
      <c r="I216" s="50">
        <v>93.9</v>
      </c>
      <c r="J216" s="50">
        <v>1907</v>
      </c>
      <c r="K216" s="50">
        <v>2671</v>
      </c>
      <c r="L216" s="50">
        <v>0.75</v>
      </c>
      <c r="M216" s="32">
        <v>72.33</v>
      </c>
      <c r="N216" s="32">
        <v>23.15</v>
      </c>
      <c r="O216" s="43">
        <f t="shared" si="36"/>
        <v>0.25</v>
      </c>
      <c r="P216" s="43">
        <f t="shared" si="39"/>
        <v>1170.0423768282621</v>
      </c>
      <c r="Q216" s="43">
        <f t="shared" si="40"/>
        <v>2.9086426024762179E-5</v>
      </c>
      <c r="R216" s="43">
        <v>35</v>
      </c>
      <c r="S216" s="43">
        <f t="shared" si="41"/>
        <v>0.16666666666666666</v>
      </c>
      <c r="T216" s="43">
        <f t="shared" si="42"/>
        <v>2.3738722731733852</v>
      </c>
      <c r="U216" s="43" t="str" cm="1">
        <f t="array" ref="U216">_xlfn.IFS(T216&lt;3,"Group I",T216&lt;5,"Group II",T216&lt;10,"Group III",T216&lt;20,"Group IV",T216&lt;50,"Group V",T216&lt;100,"Group VI",T216&lt;200,"Group VII",T216&lt;500,"Group VIII",T216&lt;1000,"Group IX",TRUE,"Group X")</f>
        <v>Group I</v>
      </c>
      <c r="V216" s="43">
        <f t="shared" si="43"/>
        <v>0.37545734791752755</v>
      </c>
      <c r="W216" s="43">
        <f t="shared" si="44"/>
        <v>1.0829793929712461</v>
      </c>
      <c r="X216" s="43">
        <f t="shared" si="31"/>
        <v>3.4620192909695417E-2</v>
      </c>
      <c r="Y216" s="43">
        <f t="shared" si="45"/>
        <v>0.32006083229641918</v>
      </c>
      <c r="Z216" s="43">
        <f t="shared" si="33"/>
        <v>-0.49476746974314417</v>
      </c>
      <c r="AA216" s="43">
        <f t="shared" si="37"/>
        <v>0.13553535369999609</v>
      </c>
      <c r="AB216" s="43">
        <f t="shared" si="38"/>
        <v>0.24246482536945096</v>
      </c>
    </row>
    <row r="217" spans="1:28">
      <c r="A217" s="48" t="s">
        <v>47</v>
      </c>
      <c r="B217" s="50">
        <v>200</v>
      </c>
      <c r="C217" s="50">
        <v>900</v>
      </c>
      <c r="D217" s="50">
        <v>7.19</v>
      </c>
      <c r="E217" s="50">
        <v>325.02437682826212</v>
      </c>
      <c r="F217" s="50">
        <v>6621.6504699390916</v>
      </c>
      <c r="G217" s="50" t="s">
        <v>119</v>
      </c>
      <c r="H217" s="50">
        <v>0.44900000000000001</v>
      </c>
      <c r="I217" s="50">
        <v>93.9</v>
      </c>
      <c r="J217" s="50">
        <v>1907</v>
      </c>
      <c r="K217" s="50">
        <v>2671</v>
      </c>
      <c r="L217" s="50">
        <v>0.75</v>
      </c>
      <c r="M217" s="32">
        <v>73.97</v>
      </c>
      <c r="N217" s="32">
        <v>25.61</v>
      </c>
      <c r="O217" s="43">
        <f t="shared" si="36"/>
        <v>0.25</v>
      </c>
      <c r="P217" s="43">
        <f t="shared" si="39"/>
        <v>1170.0423768282621</v>
      </c>
      <c r="Q217" s="43">
        <f t="shared" si="40"/>
        <v>2.9086426024762179E-5</v>
      </c>
      <c r="R217" s="43">
        <v>35</v>
      </c>
      <c r="S217" s="43">
        <f t="shared" si="41"/>
        <v>0.22222222222222221</v>
      </c>
      <c r="T217" s="43">
        <f t="shared" si="42"/>
        <v>3.1651630308978467</v>
      </c>
      <c r="U217" s="43" t="str" cm="1">
        <f t="array" ref="U217">_xlfn.IFS(T217&lt;3,"Group I",T217&lt;5,"Group II",T217&lt;10,"Group III",T217&lt;20,"Group IV",T217&lt;50,"Group V",T217&lt;100,"Group VI",T217&lt;200,"Group VII",T217&lt;500,"Group VIII",T217&lt;1000,"Group IX",TRUE,"Group X")</f>
        <v>Group II</v>
      </c>
      <c r="V217" s="43">
        <f t="shared" si="43"/>
        <v>0.50039608452582751</v>
      </c>
      <c r="W217" s="43">
        <f t="shared" si="44"/>
        <v>1.0829793929712461</v>
      </c>
      <c r="X217" s="43">
        <f t="shared" si="31"/>
        <v>3.4620192909695417E-2</v>
      </c>
      <c r="Y217" s="43">
        <f t="shared" si="45"/>
        <v>0.34622144112478032</v>
      </c>
      <c r="Z217" s="43">
        <f t="shared" si="33"/>
        <v>-0.46064604023347827</v>
      </c>
      <c r="AA217" s="43">
        <f t="shared" si="37"/>
        <v>0.18071380493332811</v>
      </c>
      <c r="AB217" s="43">
        <f t="shared" si="38"/>
        <v>0.26416057033406198</v>
      </c>
    </row>
    <row r="218" spans="1:28">
      <c r="A218" s="48" t="s">
        <v>47</v>
      </c>
      <c r="B218" s="50">
        <v>250</v>
      </c>
      <c r="C218" s="50">
        <v>900</v>
      </c>
      <c r="D218" s="50">
        <v>7.19</v>
      </c>
      <c r="E218" s="50">
        <v>325.02437682826212</v>
      </c>
      <c r="F218" s="50">
        <v>6621.6504699390916</v>
      </c>
      <c r="G218" s="50" t="s">
        <v>119</v>
      </c>
      <c r="H218" s="50">
        <v>0.44900000000000001</v>
      </c>
      <c r="I218" s="50">
        <v>93.9</v>
      </c>
      <c r="J218" s="50">
        <v>1907</v>
      </c>
      <c r="K218" s="50">
        <v>2671</v>
      </c>
      <c r="L218" s="50">
        <v>0.75</v>
      </c>
      <c r="M218" s="32">
        <v>78.48</v>
      </c>
      <c r="N218" s="32">
        <v>26.66</v>
      </c>
      <c r="O218" s="43">
        <f t="shared" si="36"/>
        <v>0.25</v>
      </c>
      <c r="P218" s="43">
        <f t="shared" si="39"/>
        <v>1170.0423768282621</v>
      </c>
      <c r="Q218" s="43">
        <f t="shared" si="40"/>
        <v>2.9086426024762179E-5</v>
      </c>
      <c r="R218" s="43">
        <v>35</v>
      </c>
      <c r="S218" s="43">
        <f t="shared" si="41"/>
        <v>0.27777777777777779</v>
      </c>
      <c r="T218" s="43">
        <f t="shared" si="42"/>
        <v>3.9564537886223086</v>
      </c>
      <c r="U218" s="43" t="str" cm="1">
        <f t="array" ref="U218">_xlfn.IFS(T218&lt;3,"Group I",T218&lt;5,"Group II",T218&lt;10,"Group III",T218&lt;20,"Group IV",T218&lt;50,"Group V",T218&lt;100,"Group VI",T218&lt;200,"Group VII",T218&lt;500,"Group VIII",T218&lt;1000,"Group IX",TRUE,"Group X")</f>
        <v>Group II</v>
      </c>
      <c r="V218" s="43">
        <f t="shared" si="43"/>
        <v>0.59730609753388386</v>
      </c>
      <c r="W218" s="43">
        <f t="shared" si="44"/>
        <v>1.0829793929712461</v>
      </c>
      <c r="X218" s="43">
        <f t="shared" si="31"/>
        <v>3.4620192909695417E-2</v>
      </c>
      <c r="Y218" s="43">
        <f t="shared" si="45"/>
        <v>0.33970438328236491</v>
      </c>
      <c r="Z218" s="43">
        <f t="shared" si="33"/>
        <v>-0.46889884929405173</v>
      </c>
      <c r="AA218" s="43">
        <f t="shared" si="37"/>
        <v>0.22589225616666014</v>
      </c>
      <c r="AB218" s="43">
        <f t="shared" si="38"/>
        <v>0.28231729645642223</v>
      </c>
    </row>
    <row r="219" spans="1:28" ht="18.600000000000001" thickBot="1">
      <c r="A219" s="53" t="s">
        <v>47</v>
      </c>
      <c r="B219" s="54">
        <v>300</v>
      </c>
      <c r="C219" s="54">
        <v>900</v>
      </c>
      <c r="D219" s="54">
        <v>7.19</v>
      </c>
      <c r="E219" s="54">
        <v>325.02437682826212</v>
      </c>
      <c r="F219" s="54">
        <v>6621.6504699390916</v>
      </c>
      <c r="G219" s="54" t="s">
        <v>119</v>
      </c>
      <c r="H219" s="54">
        <v>0.44900000000000001</v>
      </c>
      <c r="I219" s="54">
        <v>93.9</v>
      </c>
      <c r="J219" s="54">
        <v>1907</v>
      </c>
      <c r="K219" s="54">
        <v>2671</v>
      </c>
      <c r="L219" s="54">
        <v>0.75</v>
      </c>
      <c r="M219" s="54">
        <v>85.85</v>
      </c>
      <c r="N219" s="55">
        <v>38.1</v>
      </c>
      <c r="O219" s="43">
        <f t="shared" si="36"/>
        <v>0.25</v>
      </c>
      <c r="P219" s="43">
        <f t="shared" si="39"/>
        <v>1170.0423768282621</v>
      </c>
      <c r="Q219" s="43">
        <f t="shared" si="40"/>
        <v>2.9086426024762179E-5</v>
      </c>
      <c r="R219" s="43">
        <v>35</v>
      </c>
      <c r="S219" s="43">
        <f t="shared" si="41"/>
        <v>0.33333333333333331</v>
      </c>
      <c r="T219" s="43">
        <f t="shared" si="42"/>
        <v>4.7477445463467705</v>
      </c>
      <c r="U219" s="43" t="str" cm="1">
        <f t="array" ref="U219">_xlfn.IFS(T219&lt;3,"Group I",T219&lt;5,"Group II",T219&lt;10,"Group III",T219&lt;20,"Group IV",T219&lt;50,"Group V",T219&lt;100,"Group VI",T219&lt;200,"Group VII",T219&lt;500,"Group VIII",T219&lt;1000,"Group IX",TRUE,"Group X")</f>
        <v>Group II</v>
      </c>
      <c r="V219" s="43">
        <f t="shared" si="43"/>
        <v>0.67648734358150875</v>
      </c>
      <c r="W219" s="43">
        <f t="shared" si="44"/>
        <v>1.0829793929712461</v>
      </c>
      <c r="X219" s="43">
        <f t="shared" si="31"/>
        <v>3.4620192909695417E-2</v>
      </c>
      <c r="Y219" s="43">
        <f t="shared" si="45"/>
        <v>0.4437973209085615</v>
      </c>
      <c r="Z219" s="43">
        <f t="shared" si="33"/>
        <v>-0.35281532382131597</v>
      </c>
      <c r="AA219" s="43">
        <f t="shared" si="37"/>
        <v>0.27107070739999217</v>
      </c>
      <c r="AB219" s="43">
        <f t="shared" si="38"/>
        <v>0.29807501854935547</v>
      </c>
    </row>
    <row r="220" spans="1:28">
      <c r="A220" s="56" t="s">
        <v>48</v>
      </c>
      <c r="B220" s="57">
        <v>200</v>
      </c>
      <c r="C220" s="57">
        <v>200</v>
      </c>
      <c r="D220" s="57">
        <v>7.8739999999999997</v>
      </c>
      <c r="E220" s="57">
        <v>247.11254364759603</v>
      </c>
      <c r="F220" s="57">
        <v>6088.2800608828011</v>
      </c>
      <c r="G220" s="57" t="s">
        <v>90</v>
      </c>
      <c r="H220" s="57">
        <v>0.44900000000000001</v>
      </c>
      <c r="I220" s="57">
        <v>80.400000000000006</v>
      </c>
      <c r="J220" s="57">
        <v>1538</v>
      </c>
      <c r="K220" s="57">
        <v>2862</v>
      </c>
      <c r="L220" s="57">
        <v>0.7</v>
      </c>
      <c r="M220" s="57">
        <v>235.41</v>
      </c>
      <c r="N220" s="58">
        <v>120.66</v>
      </c>
      <c r="O220" s="43">
        <f t="shared" ref="O220:O226" si="46">1-L220</f>
        <v>0.30000000000000004</v>
      </c>
      <c r="P220" s="43">
        <f t="shared" si="39"/>
        <v>926.44954364759599</v>
      </c>
      <c r="Q220" s="43">
        <f t="shared" si="40"/>
        <v>2.2741248155102107E-5</v>
      </c>
      <c r="R220" s="43">
        <v>35</v>
      </c>
      <c r="S220" s="43">
        <f t="shared" si="41"/>
        <v>1</v>
      </c>
      <c r="T220" s="43">
        <f t="shared" si="42"/>
        <v>10.508359424948425</v>
      </c>
      <c r="U220" s="43" t="str" cm="1">
        <f t="array" ref="U220">_xlfn.IFS(T220&lt;3,"Group I",T220&lt;5,"Group II",T220&lt;10,"Group III",T220&lt;20,"Group IV",T220&lt;50,"Group V",T220&lt;100,"Group VI",T220&lt;200,"Group VII",T220&lt;500,"Group VIII",T220&lt;1000,"Group IX",TRUE,"Group X")</f>
        <v>Group IV</v>
      </c>
      <c r="V220" s="43">
        <f t="shared" si="43"/>
        <v>1.0215349188534877</v>
      </c>
      <c r="W220" s="43">
        <f t="shared" si="44"/>
        <v>0.30781072139303473</v>
      </c>
      <c r="X220" s="43">
        <f t="shared" si="31"/>
        <v>-0.5117162572766607</v>
      </c>
      <c r="Y220" s="43">
        <f t="shared" si="45"/>
        <v>0.51255256786032877</v>
      </c>
      <c r="Z220" s="43">
        <f t="shared" si="33"/>
        <v>-0.29026158634850685</v>
      </c>
      <c r="AA220" s="43">
        <f t="shared" si="34"/>
        <v>0.56697174218794588</v>
      </c>
      <c r="AB220" s="43">
        <f t="shared" si="35"/>
        <v>0.37767240368390897</v>
      </c>
    </row>
    <row r="221" spans="1:28">
      <c r="A221" s="48" t="s">
        <v>48</v>
      </c>
      <c r="B221" s="50">
        <v>200</v>
      </c>
      <c r="C221" s="50">
        <v>400</v>
      </c>
      <c r="D221" s="50">
        <v>7.8739999999999997</v>
      </c>
      <c r="E221" s="50">
        <v>247.11254364759603</v>
      </c>
      <c r="F221" s="50">
        <v>6088.2800608828011</v>
      </c>
      <c r="G221" s="57" t="s">
        <v>90</v>
      </c>
      <c r="H221" s="50">
        <v>0.44900000000000001</v>
      </c>
      <c r="I221" s="50">
        <v>80.400000000000006</v>
      </c>
      <c r="J221" s="50">
        <v>1538</v>
      </c>
      <c r="K221" s="50">
        <v>2862</v>
      </c>
      <c r="L221" s="50">
        <v>0.7</v>
      </c>
      <c r="M221" s="50">
        <v>228.68</v>
      </c>
      <c r="N221" s="51">
        <v>105.68</v>
      </c>
      <c r="O221" s="43">
        <f t="shared" si="46"/>
        <v>0.30000000000000004</v>
      </c>
      <c r="P221" s="43">
        <f t="shared" si="39"/>
        <v>926.44954364759599</v>
      </c>
      <c r="Q221" s="43">
        <f t="shared" si="40"/>
        <v>2.2741248155102107E-5</v>
      </c>
      <c r="R221" s="43">
        <v>35</v>
      </c>
      <c r="S221" s="43">
        <f t="shared" si="41"/>
        <v>0.5</v>
      </c>
      <c r="T221" s="43">
        <f t="shared" si="42"/>
        <v>7.4305322085266008</v>
      </c>
      <c r="U221" s="43" t="str" cm="1">
        <f t="array" ref="U221">_xlfn.IFS(T221&lt;3,"Group I",T221&lt;5,"Group II",T221&lt;10,"Group III",T221&lt;20,"Group IV",T221&lt;50,"Group V",T221&lt;100,"Group VI",T221&lt;200,"Group VII",T221&lt;500,"Group VIII",T221&lt;1000,"Group IX",TRUE,"Group X")</f>
        <v>Group III</v>
      </c>
      <c r="V221" s="43">
        <f t="shared" si="43"/>
        <v>0.87101992102149706</v>
      </c>
      <c r="W221" s="43">
        <f t="shared" si="44"/>
        <v>0.61562144278606945</v>
      </c>
      <c r="X221" s="43">
        <f t="shared" si="31"/>
        <v>-0.21068626161267948</v>
      </c>
      <c r="Y221" s="43">
        <f t="shared" si="45"/>
        <v>0.4621304880181914</v>
      </c>
      <c r="Z221" s="43">
        <f t="shared" si="33"/>
        <v>-0.33523537893576411</v>
      </c>
      <c r="AA221" s="43">
        <f t="shared" si="34"/>
        <v>0.41360305250763973</v>
      </c>
      <c r="AB221" s="43">
        <f t="shared" si="35"/>
        <v>0.34062524694387081</v>
      </c>
    </row>
    <row r="222" spans="1:28">
      <c r="A222" s="48" t="s">
        <v>48</v>
      </c>
      <c r="B222" s="50">
        <v>200</v>
      </c>
      <c r="C222" s="50">
        <v>600</v>
      </c>
      <c r="D222" s="50">
        <v>7.8739999999999997</v>
      </c>
      <c r="E222" s="50">
        <v>247.11254364759603</v>
      </c>
      <c r="F222" s="50">
        <v>6088.2800608828011</v>
      </c>
      <c r="G222" s="57" t="s">
        <v>90</v>
      </c>
      <c r="H222" s="50">
        <v>0.44900000000000001</v>
      </c>
      <c r="I222" s="50">
        <v>80.400000000000006</v>
      </c>
      <c r="J222" s="50">
        <v>1538</v>
      </c>
      <c r="K222" s="50">
        <v>2862</v>
      </c>
      <c r="L222" s="50">
        <v>0.7</v>
      </c>
      <c r="M222" s="50">
        <v>166.16</v>
      </c>
      <c r="N222" s="51">
        <v>74.569999999999993</v>
      </c>
      <c r="O222" s="43">
        <f t="shared" si="46"/>
        <v>0.30000000000000004</v>
      </c>
      <c r="P222" s="43">
        <f t="shared" si="39"/>
        <v>926.44954364759599</v>
      </c>
      <c r="Q222" s="43">
        <f t="shared" si="40"/>
        <v>2.2741248155102107E-5</v>
      </c>
      <c r="R222" s="43">
        <v>35</v>
      </c>
      <c r="S222" s="43">
        <f t="shared" si="41"/>
        <v>0.33333333333333331</v>
      </c>
      <c r="T222" s="43">
        <f t="shared" si="42"/>
        <v>6.067004142735315</v>
      </c>
      <c r="U222" s="43" t="str" cm="1">
        <f t="array" ref="U222">_xlfn.IFS(T222&lt;3,"Group I",T222&lt;5,"Group II",T222&lt;10,"Group III",T222&lt;20,"Group IV",T222&lt;50,"Group V",T222&lt;100,"Group VI",T222&lt;200,"Group VII",T222&lt;500,"Group VIII",T222&lt;1000,"Group IX",TRUE,"Group X")</f>
        <v>Group III</v>
      </c>
      <c r="V222" s="43">
        <f t="shared" si="43"/>
        <v>0.78297429149365649</v>
      </c>
      <c r="W222" s="43">
        <f t="shared" si="44"/>
        <v>0.92343216417910423</v>
      </c>
      <c r="X222" s="43">
        <f t="shared" si="31"/>
        <v>-3.4595002556998197E-2</v>
      </c>
      <c r="Y222" s="43">
        <f t="shared" si="45"/>
        <v>0.44878430428502647</v>
      </c>
      <c r="Z222" s="43">
        <f t="shared" si="33"/>
        <v>-0.34796234043639113</v>
      </c>
      <c r="AA222" s="43">
        <f t="shared" si="34"/>
        <v>0.34391960214467376</v>
      </c>
      <c r="AB222" s="43">
        <f t="shared" si="35"/>
        <v>0.32066240200144508</v>
      </c>
    </row>
    <row r="223" spans="1:28">
      <c r="A223" s="48" t="s">
        <v>48</v>
      </c>
      <c r="B223" s="50">
        <v>200</v>
      </c>
      <c r="C223" s="50">
        <v>800</v>
      </c>
      <c r="D223" s="50">
        <v>7.8739999999999997</v>
      </c>
      <c r="E223" s="50">
        <v>247.11254364759603</v>
      </c>
      <c r="F223" s="50">
        <v>6088.2800608828011</v>
      </c>
      <c r="G223" s="57" t="s">
        <v>90</v>
      </c>
      <c r="H223" s="50">
        <v>0.44900000000000001</v>
      </c>
      <c r="I223" s="50">
        <v>80.400000000000006</v>
      </c>
      <c r="J223" s="50">
        <v>1538</v>
      </c>
      <c r="K223" s="50">
        <v>2862</v>
      </c>
      <c r="L223" s="50">
        <v>0.7</v>
      </c>
      <c r="M223" s="50">
        <v>137.49</v>
      </c>
      <c r="N223" s="51">
        <v>66.89</v>
      </c>
      <c r="O223" s="43">
        <f t="shared" si="46"/>
        <v>0.30000000000000004</v>
      </c>
      <c r="P223" s="43">
        <f t="shared" si="39"/>
        <v>926.44954364759599</v>
      </c>
      <c r="Q223" s="43">
        <f t="shared" si="40"/>
        <v>2.2741248155102107E-5</v>
      </c>
      <c r="R223" s="43">
        <v>35</v>
      </c>
      <c r="S223" s="43">
        <f t="shared" si="41"/>
        <v>0.25</v>
      </c>
      <c r="T223" s="43">
        <f t="shared" si="42"/>
        <v>5.2541797124742127</v>
      </c>
      <c r="U223" s="43" t="str" cm="1">
        <f t="array" ref="U223">_xlfn.IFS(T223&lt;3,"Group I",T223&lt;5,"Group II",T223&lt;10,"Group III",T223&lt;20,"Group IV",T223&lt;50,"Group V",T223&lt;100,"Group VI",T223&lt;200,"Group VII",T223&lt;500,"Group VIII",T223&lt;1000,"Group IX",TRUE,"Group X")</f>
        <v>Group III</v>
      </c>
      <c r="V223" s="43">
        <f t="shared" si="43"/>
        <v>0.72050492318950643</v>
      </c>
      <c r="W223" s="43">
        <f t="shared" si="44"/>
        <v>1.2312428855721389</v>
      </c>
      <c r="X223" s="43">
        <f t="shared" si="31"/>
        <v>9.0343734051301736E-2</v>
      </c>
      <c r="Y223" s="43">
        <f t="shared" si="45"/>
        <v>0.48650810968070402</v>
      </c>
      <c r="Z223" s="43">
        <f t="shared" si="33"/>
        <v>-0.31290991601181573</v>
      </c>
      <c r="AA223" s="43">
        <f t="shared" si="34"/>
        <v>0.30172135983971149</v>
      </c>
      <c r="AB223" s="43">
        <f t="shared" si="35"/>
        <v>0.30721217045204069</v>
      </c>
    </row>
    <row r="224" spans="1:28">
      <c r="A224" s="48" t="s">
        <v>48</v>
      </c>
      <c r="B224" s="50">
        <v>200</v>
      </c>
      <c r="C224" s="50">
        <v>1200</v>
      </c>
      <c r="D224" s="50">
        <v>7.8739999999999997</v>
      </c>
      <c r="E224" s="50">
        <v>247.11254364759603</v>
      </c>
      <c r="F224" s="50">
        <v>6088.2800608828011</v>
      </c>
      <c r="G224" s="57" t="s">
        <v>90</v>
      </c>
      <c r="H224" s="50">
        <v>0.44900000000000001</v>
      </c>
      <c r="I224" s="50">
        <v>80.400000000000006</v>
      </c>
      <c r="J224" s="50">
        <v>1538</v>
      </c>
      <c r="K224" s="50">
        <v>2862</v>
      </c>
      <c r="L224" s="50">
        <v>0.7</v>
      </c>
      <c r="M224" s="50">
        <v>143.99</v>
      </c>
      <c r="N224" s="51">
        <v>55.31</v>
      </c>
      <c r="O224" s="43">
        <f t="shared" si="46"/>
        <v>0.30000000000000004</v>
      </c>
      <c r="P224" s="43">
        <f t="shared" si="39"/>
        <v>926.44954364759599</v>
      </c>
      <c r="Q224" s="43">
        <f t="shared" si="40"/>
        <v>2.2741248155102107E-5</v>
      </c>
      <c r="R224" s="43">
        <v>35</v>
      </c>
      <c r="S224" s="43">
        <f t="shared" si="41"/>
        <v>0.16666666666666666</v>
      </c>
      <c r="T224" s="43">
        <f t="shared" si="42"/>
        <v>4.2900197708150172</v>
      </c>
      <c r="U224" s="43" t="str" cm="1">
        <f t="array" ref="U224">_xlfn.IFS(T224&lt;3,"Group I",T224&lt;5,"Group II",T224&lt;10,"Group III",T224&lt;20,"Group IV",T224&lt;50,"Group V",T224&lt;100,"Group VI",T224&lt;200,"Group VII",T224&lt;500,"Group VIII",T224&lt;1000,"Group IX",TRUE,"Group X")</f>
        <v>Group II</v>
      </c>
      <c r="V224" s="43">
        <f t="shared" si="43"/>
        <v>0.63245929366166576</v>
      </c>
      <c r="W224" s="43">
        <f t="shared" si="44"/>
        <v>1.8468643283582085</v>
      </c>
      <c r="X224" s="43">
        <f t="shared" si="31"/>
        <v>0.26643499310698299</v>
      </c>
      <c r="Y224" s="43">
        <f t="shared" si="45"/>
        <v>0.38412389749288145</v>
      </c>
      <c r="Z224" s="43">
        <f t="shared" si="33"/>
        <v>-0.41552867323981524</v>
      </c>
      <c r="AA224" s="43">
        <f t="shared" si="34"/>
        <v>0.25088763104016698</v>
      </c>
      <c r="AB224" s="43">
        <f t="shared" si="35"/>
        <v>0.28920754813415728</v>
      </c>
    </row>
    <row r="225" spans="1:28">
      <c r="A225" s="48" t="s">
        <v>48</v>
      </c>
      <c r="B225" s="50">
        <v>200</v>
      </c>
      <c r="C225" s="50">
        <v>1600</v>
      </c>
      <c r="D225" s="50">
        <v>7.8739999999999997</v>
      </c>
      <c r="E225" s="50">
        <v>247.11254364759603</v>
      </c>
      <c r="F225" s="50">
        <v>6088.2800608828011</v>
      </c>
      <c r="G225" s="57" t="s">
        <v>90</v>
      </c>
      <c r="H225" s="50">
        <v>0.44900000000000001</v>
      </c>
      <c r="I225" s="50">
        <v>80.400000000000006</v>
      </c>
      <c r="J225" s="50">
        <v>1538</v>
      </c>
      <c r="K225" s="50">
        <v>2862</v>
      </c>
      <c r="L225" s="50">
        <v>0.7</v>
      </c>
      <c r="M225" s="50">
        <v>122.11</v>
      </c>
      <c r="N225" s="51">
        <v>37.270000000000003</v>
      </c>
      <c r="O225" s="43">
        <f t="shared" si="46"/>
        <v>0.30000000000000004</v>
      </c>
      <c r="P225" s="43">
        <f t="shared" si="39"/>
        <v>926.44954364759599</v>
      </c>
      <c r="Q225" s="43">
        <f t="shared" si="40"/>
        <v>2.2741248155102107E-5</v>
      </c>
      <c r="R225" s="43">
        <v>35</v>
      </c>
      <c r="S225" s="43">
        <f t="shared" si="41"/>
        <v>0.125</v>
      </c>
      <c r="T225" s="43">
        <f t="shared" si="42"/>
        <v>3.7152661042633004</v>
      </c>
      <c r="U225" s="43" t="str" cm="1">
        <f t="array" ref="U225">_xlfn.IFS(T225&lt;3,"Group I",T225&lt;5,"Group II",T225&lt;10,"Group III",T225&lt;20,"Group IV",T225&lt;50,"Group V",T225&lt;100,"Group VI",T225&lt;200,"Group VII",T225&lt;500,"Group VIII",T225&lt;1000,"Group IX",TRUE,"Group X")</f>
        <v>Group II</v>
      </c>
      <c r="V225" s="43">
        <f t="shared" si="43"/>
        <v>0.5699899253575158</v>
      </c>
      <c r="W225" s="43">
        <f t="shared" si="44"/>
        <v>2.4624857711442778</v>
      </c>
      <c r="X225" s="43">
        <f t="shared" si="31"/>
        <v>0.39137372971528295</v>
      </c>
      <c r="Y225" s="43">
        <f t="shared" si="45"/>
        <v>0.30521660797641476</v>
      </c>
      <c r="Z225" s="43">
        <f t="shared" si="33"/>
        <v>-0.51539183848821701</v>
      </c>
      <c r="AA225" s="43">
        <f t="shared" si="34"/>
        <v>0.22010422416271491</v>
      </c>
      <c r="AB225" s="43">
        <f t="shared" si="35"/>
        <v>0.27707669505016402</v>
      </c>
    </row>
    <row r="226" spans="1:28">
      <c r="A226" s="48" t="s">
        <v>48</v>
      </c>
      <c r="B226" s="50">
        <v>200</v>
      </c>
      <c r="C226" s="50">
        <v>2000</v>
      </c>
      <c r="D226" s="50">
        <v>7.8739999999999997</v>
      </c>
      <c r="E226" s="50">
        <v>247.11254364759603</v>
      </c>
      <c r="F226" s="50">
        <v>6088.2800608828011</v>
      </c>
      <c r="G226" s="57" t="s">
        <v>90</v>
      </c>
      <c r="H226" s="50">
        <v>0.44900000000000001</v>
      </c>
      <c r="I226" s="50">
        <v>80.400000000000006</v>
      </c>
      <c r="J226" s="50">
        <v>1538</v>
      </c>
      <c r="K226" s="50">
        <v>2862</v>
      </c>
      <c r="L226" s="50">
        <v>0.7</v>
      </c>
      <c r="M226" s="50">
        <v>83.63</v>
      </c>
      <c r="N226" s="51">
        <v>41.77</v>
      </c>
      <c r="O226" s="43">
        <f t="shared" si="46"/>
        <v>0.30000000000000004</v>
      </c>
      <c r="P226" s="43">
        <f t="shared" si="39"/>
        <v>926.44954364759599</v>
      </c>
      <c r="Q226" s="43">
        <f t="shared" si="40"/>
        <v>2.2741248155102107E-5</v>
      </c>
      <c r="R226" s="43">
        <v>35</v>
      </c>
      <c r="S226" s="43">
        <f t="shared" si="41"/>
        <v>0.1</v>
      </c>
      <c r="T226" s="43">
        <f t="shared" si="42"/>
        <v>3.3230350254534247</v>
      </c>
      <c r="U226" s="43" t="str" cm="1">
        <f t="array" ref="U226">_xlfn.IFS(T226&lt;3,"Group I",T226&lt;5,"Group II",T226&lt;10,"Group III",T226&lt;20,"Group IV",T226&lt;50,"Group V",T226&lt;100,"Group VI",T226&lt;200,"Group VII",T226&lt;500,"Group VIII",T226&lt;1000,"Group IX",TRUE,"Group X")</f>
        <v>Group II</v>
      </c>
      <c r="V226" s="43">
        <f t="shared" si="43"/>
        <v>0.52153491885348768</v>
      </c>
      <c r="W226" s="43">
        <f t="shared" si="44"/>
        <v>3.0781072139303474</v>
      </c>
      <c r="X226" s="43">
        <f t="shared" si="31"/>
        <v>0.48828374272333935</v>
      </c>
      <c r="Y226" s="43">
        <f t="shared" si="45"/>
        <v>0.49946191558053338</v>
      </c>
      <c r="Z226" s="43">
        <f t="shared" si="33"/>
        <v>-0.30149762151966886</v>
      </c>
      <c r="AA226" s="43">
        <f t="shared" si="34"/>
        <v>0.19885266432071291</v>
      </c>
      <c r="AB226" s="43">
        <f t="shared" si="35"/>
        <v>0.26801879625544883</v>
      </c>
    </row>
    <row r="227" spans="1:28">
      <c r="A227" s="48" t="s">
        <v>48</v>
      </c>
      <c r="B227" s="50">
        <v>200</v>
      </c>
      <c r="C227" s="50">
        <v>2400</v>
      </c>
      <c r="D227" s="50">
        <v>7.8739999999999997</v>
      </c>
      <c r="E227" s="50">
        <v>247.11254364759603</v>
      </c>
      <c r="F227" s="50">
        <v>6088.2800608828011</v>
      </c>
      <c r="G227" s="57" t="s">
        <v>90</v>
      </c>
      <c r="H227" s="50">
        <v>0.44900000000000001</v>
      </c>
      <c r="I227" s="50">
        <v>80.400000000000006</v>
      </c>
      <c r="J227" s="50">
        <v>1538</v>
      </c>
      <c r="K227" s="50">
        <v>2862</v>
      </c>
      <c r="L227" s="50">
        <v>0.7</v>
      </c>
      <c r="M227" s="50">
        <v>80.14</v>
      </c>
      <c r="N227" s="51">
        <v>22.62</v>
      </c>
      <c r="O227" s="43">
        <f t="shared" ref="O227:O290" si="47">1-L227</f>
        <v>0.30000000000000004</v>
      </c>
      <c r="P227" s="43">
        <f t="shared" si="39"/>
        <v>926.44954364759599</v>
      </c>
      <c r="Q227" s="43">
        <f t="shared" si="40"/>
        <v>2.2741248155102107E-5</v>
      </c>
      <c r="R227" s="43">
        <v>35</v>
      </c>
      <c r="S227" s="43">
        <f t="shared" si="41"/>
        <v>8.3333333333333329E-2</v>
      </c>
      <c r="T227" s="43">
        <f t="shared" si="42"/>
        <v>3.0335020713676575</v>
      </c>
      <c r="U227" s="43" t="str" cm="1">
        <f t="array" ref="U227">_xlfn.IFS(T227&lt;3,"Group I",T227&lt;5,"Group II",T227&lt;10,"Group III",T227&lt;20,"Group IV",T227&lt;50,"Group V",T227&lt;100,"Group VI",T227&lt;200,"Group VII",T227&lt;500,"Group VIII",T227&lt;1000,"Group IX",TRUE,"Group X")</f>
        <v>Group II</v>
      </c>
      <c r="V227" s="43">
        <f t="shared" si="43"/>
        <v>0.48194429582967524</v>
      </c>
      <c r="W227" s="43">
        <f t="shared" si="44"/>
        <v>3.6937286567164169</v>
      </c>
      <c r="X227" s="43">
        <f t="shared" ref="X227:X290" si="48">LOG(W227)</f>
        <v>0.56746498877096418</v>
      </c>
      <c r="Y227" s="43">
        <f t="shared" si="45"/>
        <v>0.28225605190915898</v>
      </c>
      <c r="Z227" s="43">
        <f t="shared" ref="Z227:Z290" si="49">LOG(Y227)</f>
        <v>-0.54935673750724445</v>
      </c>
      <c r="AA227" s="43">
        <f t="shared" ref="AA227:AA290" si="50">(10^-0.7321)*W227^0.04497*T227*0.307</f>
        <v>0.18302127304296134</v>
      </c>
      <c r="AB227" s="43">
        <f t="shared" ref="AB227:AB290" si="51">(10^-0.7272)*T227^0.2979</f>
        <v>0.26083820671122515</v>
      </c>
    </row>
    <row r="228" spans="1:28">
      <c r="A228" s="48" t="s">
        <v>48</v>
      </c>
      <c r="B228" s="50">
        <v>350</v>
      </c>
      <c r="C228" s="50">
        <v>400</v>
      </c>
      <c r="D228" s="50">
        <v>7.8739999999999997</v>
      </c>
      <c r="E228" s="50">
        <v>247.11254364759603</v>
      </c>
      <c r="F228" s="50">
        <v>6088.2800608828011</v>
      </c>
      <c r="G228" s="57" t="s">
        <v>90</v>
      </c>
      <c r="H228" s="50">
        <v>0.44900000000000001</v>
      </c>
      <c r="I228" s="50">
        <v>80.400000000000006</v>
      </c>
      <c r="J228" s="50">
        <v>1538</v>
      </c>
      <c r="K228" s="50">
        <v>2862</v>
      </c>
      <c r="L228" s="50">
        <v>0.7</v>
      </c>
      <c r="M228" s="50">
        <v>208.61</v>
      </c>
      <c r="N228" s="51">
        <v>154.06</v>
      </c>
      <c r="O228" s="43">
        <f t="shared" si="47"/>
        <v>0.30000000000000004</v>
      </c>
      <c r="P228" s="43">
        <f t="shared" si="39"/>
        <v>926.44954364759599</v>
      </c>
      <c r="Q228" s="43">
        <f t="shared" si="40"/>
        <v>2.2741248155102107E-5</v>
      </c>
      <c r="R228" s="43">
        <v>35</v>
      </c>
      <c r="S228" s="43">
        <f t="shared" si="41"/>
        <v>0.875</v>
      </c>
      <c r="T228" s="43">
        <f t="shared" si="42"/>
        <v>13.003431364921552</v>
      </c>
      <c r="U228" s="43" t="str" cm="1">
        <f t="array" ref="U228">_xlfn.IFS(T228&lt;3,"Group I",T228&lt;5,"Group II",T228&lt;10,"Group III",T228&lt;20,"Group IV",T228&lt;50,"Group V",T228&lt;100,"Group VI",T228&lt;200,"Group VII",T228&lt;500,"Group VIII",T228&lt;1000,"Group IX",TRUE,"Group X")</f>
        <v>Group IV</v>
      </c>
      <c r="V228" s="43">
        <f t="shared" si="43"/>
        <v>1.1140579697077915</v>
      </c>
      <c r="W228" s="43">
        <f t="shared" si="44"/>
        <v>0.61562144278606945</v>
      </c>
      <c r="X228" s="43">
        <f t="shared" si="48"/>
        <v>-0.21068626161267948</v>
      </c>
      <c r="Y228" s="43">
        <f t="shared" si="45"/>
        <v>0.73850726235559172</v>
      </c>
      <c r="Z228" s="43">
        <f t="shared" si="49"/>
        <v>-0.13164522955250416</v>
      </c>
      <c r="AA228" s="43">
        <f t="shared" si="50"/>
        <v>0.72380534188836954</v>
      </c>
      <c r="AB228" s="43">
        <f t="shared" si="51"/>
        <v>0.40241843631012247</v>
      </c>
    </row>
    <row r="229" spans="1:28">
      <c r="A229" s="48" t="s">
        <v>48</v>
      </c>
      <c r="B229" s="50">
        <v>350</v>
      </c>
      <c r="C229" s="50">
        <v>600</v>
      </c>
      <c r="D229" s="50">
        <v>7.8739999999999997</v>
      </c>
      <c r="E229" s="50">
        <v>247.11254364759603</v>
      </c>
      <c r="F229" s="50">
        <v>6088.2800608828011</v>
      </c>
      <c r="G229" s="57" t="s">
        <v>90</v>
      </c>
      <c r="H229" s="50">
        <v>0.44900000000000001</v>
      </c>
      <c r="I229" s="50">
        <v>80.400000000000006</v>
      </c>
      <c r="J229" s="50">
        <v>1538</v>
      </c>
      <c r="K229" s="50">
        <v>2862</v>
      </c>
      <c r="L229" s="50">
        <v>0.7</v>
      </c>
      <c r="M229" s="50">
        <v>193.67</v>
      </c>
      <c r="N229" s="51">
        <v>84.74</v>
      </c>
      <c r="O229" s="43">
        <f t="shared" si="47"/>
        <v>0.30000000000000004</v>
      </c>
      <c r="P229" s="43">
        <f t="shared" si="39"/>
        <v>926.44954364759599</v>
      </c>
      <c r="Q229" s="43">
        <f t="shared" si="40"/>
        <v>2.2741248155102107E-5</v>
      </c>
      <c r="R229" s="43">
        <v>35</v>
      </c>
      <c r="S229" s="43">
        <f t="shared" si="41"/>
        <v>0.58333333333333337</v>
      </c>
      <c r="T229" s="43">
        <f t="shared" si="42"/>
        <v>10.617257249786801</v>
      </c>
      <c r="U229" s="43" t="str" cm="1">
        <f t="array" ref="U229">_xlfn.IFS(T229&lt;3,"Group I",T229&lt;5,"Group II",T229&lt;10,"Group III",T229&lt;20,"Group IV",T229&lt;50,"Group V",T229&lt;100,"Group VI",T229&lt;200,"Group VII",T229&lt;500,"Group VIII",T229&lt;1000,"Group IX",TRUE,"Group X")</f>
        <v>Group IV</v>
      </c>
      <c r="V229" s="43">
        <f t="shared" si="43"/>
        <v>1.0260123401799508</v>
      </c>
      <c r="W229" s="43">
        <f t="shared" si="44"/>
        <v>0.92343216417910423</v>
      </c>
      <c r="X229" s="43">
        <f t="shared" si="48"/>
        <v>-3.4595002556998197E-2</v>
      </c>
      <c r="Y229" s="43">
        <f t="shared" si="45"/>
        <v>0.43754840708421544</v>
      </c>
      <c r="Z229" s="43">
        <f t="shared" si="49"/>
        <v>-0.35897389288942327</v>
      </c>
      <c r="AA229" s="43">
        <f t="shared" si="50"/>
        <v>0.60185930375317909</v>
      </c>
      <c r="AB229" s="43">
        <f t="shared" si="51"/>
        <v>0.37883411037389442</v>
      </c>
    </row>
    <row r="230" spans="1:28">
      <c r="A230" s="48" t="s">
        <v>48</v>
      </c>
      <c r="B230" s="50">
        <v>350</v>
      </c>
      <c r="C230" s="50">
        <v>800</v>
      </c>
      <c r="D230" s="50">
        <v>7.8739999999999997</v>
      </c>
      <c r="E230" s="50">
        <v>247.11254364759603</v>
      </c>
      <c r="F230" s="50">
        <v>6088.2800608828011</v>
      </c>
      <c r="G230" s="57" t="s">
        <v>90</v>
      </c>
      <c r="H230" s="50">
        <v>0.44900000000000001</v>
      </c>
      <c r="I230" s="50">
        <v>80.400000000000006</v>
      </c>
      <c r="J230" s="50">
        <v>1538</v>
      </c>
      <c r="K230" s="50">
        <v>2862</v>
      </c>
      <c r="L230" s="50">
        <v>0.7</v>
      </c>
      <c r="M230" s="50">
        <v>157.65</v>
      </c>
      <c r="N230" s="51">
        <v>62.98</v>
      </c>
      <c r="O230" s="43">
        <f t="shared" si="47"/>
        <v>0.30000000000000004</v>
      </c>
      <c r="P230" s="43">
        <f t="shared" si="39"/>
        <v>926.44954364759599</v>
      </c>
      <c r="Q230" s="43">
        <f t="shared" si="40"/>
        <v>2.2741248155102107E-5</v>
      </c>
      <c r="R230" s="43">
        <v>35</v>
      </c>
      <c r="S230" s="43">
        <f t="shared" si="41"/>
        <v>0.4375</v>
      </c>
      <c r="T230" s="43">
        <f t="shared" si="42"/>
        <v>9.1948144968298724</v>
      </c>
      <c r="U230" s="43" t="str" cm="1">
        <f t="array" ref="U230">_xlfn.IFS(T230&lt;3,"Group I",T230&lt;5,"Group II",T230&lt;10,"Group III",T230&lt;20,"Group IV",T230&lt;50,"Group V",T230&lt;100,"Group VI",T230&lt;200,"Group VII",T230&lt;500,"Group VIII",T230&lt;1000,"Group IX",TRUE,"Group X")</f>
        <v>Group III</v>
      </c>
      <c r="V230" s="43">
        <f t="shared" si="43"/>
        <v>0.96354297187580085</v>
      </c>
      <c r="W230" s="43">
        <f t="shared" si="44"/>
        <v>1.2312428855721389</v>
      </c>
      <c r="X230" s="43">
        <f t="shared" si="48"/>
        <v>9.0343734051301736E-2</v>
      </c>
      <c r="Y230" s="43">
        <f t="shared" si="45"/>
        <v>0.39949254678084362</v>
      </c>
      <c r="Z230" s="43">
        <f t="shared" si="49"/>
        <v>-0.39849131878339838</v>
      </c>
      <c r="AA230" s="43">
        <f t="shared" si="50"/>
        <v>0.52801237971949511</v>
      </c>
      <c r="AB230" s="43">
        <f t="shared" si="51"/>
        <v>0.36294385797280831</v>
      </c>
    </row>
    <row r="231" spans="1:28">
      <c r="A231" s="48" t="s">
        <v>48</v>
      </c>
      <c r="B231" s="50">
        <v>350</v>
      </c>
      <c r="C231" s="50">
        <v>1000</v>
      </c>
      <c r="D231" s="50">
        <v>7.8739999999999997</v>
      </c>
      <c r="E231" s="50">
        <v>247.11254364759603</v>
      </c>
      <c r="F231" s="50">
        <v>6088.2800608828011</v>
      </c>
      <c r="G231" s="57" t="s">
        <v>90</v>
      </c>
      <c r="H231" s="50">
        <v>0.44900000000000001</v>
      </c>
      <c r="I231" s="50">
        <v>80.400000000000006</v>
      </c>
      <c r="J231" s="50">
        <v>1538</v>
      </c>
      <c r="K231" s="50">
        <v>2862</v>
      </c>
      <c r="L231" s="50">
        <v>0.7</v>
      </c>
      <c r="M231" s="50">
        <v>136.99</v>
      </c>
      <c r="N231" s="51">
        <v>61.17</v>
      </c>
      <c r="O231" s="43">
        <f t="shared" si="47"/>
        <v>0.30000000000000004</v>
      </c>
      <c r="P231" s="43">
        <f t="shared" si="39"/>
        <v>926.44954364759599</v>
      </c>
      <c r="Q231" s="43">
        <f t="shared" si="40"/>
        <v>2.2741248155102107E-5</v>
      </c>
      <c r="R231" s="43">
        <v>35</v>
      </c>
      <c r="S231" s="43">
        <f t="shared" si="41"/>
        <v>0.35</v>
      </c>
      <c r="T231" s="43">
        <f t="shared" si="42"/>
        <v>8.2240921021648496</v>
      </c>
      <c r="U231" s="43" t="str" cm="1">
        <f t="array" ref="U231">_xlfn.IFS(T231&lt;3,"Group I",T231&lt;5,"Group II",T231&lt;10,"Group III",T231&lt;20,"Group IV",T231&lt;50,"Group V",T231&lt;100,"Group VI",T231&lt;200,"Group VII",T231&lt;500,"Group VIII",T231&lt;1000,"Group IX",TRUE,"Group X")</f>
        <v>Group III</v>
      </c>
      <c r="V231" s="43">
        <f t="shared" si="43"/>
        <v>0.91508796537177284</v>
      </c>
      <c r="W231" s="43">
        <f t="shared" si="44"/>
        <v>1.5390536069651737</v>
      </c>
      <c r="X231" s="43">
        <f t="shared" si="48"/>
        <v>0.18725374705935816</v>
      </c>
      <c r="Y231" s="43">
        <f t="shared" si="45"/>
        <v>0.44652894371851959</v>
      </c>
      <c r="Z231" s="43">
        <f t="shared" si="49"/>
        <v>-0.35015038517445557</v>
      </c>
      <c r="AA231" s="43">
        <f t="shared" si="50"/>
        <v>0.47703159219661967</v>
      </c>
      <c r="AB231" s="43">
        <f t="shared" si="51"/>
        <v>0.35107888054088832</v>
      </c>
    </row>
    <row r="232" spans="1:28">
      <c r="A232" s="48" t="s">
        <v>48</v>
      </c>
      <c r="B232" s="50">
        <v>350</v>
      </c>
      <c r="C232" s="50">
        <v>1200</v>
      </c>
      <c r="D232" s="50">
        <v>7.8739999999999997</v>
      </c>
      <c r="E232" s="50">
        <v>247.11254364759603</v>
      </c>
      <c r="F232" s="50">
        <v>6088.2800608828011</v>
      </c>
      <c r="G232" s="57" t="s">
        <v>90</v>
      </c>
      <c r="H232" s="50">
        <v>0.44900000000000001</v>
      </c>
      <c r="I232" s="50">
        <v>80.400000000000006</v>
      </c>
      <c r="J232" s="50">
        <v>1538</v>
      </c>
      <c r="K232" s="50">
        <v>2862</v>
      </c>
      <c r="L232" s="50">
        <v>0.7</v>
      </c>
      <c r="M232" s="50">
        <v>127.2</v>
      </c>
      <c r="N232" s="51">
        <v>43.29</v>
      </c>
      <c r="O232" s="43">
        <f t="shared" si="47"/>
        <v>0.30000000000000004</v>
      </c>
      <c r="P232" s="43">
        <f t="shared" si="39"/>
        <v>926.44954364759599</v>
      </c>
      <c r="Q232" s="43">
        <f t="shared" si="40"/>
        <v>2.2741248155102107E-5</v>
      </c>
      <c r="R232" s="43">
        <v>35</v>
      </c>
      <c r="S232" s="43">
        <f t="shared" si="41"/>
        <v>0.29166666666666669</v>
      </c>
      <c r="T232" s="43">
        <f t="shared" si="42"/>
        <v>7.5075345989262807</v>
      </c>
      <c r="U232" s="43" t="str" cm="1">
        <f t="array" ref="U232">_xlfn.IFS(T232&lt;3,"Group I",T232&lt;5,"Group II",T232&lt;10,"Group III",T232&lt;20,"Group IV",T232&lt;50,"Group V",T232&lt;100,"Group VI",T232&lt;200,"Group VII",T232&lt;500,"Group VIII",T232&lt;1000,"Group IX",TRUE,"Group X")</f>
        <v>Group III</v>
      </c>
      <c r="V232" s="43">
        <f t="shared" si="43"/>
        <v>0.87549734234796028</v>
      </c>
      <c r="W232" s="43">
        <f t="shared" si="44"/>
        <v>1.8468643283582085</v>
      </c>
      <c r="X232" s="43">
        <f t="shared" si="48"/>
        <v>0.26643499310698299</v>
      </c>
      <c r="Y232" s="43">
        <f t="shared" si="45"/>
        <v>0.34033018867924525</v>
      </c>
      <c r="Z232" s="43">
        <f t="shared" si="49"/>
        <v>-0.46809952549923844</v>
      </c>
      <c r="AA232" s="43">
        <f t="shared" si="50"/>
        <v>0.4390533543202923</v>
      </c>
      <c r="AB232" s="43">
        <f t="shared" si="51"/>
        <v>0.34167299791612293</v>
      </c>
    </row>
    <row r="233" spans="1:28">
      <c r="A233" s="48" t="s">
        <v>48</v>
      </c>
      <c r="B233" s="50">
        <v>350</v>
      </c>
      <c r="C233" s="50">
        <v>1600</v>
      </c>
      <c r="D233" s="50">
        <v>7.8739999999999997</v>
      </c>
      <c r="E233" s="50">
        <v>247.11254364759603</v>
      </c>
      <c r="F233" s="50">
        <v>6088.2800608828011</v>
      </c>
      <c r="G233" s="57" t="s">
        <v>90</v>
      </c>
      <c r="H233" s="50">
        <v>0.44900000000000001</v>
      </c>
      <c r="I233" s="50">
        <v>80.400000000000006</v>
      </c>
      <c r="J233" s="50">
        <v>1538</v>
      </c>
      <c r="K233" s="50">
        <v>2862</v>
      </c>
      <c r="L233" s="50">
        <v>0.7</v>
      </c>
      <c r="M233" s="50">
        <v>114.6</v>
      </c>
      <c r="N233" s="51">
        <v>22.09</v>
      </c>
      <c r="O233" s="43">
        <f t="shared" si="47"/>
        <v>0.30000000000000004</v>
      </c>
      <c r="P233" s="43">
        <f t="shared" si="39"/>
        <v>926.44954364759599</v>
      </c>
      <c r="Q233" s="43">
        <f t="shared" si="40"/>
        <v>2.2741248155102107E-5</v>
      </c>
      <c r="R233" s="43">
        <v>35</v>
      </c>
      <c r="S233" s="43">
        <f t="shared" si="41"/>
        <v>0.21875</v>
      </c>
      <c r="T233" s="43">
        <f t="shared" si="42"/>
        <v>6.5017156824607758</v>
      </c>
      <c r="U233" s="43" t="str" cm="1">
        <f t="array" ref="U233">_xlfn.IFS(T233&lt;3,"Group I",T233&lt;5,"Group II",T233&lt;10,"Group III",T233&lt;20,"Group IV",T233&lt;50,"Group V",T233&lt;100,"Group VI",T233&lt;200,"Group VII",T233&lt;500,"Group VIII",T233&lt;1000,"Group IX",TRUE,"Group X")</f>
        <v>Group III</v>
      </c>
      <c r="V233" s="43">
        <f t="shared" si="43"/>
        <v>0.81302797404381033</v>
      </c>
      <c r="W233" s="43">
        <f t="shared" si="44"/>
        <v>2.4624857711442778</v>
      </c>
      <c r="X233" s="43">
        <f t="shared" si="48"/>
        <v>0.39137372971528295</v>
      </c>
      <c r="Y233" s="43">
        <f t="shared" si="45"/>
        <v>0.19275741710296684</v>
      </c>
      <c r="Z233" s="43">
        <f t="shared" si="49"/>
        <v>-0.71498890175993624</v>
      </c>
      <c r="AA233" s="43">
        <f t="shared" si="50"/>
        <v>0.38518239228475104</v>
      </c>
      <c r="AB233" s="43">
        <f t="shared" si="51"/>
        <v>0.32734147383513545</v>
      </c>
    </row>
    <row r="234" spans="1:28">
      <c r="A234" s="48" t="s">
        <v>48</v>
      </c>
      <c r="B234" s="50">
        <v>350</v>
      </c>
      <c r="C234" s="50">
        <v>2000</v>
      </c>
      <c r="D234" s="50">
        <v>7.8739999999999997</v>
      </c>
      <c r="E234" s="50">
        <v>247.11254364759603</v>
      </c>
      <c r="F234" s="50">
        <v>6088.2800608828011</v>
      </c>
      <c r="G234" s="57" t="s">
        <v>90</v>
      </c>
      <c r="H234" s="50">
        <v>0.44900000000000001</v>
      </c>
      <c r="I234" s="50">
        <v>80.400000000000006</v>
      </c>
      <c r="J234" s="50">
        <v>1538</v>
      </c>
      <c r="K234" s="50">
        <v>2862</v>
      </c>
      <c r="L234" s="50">
        <v>0.7</v>
      </c>
      <c r="M234" s="50">
        <v>110.25</v>
      </c>
      <c r="N234" s="51">
        <v>22.3</v>
      </c>
      <c r="O234" s="43">
        <f t="shared" si="47"/>
        <v>0.30000000000000004</v>
      </c>
      <c r="P234" s="43">
        <f t="shared" si="39"/>
        <v>926.44954364759599</v>
      </c>
      <c r="Q234" s="43">
        <f t="shared" si="40"/>
        <v>2.2741248155102107E-5</v>
      </c>
      <c r="R234" s="43">
        <v>35</v>
      </c>
      <c r="S234" s="43">
        <f t="shared" si="41"/>
        <v>0.17499999999999999</v>
      </c>
      <c r="T234" s="43">
        <f t="shared" si="42"/>
        <v>5.815311294543493</v>
      </c>
      <c r="U234" s="43" t="str" cm="1">
        <f t="array" ref="U234">_xlfn.IFS(T234&lt;3,"Group I",T234&lt;5,"Group II",T234&lt;10,"Group III",T234&lt;20,"Group IV",T234&lt;50,"Group V",T234&lt;100,"Group VI",T234&lt;200,"Group VII",T234&lt;500,"Group VIII",T234&lt;1000,"Group IX",TRUE,"Group X")</f>
        <v>Group III</v>
      </c>
      <c r="V234" s="43">
        <f t="shared" si="43"/>
        <v>0.7645729675397821</v>
      </c>
      <c r="W234" s="43">
        <f t="shared" si="44"/>
        <v>3.0781072139303474</v>
      </c>
      <c r="X234" s="43">
        <f t="shared" si="48"/>
        <v>0.48828374272333935</v>
      </c>
      <c r="Y234" s="43">
        <f t="shared" si="45"/>
        <v>0.20226757369614512</v>
      </c>
      <c r="Z234" s="43">
        <f t="shared" si="49"/>
        <v>-0.69407373509171544</v>
      </c>
      <c r="AA234" s="43">
        <f t="shared" si="50"/>
        <v>0.34799216256124754</v>
      </c>
      <c r="AB234" s="43">
        <f t="shared" si="51"/>
        <v>0.31664037195872263</v>
      </c>
    </row>
    <row r="235" spans="1:28">
      <c r="A235" s="48" t="s">
        <v>48</v>
      </c>
      <c r="B235" s="50">
        <v>350</v>
      </c>
      <c r="C235" s="50">
        <v>2400</v>
      </c>
      <c r="D235" s="50">
        <v>7.8739999999999997</v>
      </c>
      <c r="E235" s="50">
        <v>247.11254364759603</v>
      </c>
      <c r="F235" s="50">
        <v>6088.2800608828011</v>
      </c>
      <c r="G235" s="57" t="s">
        <v>90</v>
      </c>
      <c r="H235" s="50">
        <v>0.44900000000000001</v>
      </c>
      <c r="I235" s="50">
        <v>80.400000000000006</v>
      </c>
      <c r="J235" s="50">
        <v>1538</v>
      </c>
      <c r="K235" s="50">
        <v>2862</v>
      </c>
      <c r="L235" s="50">
        <v>0.7</v>
      </c>
      <c r="M235" s="50">
        <v>106.15</v>
      </c>
      <c r="N235" s="51">
        <v>21.99</v>
      </c>
      <c r="O235" s="43">
        <f t="shared" si="47"/>
        <v>0.30000000000000004</v>
      </c>
      <c r="P235" s="43">
        <f t="shared" si="39"/>
        <v>926.44954364759599</v>
      </c>
      <c r="Q235" s="43">
        <f t="shared" si="40"/>
        <v>2.2741248155102107E-5</v>
      </c>
      <c r="R235" s="43">
        <v>35</v>
      </c>
      <c r="S235" s="43">
        <f t="shared" si="41"/>
        <v>0.14583333333333334</v>
      </c>
      <c r="T235" s="43">
        <f t="shared" si="42"/>
        <v>5.3086286248934007</v>
      </c>
      <c r="U235" s="43" t="str" cm="1">
        <f t="array" ref="U235">_xlfn.IFS(T235&lt;3,"Group I",T235&lt;5,"Group II",T235&lt;10,"Group III",T235&lt;20,"Group IV",T235&lt;50,"Group V",T235&lt;100,"Group VI",T235&lt;200,"Group VII",T235&lt;500,"Group VIII",T235&lt;1000,"Group IX",TRUE,"Group X")</f>
        <v>Group III</v>
      </c>
      <c r="V235" s="43">
        <f t="shared" si="43"/>
        <v>0.72498234451596966</v>
      </c>
      <c r="W235" s="43">
        <f t="shared" si="44"/>
        <v>3.6937286567164169</v>
      </c>
      <c r="X235" s="43">
        <f t="shared" si="48"/>
        <v>0.56746498877096418</v>
      </c>
      <c r="Y235" s="43">
        <f t="shared" si="45"/>
        <v>0.20715967969853977</v>
      </c>
      <c r="Z235" s="43">
        <f t="shared" si="49"/>
        <v>-0.68369476914122729</v>
      </c>
      <c r="AA235" s="43">
        <f t="shared" si="50"/>
        <v>0.32028722782518232</v>
      </c>
      <c r="AB235" s="43">
        <f t="shared" si="51"/>
        <v>0.30815714400631117</v>
      </c>
    </row>
    <row r="236" spans="1:28">
      <c r="A236" s="48" t="s">
        <v>48</v>
      </c>
      <c r="B236" s="50">
        <v>100</v>
      </c>
      <c r="C236" s="50">
        <v>300</v>
      </c>
      <c r="D236" s="50">
        <v>7.8739999999999997</v>
      </c>
      <c r="E236" s="50">
        <v>247.11254364759603</v>
      </c>
      <c r="F236" s="50">
        <v>6088.2800608828011</v>
      </c>
      <c r="G236" s="57" t="s">
        <v>90</v>
      </c>
      <c r="H236" s="50">
        <v>0.44900000000000001</v>
      </c>
      <c r="I236" s="50">
        <v>80.400000000000006</v>
      </c>
      <c r="J236" s="50">
        <v>1538</v>
      </c>
      <c r="K236" s="50">
        <v>2862</v>
      </c>
      <c r="L236" s="50">
        <v>0.7</v>
      </c>
      <c r="M236" s="50">
        <v>109.43</v>
      </c>
      <c r="N236" s="51">
        <v>97.77</v>
      </c>
      <c r="O236" s="43">
        <f t="shared" si="47"/>
        <v>0.30000000000000004</v>
      </c>
      <c r="P236" s="43">
        <f t="shared" si="39"/>
        <v>926.44954364759599</v>
      </c>
      <c r="Q236" s="43">
        <f t="shared" si="40"/>
        <v>2.2741248155102107E-5</v>
      </c>
      <c r="R236" s="43">
        <v>35</v>
      </c>
      <c r="S236" s="43">
        <f t="shared" si="41"/>
        <v>0.33333333333333331</v>
      </c>
      <c r="T236" s="43">
        <f t="shared" si="42"/>
        <v>4.2900197708150172</v>
      </c>
      <c r="U236" s="43" t="str" cm="1">
        <f t="array" ref="U236">_xlfn.IFS(T236&lt;3,"Group I",T236&lt;5,"Group II",T236&lt;10,"Group III",T236&lt;20,"Group IV",T236&lt;50,"Group V",T236&lt;100,"Group VI",T236&lt;200,"Group VII",T236&lt;500,"Group VIII",T236&lt;1000,"Group IX",TRUE,"Group X")</f>
        <v>Group II</v>
      </c>
      <c r="V236" s="43">
        <f t="shared" si="43"/>
        <v>0.63245929366166576</v>
      </c>
      <c r="W236" s="43">
        <f t="shared" si="44"/>
        <v>0.46171608208955212</v>
      </c>
      <c r="X236" s="43">
        <f t="shared" si="48"/>
        <v>-0.33562499822097941</v>
      </c>
      <c r="Y236" s="43">
        <f t="shared" si="45"/>
        <v>0.8934478662158456</v>
      </c>
      <c r="Z236" s="43">
        <f t="shared" si="49"/>
        <v>-4.8930784037288691E-2</v>
      </c>
      <c r="AA236" s="43">
        <f t="shared" si="50"/>
        <v>0.23572444015865809</v>
      </c>
      <c r="AB236" s="43">
        <f t="shared" si="51"/>
        <v>0.28920754813415728</v>
      </c>
    </row>
    <row r="237" spans="1:28">
      <c r="A237" s="48" t="s">
        <v>48</v>
      </c>
      <c r="B237" s="50">
        <v>150</v>
      </c>
      <c r="C237" s="50">
        <v>300</v>
      </c>
      <c r="D237" s="50">
        <v>7.8739999999999997</v>
      </c>
      <c r="E237" s="50">
        <v>247.11254364759603</v>
      </c>
      <c r="F237" s="50">
        <v>6088.2800608828011</v>
      </c>
      <c r="G237" s="57" t="s">
        <v>90</v>
      </c>
      <c r="H237" s="50">
        <v>0.44900000000000001</v>
      </c>
      <c r="I237" s="50">
        <v>80.400000000000006</v>
      </c>
      <c r="J237" s="50">
        <v>1538</v>
      </c>
      <c r="K237" s="50">
        <v>2862</v>
      </c>
      <c r="L237" s="50">
        <v>0.7</v>
      </c>
      <c r="M237" s="50">
        <v>129</v>
      </c>
      <c r="N237" s="51">
        <v>169.47</v>
      </c>
      <c r="O237" s="43">
        <f t="shared" si="47"/>
        <v>0.30000000000000004</v>
      </c>
      <c r="P237" s="43">
        <f t="shared" si="39"/>
        <v>926.44954364759599</v>
      </c>
      <c r="Q237" s="43">
        <f t="shared" si="40"/>
        <v>2.2741248155102107E-5</v>
      </c>
      <c r="R237" s="43">
        <v>35</v>
      </c>
      <c r="S237" s="43">
        <f t="shared" si="41"/>
        <v>0.5</v>
      </c>
      <c r="T237" s="43">
        <f t="shared" si="42"/>
        <v>6.4350296562225262</v>
      </c>
      <c r="U237" s="43" t="str" cm="1">
        <f t="array" ref="U237">_xlfn.IFS(T237&lt;3,"Group I",T237&lt;5,"Group II",T237&lt;10,"Group III",T237&lt;20,"Group IV",T237&lt;50,"Group V",T237&lt;100,"Group VI",T237&lt;200,"Group VII",T237&lt;500,"Group VIII",T237&lt;1000,"Group IX",TRUE,"Group X")</f>
        <v>Group III</v>
      </c>
      <c r="V237" s="43">
        <f t="shared" si="43"/>
        <v>0.8085505527173471</v>
      </c>
      <c r="W237" s="43">
        <f t="shared" si="44"/>
        <v>0.46171608208955212</v>
      </c>
      <c r="X237" s="43">
        <f t="shared" si="48"/>
        <v>-0.33562499822097941</v>
      </c>
      <c r="Y237" s="43">
        <f t="shared" si="45"/>
        <v>1.3137209302325581</v>
      </c>
      <c r="Z237" s="43">
        <f t="shared" si="49"/>
        <v>0.11850311915674071</v>
      </c>
      <c r="AA237" s="43">
        <f t="shared" si="50"/>
        <v>0.35358666023798718</v>
      </c>
      <c r="AB237" s="43">
        <f t="shared" si="51"/>
        <v>0.32633767093130339</v>
      </c>
    </row>
    <row r="238" spans="1:28">
      <c r="A238" s="48" t="s">
        <v>48</v>
      </c>
      <c r="B238" s="50">
        <v>200</v>
      </c>
      <c r="C238" s="50">
        <v>300</v>
      </c>
      <c r="D238" s="50">
        <v>7.8739999999999997</v>
      </c>
      <c r="E238" s="50">
        <v>247.11254364759603</v>
      </c>
      <c r="F238" s="50">
        <v>6088.2800608828011</v>
      </c>
      <c r="G238" s="57" t="s">
        <v>90</v>
      </c>
      <c r="H238" s="50">
        <v>0.44900000000000001</v>
      </c>
      <c r="I238" s="50">
        <v>80.400000000000006</v>
      </c>
      <c r="J238" s="50">
        <v>1538</v>
      </c>
      <c r="K238" s="50">
        <v>2862</v>
      </c>
      <c r="L238" s="50">
        <v>0.7</v>
      </c>
      <c r="M238" s="50">
        <v>160.62</v>
      </c>
      <c r="N238" s="51">
        <v>254.31</v>
      </c>
      <c r="O238" s="43">
        <f t="shared" si="47"/>
        <v>0.30000000000000004</v>
      </c>
      <c r="P238" s="43">
        <f t="shared" si="39"/>
        <v>926.44954364759599</v>
      </c>
      <c r="Q238" s="43">
        <f t="shared" si="40"/>
        <v>2.2741248155102107E-5</v>
      </c>
      <c r="R238" s="43">
        <v>35</v>
      </c>
      <c r="S238" s="43">
        <f t="shared" si="41"/>
        <v>0.66666666666666663</v>
      </c>
      <c r="T238" s="43">
        <f t="shared" si="42"/>
        <v>8.5800395416300343</v>
      </c>
      <c r="U238" s="43" t="str" cm="1">
        <f t="array" ref="U238">_xlfn.IFS(T238&lt;3,"Group I",T238&lt;5,"Group II",T238&lt;10,"Group III",T238&lt;20,"Group IV",T238&lt;50,"Group V",T238&lt;100,"Group VI",T238&lt;200,"Group VII",T238&lt;500,"Group VIII",T238&lt;1000,"Group IX",TRUE,"Group X")</f>
        <v>Group III</v>
      </c>
      <c r="V238" s="43">
        <f t="shared" si="43"/>
        <v>0.93348928932564701</v>
      </c>
      <c r="W238" s="43">
        <f t="shared" si="44"/>
        <v>0.46171608208955212</v>
      </c>
      <c r="X238" s="43">
        <f t="shared" si="48"/>
        <v>-0.33562499822097941</v>
      </c>
      <c r="Y238" s="43">
        <f t="shared" si="45"/>
        <v>1.5833022039596563</v>
      </c>
      <c r="Z238" s="43">
        <f t="shared" si="49"/>
        <v>0.19956381630639522</v>
      </c>
      <c r="AA238" s="43">
        <f t="shared" si="50"/>
        <v>0.47144888031731619</v>
      </c>
      <c r="AB238" s="43">
        <f t="shared" si="51"/>
        <v>0.35553835548454743</v>
      </c>
    </row>
    <row r="239" spans="1:28">
      <c r="A239" s="48" t="s">
        <v>48</v>
      </c>
      <c r="B239" s="50">
        <v>250</v>
      </c>
      <c r="C239" s="50">
        <v>300</v>
      </c>
      <c r="D239" s="50">
        <v>7.8739999999999997</v>
      </c>
      <c r="E239" s="50">
        <v>247.11254364759603</v>
      </c>
      <c r="F239" s="50">
        <v>6088.2800608828011</v>
      </c>
      <c r="G239" s="57" t="s">
        <v>90</v>
      </c>
      <c r="H239" s="50">
        <v>0.44900000000000001</v>
      </c>
      <c r="I239" s="50">
        <v>80.400000000000006</v>
      </c>
      <c r="J239" s="50">
        <v>1538</v>
      </c>
      <c r="K239" s="50">
        <v>2862</v>
      </c>
      <c r="L239" s="50">
        <v>0.7</v>
      </c>
      <c r="M239" s="50">
        <v>177.23</v>
      </c>
      <c r="N239" s="51">
        <v>331.7</v>
      </c>
      <c r="O239" s="43">
        <f t="shared" si="47"/>
        <v>0.30000000000000004</v>
      </c>
      <c r="P239" s="43">
        <f t="shared" si="39"/>
        <v>926.44954364759599</v>
      </c>
      <c r="Q239" s="43">
        <f t="shared" si="40"/>
        <v>2.2741248155102107E-5</v>
      </c>
      <c r="R239" s="43">
        <v>35</v>
      </c>
      <c r="S239" s="43">
        <f t="shared" si="41"/>
        <v>0.83333333333333337</v>
      </c>
      <c r="T239" s="43">
        <f t="shared" si="42"/>
        <v>10.725049427037545</v>
      </c>
      <c r="U239" s="43" t="str" cm="1">
        <f t="array" ref="U239">_xlfn.IFS(T239&lt;3,"Group I",T239&lt;5,"Group II",T239&lt;10,"Group III",T239&lt;20,"Group IV",T239&lt;50,"Group V",T239&lt;100,"Group VI",T239&lt;200,"Group VII",T239&lt;500,"Group VIII",T239&lt;1000,"Group IX",TRUE,"Group X")</f>
        <v>Group IV</v>
      </c>
      <c r="V239" s="43">
        <f t="shared" si="43"/>
        <v>1.0303993023337035</v>
      </c>
      <c r="W239" s="43">
        <f t="shared" si="44"/>
        <v>0.46171608208955212</v>
      </c>
      <c r="X239" s="43">
        <f t="shared" si="48"/>
        <v>-0.33562499822097941</v>
      </c>
      <c r="Y239" s="43">
        <f t="shared" si="45"/>
        <v>1.8715793037296169</v>
      </c>
      <c r="Z239" s="43">
        <f t="shared" si="49"/>
        <v>0.2722082340379241</v>
      </c>
      <c r="AA239" s="43">
        <f t="shared" si="50"/>
        <v>0.58931110039664536</v>
      </c>
      <c r="AB239" s="43">
        <f t="shared" si="51"/>
        <v>0.37997581236300443</v>
      </c>
    </row>
    <row r="240" spans="1:28">
      <c r="A240" s="48" t="s">
        <v>48</v>
      </c>
      <c r="B240" s="50">
        <v>300</v>
      </c>
      <c r="C240" s="50">
        <v>300</v>
      </c>
      <c r="D240" s="50">
        <v>7.8739999999999997</v>
      </c>
      <c r="E240" s="50">
        <v>247.11254364759603</v>
      </c>
      <c r="F240" s="50">
        <v>6088.2800608828011</v>
      </c>
      <c r="G240" s="57" t="s">
        <v>90</v>
      </c>
      <c r="H240" s="50">
        <v>0.44900000000000001</v>
      </c>
      <c r="I240" s="50">
        <v>80.400000000000006</v>
      </c>
      <c r="J240" s="50">
        <v>1538</v>
      </c>
      <c r="K240" s="50">
        <v>2862</v>
      </c>
      <c r="L240" s="50">
        <v>0.7</v>
      </c>
      <c r="M240" s="50">
        <v>247.28</v>
      </c>
      <c r="N240" s="51">
        <v>215.59</v>
      </c>
      <c r="O240" s="43">
        <f t="shared" si="47"/>
        <v>0.30000000000000004</v>
      </c>
      <c r="P240" s="43">
        <f t="shared" si="39"/>
        <v>926.44954364759599</v>
      </c>
      <c r="Q240" s="43">
        <f t="shared" si="40"/>
        <v>2.2741248155102107E-5</v>
      </c>
      <c r="R240" s="43">
        <v>35</v>
      </c>
      <c r="S240" s="43">
        <f t="shared" si="41"/>
        <v>1</v>
      </c>
      <c r="T240" s="43">
        <f t="shared" si="42"/>
        <v>12.870059312445052</v>
      </c>
      <c r="U240" s="43" t="str" cm="1">
        <f t="array" ref="U240">_xlfn.IFS(T240&lt;3,"Group I",T240&lt;5,"Group II",T240&lt;10,"Group III",T240&lt;20,"Group IV",T240&lt;50,"Group V",T240&lt;100,"Group VI",T240&lt;200,"Group VII",T240&lt;500,"Group VIII",T240&lt;1000,"Group IX",TRUE,"Group X")</f>
        <v>Group IV</v>
      </c>
      <c r="V240" s="43">
        <f t="shared" si="43"/>
        <v>1.1095805483813284</v>
      </c>
      <c r="W240" s="43">
        <f t="shared" si="44"/>
        <v>0.46171608208955212</v>
      </c>
      <c r="X240" s="43">
        <f t="shared" si="48"/>
        <v>-0.33562499822097941</v>
      </c>
      <c r="Y240" s="43">
        <f t="shared" si="45"/>
        <v>0.87184568100938209</v>
      </c>
      <c r="Z240" s="43">
        <f t="shared" si="49"/>
        <v>-5.9560379536557587E-2</v>
      </c>
      <c r="AA240" s="43">
        <f t="shared" si="50"/>
        <v>0.70717332047597437</v>
      </c>
      <c r="AB240" s="43">
        <f t="shared" si="51"/>
        <v>0.40118440754440882</v>
      </c>
    </row>
    <row r="241" spans="1:28">
      <c r="A241" s="48" t="s">
        <v>48</v>
      </c>
      <c r="B241" s="50">
        <v>100</v>
      </c>
      <c r="C241" s="50">
        <v>600</v>
      </c>
      <c r="D241" s="50">
        <v>7.8739999999999997</v>
      </c>
      <c r="E241" s="50">
        <v>247.11254364759603</v>
      </c>
      <c r="F241" s="50">
        <v>6088.2800608828011</v>
      </c>
      <c r="G241" s="57" t="s">
        <v>90</v>
      </c>
      <c r="H241" s="50">
        <v>0.44900000000000001</v>
      </c>
      <c r="I241" s="50">
        <v>80.400000000000006</v>
      </c>
      <c r="J241" s="50">
        <v>1538</v>
      </c>
      <c r="K241" s="50">
        <v>2862</v>
      </c>
      <c r="L241" s="50">
        <v>0.7</v>
      </c>
      <c r="M241" s="50">
        <v>65.55</v>
      </c>
      <c r="N241" s="51">
        <v>14.8</v>
      </c>
      <c r="O241" s="43">
        <f t="shared" si="47"/>
        <v>0.30000000000000004</v>
      </c>
      <c r="P241" s="43">
        <f t="shared" si="39"/>
        <v>926.44954364759599</v>
      </c>
      <c r="Q241" s="43">
        <f t="shared" si="40"/>
        <v>2.2741248155102107E-5</v>
      </c>
      <c r="R241" s="43">
        <v>35</v>
      </c>
      <c r="S241" s="43">
        <f t="shared" si="41"/>
        <v>0.16666666666666666</v>
      </c>
      <c r="T241" s="43">
        <f t="shared" si="42"/>
        <v>3.0335020713676575</v>
      </c>
      <c r="U241" s="43" t="str" cm="1">
        <f t="array" ref="U241">_xlfn.IFS(T241&lt;3,"Group I",T241&lt;5,"Group II",T241&lt;10,"Group III",T241&lt;20,"Group IV",T241&lt;50,"Group V",T241&lt;100,"Group VI",T241&lt;200,"Group VII",T241&lt;500,"Group VIII",T241&lt;1000,"Group IX",TRUE,"Group X")</f>
        <v>Group II</v>
      </c>
      <c r="V241" s="43">
        <f t="shared" si="43"/>
        <v>0.48194429582967524</v>
      </c>
      <c r="W241" s="43">
        <f t="shared" si="44"/>
        <v>0.92343216417910423</v>
      </c>
      <c r="X241" s="43">
        <f t="shared" si="48"/>
        <v>-3.4595002556998197E-2</v>
      </c>
      <c r="Y241" s="43">
        <f t="shared" si="45"/>
        <v>0.22578184591914571</v>
      </c>
      <c r="Z241" s="43">
        <f t="shared" si="49"/>
        <v>-0.64631098063114567</v>
      </c>
      <c r="AA241" s="43">
        <f t="shared" si="50"/>
        <v>0.17195980107233688</v>
      </c>
      <c r="AB241" s="43">
        <f t="shared" si="51"/>
        <v>0.26083820671122515</v>
      </c>
    </row>
    <row r="242" spans="1:28">
      <c r="A242" s="48" t="s">
        <v>48</v>
      </c>
      <c r="B242" s="50">
        <v>150</v>
      </c>
      <c r="C242" s="50">
        <v>600</v>
      </c>
      <c r="D242" s="50">
        <v>7.8739999999999997</v>
      </c>
      <c r="E242" s="50">
        <v>247.11254364759603</v>
      </c>
      <c r="F242" s="50">
        <v>6088.2800608828011</v>
      </c>
      <c r="G242" s="57" t="s">
        <v>90</v>
      </c>
      <c r="H242" s="50">
        <v>0.44900000000000001</v>
      </c>
      <c r="I242" s="50">
        <v>80.400000000000006</v>
      </c>
      <c r="J242" s="50">
        <v>1538</v>
      </c>
      <c r="K242" s="50">
        <v>2862</v>
      </c>
      <c r="L242" s="50">
        <v>0.7</v>
      </c>
      <c r="M242" s="50">
        <v>104.59</v>
      </c>
      <c r="N242" s="51">
        <v>23.12</v>
      </c>
      <c r="O242" s="43">
        <f t="shared" si="47"/>
        <v>0.30000000000000004</v>
      </c>
      <c r="P242" s="43">
        <f t="shared" si="39"/>
        <v>926.44954364759599</v>
      </c>
      <c r="Q242" s="43">
        <f t="shared" si="40"/>
        <v>2.2741248155102107E-5</v>
      </c>
      <c r="R242" s="43">
        <v>35</v>
      </c>
      <c r="S242" s="43">
        <f t="shared" si="41"/>
        <v>0.25</v>
      </c>
      <c r="T242" s="43">
        <f t="shared" si="42"/>
        <v>4.5502531070514864</v>
      </c>
      <c r="U242" s="43" t="str" cm="1">
        <f t="array" ref="U242">_xlfn.IFS(T242&lt;3,"Group I",T242&lt;5,"Group II",T242&lt;10,"Group III",T242&lt;20,"Group IV",T242&lt;50,"Group V",T242&lt;100,"Group VI",T242&lt;200,"Group VII",T242&lt;500,"Group VIII",T242&lt;1000,"Group IX",TRUE,"Group X")</f>
        <v>Group II</v>
      </c>
      <c r="V242" s="43">
        <f t="shared" si="43"/>
        <v>0.65803555488535648</v>
      </c>
      <c r="W242" s="43">
        <f t="shared" si="44"/>
        <v>0.92343216417910423</v>
      </c>
      <c r="X242" s="43">
        <f t="shared" si="48"/>
        <v>-3.4595002556998197E-2</v>
      </c>
      <c r="Y242" s="43">
        <f t="shared" si="45"/>
        <v>0.22105363801510661</v>
      </c>
      <c r="Z242" s="43">
        <f t="shared" si="49"/>
        <v>-0.6555023332490163</v>
      </c>
      <c r="AA242" s="43">
        <f t="shared" si="50"/>
        <v>0.25793970160850532</v>
      </c>
      <c r="AB242" s="43">
        <f t="shared" si="51"/>
        <v>0.29432611084048571</v>
      </c>
    </row>
    <row r="243" spans="1:28">
      <c r="A243" s="48" t="s">
        <v>48</v>
      </c>
      <c r="B243" s="50">
        <v>200</v>
      </c>
      <c r="C243" s="50">
        <v>600</v>
      </c>
      <c r="D243" s="50">
        <v>7.8739999999999997</v>
      </c>
      <c r="E243" s="50">
        <v>247.11254364759603</v>
      </c>
      <c r="F243" s="50">
        <v>6088.2800608828011</v>
      </c>
      <c r="G243" s="57" t="s">
        <v>90</v>
      </c>
      <c r="H243" s="50">
        <v>0.44900000000000001</v>
      </c>
      <c r="I243" s="50">
        <v>80.400000000000006</v>
      </c>
      <c r="J243" s="50">
        <v>1538</v>
      </c>
      <c r="K243" s="50">
        <v>2862</v>
      </c>
      <c r="L243" s="50">
        <v>0.7</v>
      </c>
      <c r="M243" s="50">
        <v>135.30000000000001</v>
      </c>
      <c r="N243" s="51">
        <v>104</v>
      </c>
      <c r="O243" s="43">
        <f t="shared" si="47"/>
        <v>0.30000000000000004</v>
      </c>
      <c r="P243" s="43">
        <f t="shared" si="39"/>
        <v>926.44954364759599</v>
      </c>
      <c r="Q243" s="43">
        <f t="shared" si="40"/>
        <v>2.2741248155102107E-5</v>
      </c>
      <c r="R243" s="43">
        <v>35</v>
      </c>
      <c r="S243" s="43">
        <f t="shared" si="41"/>
        <v>0.33333333333333331</v>
      </c>
      <c r="T243" s="43">
        <f t="shared" si="42"/>
        <v>6.067004142735315</v>
      </c>
      <c r="U243" s="43" t="str" cm="1">
        <f t="array" ref="U243">_xlfn.IFS(T243&lt;3,"Group I",T243&lt;5,"Group II",T243&lt;10,"Group III",T243&lt;20,"Group IV",T243&lt;50,"Group V",T243&lt;100,"Group VI",T243&lt;200,"Group VII",T243&lt;500,"Group VIII",T243&lt;1000,"Group IX",TRUE,"Group X")</f>
        <v>Group III</v>
      </c>
      <c r="V243" s="43">
        <f t="shared" si="43"/>
        <v>0.78297429149365649</v>
      </c>
      <c r="W243" s="43">
        <f t="shared" si="44"/>
        <v>0.92343216417910423</v>
      </c>
      <c r="X243" s="43">
        <f t="shared" si="48"/>
        <v>-3.4595002556998197E-2</v>
      </c>
      <c r="Y243" s="43">
        <f t="shared" si="45"/>
        <v>0.76866223207686613</v>
      </c>
      <c r="Z243" s="43">
        <f t="shared" si="49"/>
        <v>-0.11426445729884267</v>
      </c>
      <c r="AA243" s="43">
        <f t="shared" si="50"/>
        <v>0.34391960214467376</v>
      </c>
      <c r="AB243" s="43">
        <f t="shared" si="51"/>
        <v>0.32066240200144508</v>
      </c>
    </row>
    <row r="244" spans="1:28">
      <c r="A244" s="48" t="s">
        <v>48</v>
      </c>
      <c r="B244" s="50">
        <v>250</v>
      </c>
      <c r="C244" s="50">
        <v>600</v>
      </c>
      <c r="D244" s="50">
        <v>7.8739999999999997</v>
      </c>
      <c r="E244" s="50">
        <v>247.11254364759603</v>
      </c>
      <c r="F244" s="50">
        <v>6088.2800608828011</v>
      </c>
      <c r="G244" s="57" t="s">
        <v>90</v>
      </c>
      <c r="H244" s="50">
        <v>0.44900000000000001</v>
      </c>
      <c r="I244" s="50">
        <v>80.400000000000006</v>
      </c>
      <c r="J244" s="50">
        <v>1538</v>
      </c>
      <c r="K244" s="50">
        <v>2862</v>
      </c>
      <c r="L244" s="50">
        <v>0.7</v>
      </c>
      <c r="M244" s="50">
        <v>164.43</v>
      </c>
      <c r="N244" s="51">
        <v>124</v>
      </c>
      <c r="O244" s="43">
        <f t="shared" si="47"/>
        <v>0.30000000000000004</v>
      </c>
      <c r="P244" s="43">
        <f t="shared" si="39"/>
        <v>926.44954364759599</v>
      </c>
      <c r="Q244" s="43">
        <f t="shared" si="40"/>
        <v>2.2741248155102107E-5</v>
      </c>
      <c r="R244" s="43">
        <v>35</v>
      </c>
      <c r="S244" s="43">
        <f t="shared" si="41"/>
        <v>0.41666666666666669</v>
      </c>
      <c r="T244" s="43">
        <f t="shared" si="42"/>
        <v>7.5837551784191444</v>
      </c>
      <c r="U244" s="43" t="str" cm="1">
        <f t="array" ref="U244">_xlfn.IFS(T244&lt;3,"Group I",T244&lt;5,"Group II",T244&lt;10,"Group III",T244&lt;20,"Group IV",T244&lt;50,"Group V",T244&lt;100,"Group VI",T244&lt;200,"Group VII",T244&lt;500,"Group VIII",T244&lt;1000,"Group IX",TRUE,"Group X")</f>
        <v>Group III</v>
      </c>
      <c r="V244" s="43">
        <f t="shared" si="43"/>
        <v>0.87988430450171295</v>
      </c>
      <c r="W244" s="43">
        <f t="shared" si="44"/>
        <v>0.92343216417910423</v>
      </c>
      <c r="X244" s="43">
        <f t="shared" si="48"/>
        <v>-3.4595002556998197E-2</v>
      </c>
      <c r="Y244" s="43">
        <f t="shared" si="45"/>
        <v>0.75412029435017935</v>
      </c>
      <c r="Z244" s="43">
        <f t="shared" si="49"/>
        <v>-0.12255937162962763</v>
      </c>
      <c r="AA244" s="43">
        <f t="shared" si="50"/>
        <v>0.42989950268084226</v>
      </c>
      <c r="AB244" s="43">
        <f t="shared" si="51"/>
        <v>0.34270270651591356</v>
      </c>
    </row>
    <row r="245" spans="1:28">
      <c r="A245" s="48" t="s">
        <v>48</v>
      </c>
      <c r="B245" s="50">
        <v>300</v>
      </c>
      <c r="C245" s="50">
        <v>600</v>
      </c>
      <c r="D245" s="50">
        <v>7.8739999999999997</v>
      </c>
      <c r="E245" s="50">
        <v>247.11254364759603</v>
      </c>
      <c r="F245" s="50">
        <v>6088.2800608828011</v>
      </c>
      <c r="G245" s="57" t="s">
        <v>90</v>
      </c>
      <c r="H245" s="50">
        <v>0.44900000000000001</v>
      </c>
      <c r="I245" s="50">
        <v>80.400000000000006</v>
      </c>
      <c r="J245" s="50">
        <v>1538</v>
      </c>
      <c r="K245" s="50">
        <v>2862</v>
      </c>
      <c r="L245" s="50">
        <v>0.7</v>
      </c>
      <c r="M245" s="50">
        <v>188.5</v>
      </c>
      <c r="N245" s="51">
        <v>128.53</v>
      </c>
      <c r="O245" s="43">
        <f t="shared" si="47"/>
        <v>0.30000000000000004</v>
      </c>
      <c r="P245" s="43">
        <f t="shared" si="39"/>
        <v>926.44954364759599</v>
      </c>
      <c r="Q245" s="43">
        <f t="shared" si="40"/>
        <v>2.2741248155102107E-5</v>
      </c>
      <c r="R245" s="43">
        <v>35</v>
      </c>
      <c r="S245" s="43">
        <f t="shared" si="41"/>
        <v>0.5</v>
      </c>
      <c r="T245" s="43">
        <f t="shared" si="42"/>
        <v>9.1005062141029729</v>
      </c>
      <c r="U245" s="43" t="str" cm="1">
        <f t="array" ref="U245">_xlfn.IFS(T245&lt;3,"Group I",T245&lt;5,"Group II",T245&lt;10,"Group III",T245&lt;20,"Group IV",T245&lt;50,"Group V",T245&lt;100,"Group VI",T245&lt;200,"Group VII",T245&lt;500,"Group VIII",T245&lt;1000,"Group IX",TRUE,"Group X")</f>
        <v>Group III</v>
      </c>
      <c r="V245" s="43">
        <f t="shared" si="43"/>
        <v>0.95906555054933773</v>
      </c>
      <c r="W245" s="43">
        <f t="shared" si="44"/>
        <v>0.92343216417910423</v>
      </c>
      <c r="X245" s="43">
        <f t="shared" si="48"/>
        <v>-3.4595002556998197E-2</v>
      </c>
      <c r="Y245" s="43">
        <f t="shared" si="45"/>
        <v>0.68185676392572947</v>
      </c>
      <c r="Z245" s="43">
        <f t="shared" si="49"/>
        <v>-0.16630684700042708</v>
      </c>
      <c r="AA245" s="43">
        <f t="shared" si="50"/>
        <v>0.51587940321701065</v>
      </c>
      <c r="AB245" s="43">
        <f t="shared" si="51"/>
        <v>0.36183087924056062</v>
      </c>
    </row>
    <row r="246" spans="1:28">
      <c r="A246" s="48" t="s">
        <v>48</v>
      </c>
      <c r="B246" s="50">
        <v>100</v>
      </c>
      <c r="C246" s="50">
        <v>900</v>
      </c>
      <c r="D246" s="50">
        <v>7.8739999999999997</v>
      </c>
      <c r="E246" s="50">
        <v>247.11254364759603</v>
      </c>
      <c r="F246" s="50">
        <v>6088.2800608828011</v>
      </c>
      <c r="G246" s="57" t="s">
        <v>90</v>
      </c>
      <c r="H246" s="50">
        <v>0.44900000000000001</v>
      </c>
      <c r="I246" s="50">
        <v>80.400000000000006</v>
      </c>
      <c r="J246" s="50">
        <v>1538</v>
      </c>
      <c r="K246" s="50">
        <v>2862</v>
      </c>
      <c r="L246" s="50">
        <v>0.7</v>
      </c>
      <c r="M246" s="50">
        <v>75.41</v>
      </c>
      <c r="N246" s="51">
        <v>29.8</v>
      </c>
      <c r="O246" s="43">
        <f t="shared" si="47"/>
        <v>0.30000000000000004</v>
      </c>
      <c r="P246" s="43">
        <f t="shared" si="39"/>
        <v>926.44954364759599</v>
      </c>
      <c r="Q246" s="43">
        <f t="shared" si="40"/>
        <v>2.2741248155102107E-5</v>
      </c>
      <c r="R246" s="43">
        <v>35</v>
      </c>
      <c r="S246" s="43">
        <f t="shared" si="41"/>
        <v>0.1111111111111111</v>
      </c>
      <c r="T246" s="43">
        <f t="shared" si="42"/>
        <v>2.4768440695088669</v>
      </c>
      <c r="U246" s="43" t="str" cm="1">
        <f t="array" ref="U246">_xlfn.IFS(T246&lt;3,"Group I",T246&lt;5,"Group II",T246&lt;10,"Group III",T246&lt;20,"Group IV",T246&lt;50,"Group V",T246&lt;100,"Group VI",T246&lt;200,"Group VII",T246&lt;500,"Group VIII",T246&lt;1000,"Group IX",TRUE,"Group X")</f>
        <v>Group I</v>
      </c>
      <c r="V246" s="43">
        <f t="shared" si="43"/>
        <v>0.39389866630183462</v>
      </c>
      <c r="W246" s="43">
        <f t="shared" si="44"/>
        <v>1.3851482462686564</v>
      </c>
      <c r="X246" s="43">
        <f t="shared" si="48"/>
        <v>0.14149625649868305</v>
      </c>
      <c r="Y246" s="43">
        <f t="shared" si="45"/>
        <v>0.39517305397162183</v>
      </c>
      <c r="Z246" s="43">
        <f t="shared" si="49"/>
        <v>-0.40321267671196448</v>
      </c>
      <c r="AA246" s="43">
        <f t="shared" si="50"/>
        <v>0.14298817673397846</v>
      </c>
      <c r="AB246" s="43">
        <f t="shared" si="51"/>
        <v>0.24555139892949129</v>
      </c>
    </row>
    <row r="247" spans="1:28">
      <c r="A247" s="48" t="s">
        <v>48</v>
      </c>
      <c r="B247" s="50">
        <v>150</v>
      </c>
      <c r="C247" s="50">
        <v>900</v>
      </c>
      <c r="D247" s="50">
        <v>7.8739999999999997</v>
      </c>
      <c r="E247" s="50">
        <v>247.11254364759603</v>
      </c>
      <c r="F247" s="50">
        <v>6088.2800608828011</v>
      </c>
      <c r="G247" s="57" t="s">
        <v>90</v>
      </c>
      <c r="H247" s="50">
        <v>0.44900000000000001</v>
      </c>
      <c r="I247" s="50">
        <v>80.400000000000006</v>
      </c>
      <c r="J247" s="50">
        <v>1538</v>
      </c>
      <c r="K247" s="50">
        <v>2862</v>
      </c>
      <c r="L247" s="50">
        <v>0.7</v>
      </c>
      <c r="M247" s="50">
        <v>106.75</v>
      </c>
      <c r="N247" s="51">
        <v>39.36</v>
      </c>
      <c r="O247" s="43">
        <f t="shared" si="47"/>
        <v>0.30000000000000004</v>
      </c>
      <c r="P247" s="43">
        <f t="shared" si="39"/>
        <v>926.44954364759599</v>
      </c>
      <c r="Q247" s="43">
        <f t="shared" si="40"/>
        <v>2.2741248155102107E-5</v>
      </c>
      <c r="R247" s="43">
        <v>35</v>
      </c>
      <c r="S247" s="43">
        <f t="shared" si="41"/>
        <v>0.16666666666666666</v>
      </c>
      <c r="T247" s="43">
        <f t="shared" si="42"/>
        <v>3.7152661042633004</v>
      </c>
      <c r="U247" s="43" t="str" cm="1">
        <f t="array" ref="U247">_xlfn.IFS(T247&lt;3,"Group I",T247&lt;5,"Group II",T247&lt;10,"Group III",T247&lt;20,"Group IV",T247&lt;50,"Group V",T247&lt;100,"Group VI",T247&lt;200,"Group VII",T247&lt;500,"Group VIII",T247&lt;1000,"Group IX",TRUE,"Group X")</f>
        <v>Group II</v>
      </c>
      <c r="V247" s="43">
        <f t="shared" si="43"/>
        <v>0.5699899253575158</v>
      </c>
      <c r="W247" s="43">
        <f t="shared" si="44"/>
        <v>1.3851482462686564</v>
      </c>
      <c r="X247" s="43">
        <f t="shared" si="48"/>
        <v>0.14149625649868305</v>
      </c>
      <c r="Y247" s="43">
        <f t="shared" si="45"/>
        <v>0.36871194379391098</v>
      </c>
      <c r="Z247" s="43">
        <f t="shared" si="49"/>
        <v>-0.43331279393775762</v>
      </c>
      <c r="AA247" s="43">
        <f t="shared" si="50"/>
        <v>0.21448226510096766</v>
      </c>
      <c r="AB247" s="43">
        <f t="shared" si="51"/>
        <v>0.27707669505016402</v>
      </c>
    </row>
    <row r="248" spans="1:28">
      <c r="A248" s="48" t="s">
        <v>48</v>
      </c>
      <c r="B248" s="50">
        <v>200</v>
      </c>
      <c r="C248" s="50">
        <v>900</v>
      </c>
      <c r="D248" s="50">
        <v>7.8739999999999997</v>
      </c>
      <c r="E248" s="50">
        <v>247.11254364759603</v>
      </c>
      <c r="F248" s="50">
        <v>6088.2800608828011</v>
      </c>
      <c r="G248" s="57" t="s">
        <v>90</v>
      </c>
      <c r="H248" s="50">
        <v>0.44900000000000001</v>
      </c>
      <c r="I248" s="50">
        <v>80.400000000000006</v>
      </c>
      <c r="J248" s="50">
        <v>1538</v>
      </c>
      <c r="K248" s="50">
        <v>2862</v>
      </c>
      <c r="L248" s="50">
        <v>0.7</v>
      </c>
      <c r="M248" s="50">
        <v>125.17</v>
      </c>
      <c r="N248" s="51">
        <v>59</v>
      </c>
      <c r="O248" s="43">
        <f t="shared" si="47"/>
        <v>0.30000000000000004</v>
      </c>
      <c r="P248" s="43">
        <f t="shared" si="39"/>
        <v>926.44954364759599</v>
      </c>
      <c r="Q248" s="43">
        <f t="shared" si="40"/>
        <v>2.2741248155102107E-5</v>
      </c>
      <c r="R248" s="43">
        <v>35</v>
      </c>
      <c r="S248" s="43">
        <f t="shared" si="41"/>
        <v>0.22222222222222221</v>
      </c>
      <c r="T248" s="43">
        <f t="shared" si="42"/>
        <v>4.9536881390177339</v>
      </c>
      <c r="U248" s="43" t="str" cm="1">
        <f t="array" ref="U248">_xlfn.IFS(T248&lt;3,"Group I",T248&lt;5,"Group II",T248&lt;10,"Group III",T248&lt;20,"Group IV",T248&lt;50,"Group V",T248&lt;100,"Group VI",T248&lt;200,"Group VII",T248&lt;500,"Group VIII",T248&lt;1000,"Group IX",TRUE,"Group X")</f>
        <v>Group II</v>
      </c>
      <c r="V248" s="43">
        <f t="shared" si="43"/>
        <v>0.69492866196581582</v>
      </c>
      <c r="W248" s="43">
        <f t="shared" si="44"/>
        <v>1.3851482462686564</v>
      </c>
      <c r="X248" s="43">
        <f t="shared" si="48"/>
        <v>0.14149625649868305</v>
      </c>
      <c r="Y248" s="43">
        <f t="shared" si="45"/>
        <v>0.47135895182551729</v>
      </c>
      <c r="Z248" s="43">
        <f t="shared" si="49"/>
        <v>-0.32664824058954234</v>
      </c>
      <c r="AA248" s="43">
        <f t="shared" si="50"/>
        <v>0.28597635346795691</v>
      </c>
      <c r="AB248" s="43">
        <f t="shared" si="51"/>
        <v>0.30186950902755616</v>
      </c>
    </row>
    <row r="249" spans="1:28">
      <c r="A249" s="48" t="s">
        <v>48</v>
      </c>
      <c r="B249" s="50">
        <v>250</v>
      </c>
      <c r="C249" s="50">
        <v>900</v>
      </c>
      <c r="D249" s="50">
        <v>7.8739999999999997</v>
      </c>
      <c r="E249" s="50">
        <v>247.11254364759603</v>
      </c>
      <c r="F249" s="50">
        <v>6088.2800608828011</v>
      </c>
      <c r="G249" s="57" t="s">
        <v>90</v>
      </c>
      <c r="H249" s="50">
        <v>0.44900000000000001</v>
      </c>
      <c r="I249" s="50">
        <v>80.400000000000006</v>
      </c>
      <c r="J249" s="50">
        <v>1538</v>
      </c>
      <c r="K249" s="50">
        <v>2862</v>
      </c>
      <c r="L249" s="50">
        <v>0.7</v>
      </c>
      <c r="M249" s="50">
        <v>122.1</v>
      </c>
      <c r="N249" s="51">
        <v>57.57</v>
      </c>
      <c r="O249" s="43">
        <f t="shared" si="47"/>
        <v>0.30000000000000004</v>
      </c>
      <c r="P249" s="43">
        <f t="shared" si="39"/>
        <v>926.44954364759599</v>
      </c>
      <c r="Q249" s="43">
        <f t="shared" si="40"/>
        <v>2.2741248155102107E-5</v>
      </c>
      <c r="R249" s="43">
        <v>35</v>
      </c>
      <c r="S249" s="43">
        <f t="shared" si="41"/>
        <v>0.27777777777777779</v>
      </c>
      <c r="T249" s="43">
        <f t="shared" si="42"/>
        <v>6.1921101737721678</v>
      </c>
      <c r="U249" s="43" t="str" cm="1">
        <f t="array" ref="U249">_xlfn.IFS(T249&lt;3,"Group I",T249&lt;5,"Group II",T249&lt;10,"Group III",T249&lt;20,"Group IV",T249&lt;50,"Group V",T249&lt;100,"Group VI",T249&lt;200,"Group VII",T249&lt;500,"Group VIII",T249&lt;1000,"Group IX",TRUE,"Group X")</f>
        <v>Group III</v>
      </c>
      <c r="V249" s="43">
        <f t="shared" si="43"/>
        <v>0.79183867497387228</v>
      </c>
      <c r="W249" s="43">
        <f t="shared" si="44"/>
        <v>1.3851482462686564</v>
      </c>
      <c r="X249" s="43">
        <f t="shared" si="48"/>
        <v>0.14149625649868305</v>
      </c>
      <c r="Y249" s="43">
        <f t="shared" si="45"/>
        <v>0.47149877149877151</v>
      </c>
      <c r="Z249" s="43">
        <f t="shared" si="49"/>
        <v>-0.32651943448974852</v>
      </c>
      <c r="AA249" s="43">
        <f t="shared" si="50"/>
        <v>0.35747044183494614</v>
      </c>
      <c r="AB249" s="43">
        <f t="shared" si="51"/>
        <v>0.32261810899148474</v>
      </c>
    </row>
    <row r="250" spans="1:28" ht="18.600000000000001" thickBot="1">
      <c r="A250" s="53" t="s">
        <v>48</v>
      </c>
      <c r="B250" s="54">
        <v>300</v>
      </c>
      <c r="C250" s="54">
        <v>900</v>
      </c>
      <c r="D250" s="54">
        <v>7.8739999999999997</v>
      </c>
      <c r="E250" s="54">
        <v>247.11254364759603</v>
      </c>
      <c r="F250" s="54">
        <v>6088.2800608828011</v>
      </c>
      <c r="G250" s="57" t="s">
        <v>90</v>
      </c>
      <c r="H250" s="54">
        <v>0.44900000000000001</v>
      </c>
      <c r="I250" s="54">
        <v>80.400000000000006</v>
      </c>
      <c r="J250" s="54">
        <v>1538</v>
      </c>
      <c r="K250" s="54">
        <v>2862</v>
      </c>
      <c r="L250" s="54">
        <v>0.7</v>
      </c>
      <c r="M250" s="54">
        <v>148.53</v>
      </c>
      <c r="N250" s="55">
        <v>68</v>
      </c>
      <c r="O250" s="43">
        <f t="shared" si="47"/>
        <v>0.30000000000000004</v>
      </c>
      <c r="P250" s="43">
        <f t="shared" si="39"/>
        <v>926.44954364759599</v>
      </c>
      <c r="Q250" s="43">
        <f t="shared" si="40"/>
        <v>2.2741248155102107E-5</v>
      </c>
      <c r="R250" s="43">
        <v>35</v>
      </c>
      <c r="S250" s="43">
        <f t="shared" si="41"/>
        <v>0.33333333333333331</v>
      </c>
      <c r="T250" s="43">
        <f t="shared" si="42"/>
        <v>7.4305322085266008</v>
      </c>
      <c r="U250" s="43" t="str" cm="1">
        <f t="array" ref="U250">_xlfn.IFS(T250&lt;3,"Group I",T250&lt;5,"Group II",T250&lt;10,"Group III",T250&lt;20,"Group IV",T250&lt;50,"Group V",T250&lt;100,"Group VI",T250&lt;200,"Group VII",T250&lt;500,"Group VIII",T250&lt;1000,"Group IX",TRUE,"Group X")</f>
        <v>Group III</v>
      </c>
      <c r="V250" s="43">
        <f t="shared" si="43"/>
        <v>0.87101992102149706</v>
      </c>
      <c r="W250" s="43">
        <f t="shared" si="44"/>
        <v>1.3851482462686564</v>
      </c>
      <c r="X250" s="43">
        <f t="shared" si="48"/>
        <v>0.14149625649868305</v>
      </c>
      <c r="Y250" s="43">
        <f t="shared" si="45"/>
        <v>0.45781996902982564</v>
      </c>
      <c r="Z250" s="43">
        <f t="shared" si="49"/>
        <v>-0.3393052683449102</v>
      </c>
      <c r="AA250" s="43">
        <f t="shared" si="50"/>
        <v>0.42896453020193531</v>
      </c>
      <c r="AB250" s="43">
        <f t="shared" si="51"/>
        <v>0.34062524694387081</v>
      </c>
    </row>
    <row r="251" spans="1:28">
      <c r="A251" s="56" t="s">
        <v>49</v>
      </c>
      <c r="B251" s="57">
        <v>200</v>
      </c>
      <c r="C251" s="57">
        <v>200</v>
      </c>
      <c r="D251" s="57">
        <v>8.9</v>
      </c>
      <c r="E251" s="57">
        <v>274.8875277318246</v>
      </c>
      <c r="F251" s="57">
        <v>6397.0739478332025</v>
      </c>
      <c r="G251" s="57" t="s">
        <v>91</v>
      </c>
      <c r="H251" s="57">
        <v>0.42099999999999999</v>
      </c>
      <c r="I251" s="57">
        <v>100</v>
      </c>
      <c r="J251" s="57">
        <v>1495</v>
      </c>
      <c r="K251" s="57">
        <v>2927</v>
      </c>
      <c r="L251" s="57">
        <v>0.65</v>
      </c>
      <c r="M251" s="57">
        <v>230.92</v>
      </c>
      <c r="N251" s="58">
        <v>213.32</v>
      </c>
      <c r="O251" s="43">
        <f t="shared" si="47"/>
        <v>0.35</v>
      </c>
      <c r="P251" s="43">
        <f t="shared" si="39"/>
        <v>893.75752773182467</v>
      </c>
      <c r="Q251" s="43">
        <f t="shared" si="40"/>
        <v>2.6688729349595664E-5</v>
      </c>
      <c r="R251" s="43">
        <v>35</v>
      </c>
      <c r="S251" s="43">
        <f t="shared" si="41"/>
        <v>1</v>
      </c>
      <c r="T251" s="43">
        <f t="shared" si="42"/>
        <v>10.378446984933904</v>
      </c>
      <c r="U251" s="43" t="str" cm="1">
        <f t="array" ref="U251">_xlfn.IFS(T251&lt;3,"Group I",T251&lt;5,"Group II",T251&lt;10,"Group III",T251&lt;20,"Group IV",T251&lt;50,"Group V",T251&lt;100,"Group VI",T251&lt;200,"Group VII",T251&lt;500,"Group VIII",T251&lt;1000,"Group IX",TRUE,"Group X")</f>
        <v>Group IV</v>
      </c>
      <c r="V251" s="43">
        <f t="shared" si="43"/>
        <v>1.0161323712066561</v>
      </c>
      <c r="W251" s="43">
        <f t="shared" si="44"/>
        <v>0.26228299999999999</v>
      </c>
      <c r="X251" s="43">
        <f t="shared" si="48"/>
        <v>-0.5812298575051621</v>
      </c>
      <c r="Y251" s="43">
        <f t="shared" si="45"/>
        <v>0.92378312835614063</v>
      </c>
      <c r="Z251" s="43">
        <f t="shared" si="49"/>
        <v>-3.4429973815754397E-2</v>
      </c>
      <c r="AA251" s="43">
        <f t="shared" si="50"/>
        <v>0.55594629460284717</v>
      </c>
      <c r="AB251" s="43">
        <f t="shared" si="51"/>
        <v>0.37627540631221362</v>
      </c>
    </row>
    <row r="252" spans="1:28">
      <c r="A252" s="48" t="s">
        <v>49</v>
      </c>
      <c r="B252" s="50">
        <v>200</v>
      </c>
      <c r="C252" s="50">
        <v>400</v>
      </c>
      <c r="D252" s="50">
        <v>8.9</v>
      </c>
      <c r="E252" s="50">
        <v>274.8875277318246</v>
      </c>
      <c r="F252" s="50">
        <v>6397.0739478332025</v>
      </c>
      <c r="G252" s="57" t="s">
        <v>91</v>
      </c>
      <c r="H252" s="50">
        <v>0.42099999999999999</v>
      </c>
      <c r="I252" s="50">
        <v>100</v>
      </c>
      <c r="J252" s="50">
        <v>1495</v>
      </c>
      <c r="K252" s="50">
        <v>2927</v>
      </c>
      <c r="L252" s="50">
        <v>0.65</v>
      </c>
      <c r="M252" s="50">
        <v>136.03</v>
      </c>
      <c r="N252" s="51">
        <v>228.28</v>
      </c>
      <c r="O252" s="43">
        <f t="shared" si="47"/>
        <v>0.35</v>
      </c>
      <c r="P252" s="43">
        <f t="shared" si="39"/>
        <v>893.75752773182467</v>
      </c>
      <c r="Q252" s="43">
        <f t="shared" si="40"/>
        <v>2.6688729349595664E-5</v>
      </c>
      <c r="R252" s="43">
        <v>35</v>
      </c>
      <c r="S252" s="43">
        <f t="shared" si="41"/>
        <v>0.5</v>
      </c>
      <c r="T252" s="43">
        <f t="shared" si="42"/>
        <v>7.3386702412318403</v>
      </c>
      <c r="U252" s="43" t="str" cm="1">
        <f t="array" ref="U252">_xlfn.IFS(T252&lt;3,"Group I",T252&lt;5,"Group II",T252&lt;10,"Group III",T252&lt;20,"Group IV",T252&lt;50,"Group V",T252&lt;100,"Group VI",T252&lt;200,"Group VII",T252&lt;500,"Group VIII",T252&lt;1000,"Group IX",TRUE,"Group X")</f>
        <v>Group III</v>
      </c>
      <c r="V252" s="43">
        <f t="shared" si="43"/>
        <v>0.86561737337466549</v>
      </c>
      <c r="W252" s="43">
        <f t="shared" si="44"/>
        <v>0.52456599999999998</v>
      </c>
      <c r="X252" s="43">
        <f t="shared" si="48"/>
        <v>-0.2801998618411809</v>
      </c>
      <c r="Y252" s="43">
        <f t="shared" si="45"/>
        <v>1.6781592295817098</v>
      </c>
      <c r="Z252" s="43">
        <f t="shared" si="49"/>
        <v>0.22483316581799279</v>
      </c>
      <c r="AA252" s="43">
        <f t="shared" si="50"/>
        <v>0.40556004359354064</v>
      </c>
      <c r="AB252" s="43">
        <f t="shared" si="51"/>
        <v>0.33936528574450309</v>
      </c>
    </row>
    <row r="253" spans="1:28">
      <c r="A253" s="48" t="s">
        <v>49</v>
      </c>
      <c r="B253" s="50">
        <v>200</v>
      </c>
      <c r="C253" s="50">
        <v>600</v>
      </c>
      <c r="D253" s="50">
        <v>8.9</v>
      </c>
      <c r="E253" s="50">
        <v>274.8875277318246</v>
      </c>
      <c r="F253" s="50">
        <v>6397.0739478332025</v>
      </c>
      <c r="G253" s="57" t="s">
        <v>91</v>
      </c>
      <c r="H253" s="50">
        <v>0.42099999999999999</v>
      </c>
      <c r="I253" s="50">
        <v>100</v>
      </c>
      <c r="J253" s="50">
        <v>1495</v>
      </c>
      <c r="K253" s="50">
        <v>2927</v>
      </c>
      <c r="L253" s="50">
        <v>0.65</v>
      </c>
      <c r="M253" s="50">
        <v>89.96</v>
      </c>
      <c r="N253" s="51">
        <v>127.64</v>
      </c>
      <c r="O253" s="43">
        <f t="shared" si="47"/>
        <v>0.35</v>
      </c>
      <c r="P253" s="43">
        <f t="shared" si="39"/>
        <v>893.75752773182467</v>
      </c>
      <c r="Q253" s="43">
        <f t="shared" si="40"/>
        <v>2.6688729349595664E-5</v>
      </c>
      <c r="R253" s="43">
        <v>35</v>
      </c>
      <c r="S253" s="43">
        <f t="shared" si="41"/>
        <v>0.33333333333333331</v>
      </c>
      <c r="T253" s="43">
        <f t="shared" si="42"/>
        <v>5.9919991605218499</v>
      </c>
      <c r="U253" s="43" t="str" cm="1">
        <f t="array" ref="U253">_xlfn.IFS(T253&lt;3,"Group I",T253&lt;5,"Group II",T253&lt;10,"Group III",T253&lt;20,"Group IV",T253&lt;50,"Group V",T253&lt;100,"Group VI",T253&lt;200,"Group VII",T253&lt;500,"Group VIII",T253&lt;1000,"Group IX",TRUE,"Group X")</f>
        <v>Group III</v>
      </c>
      <c r="V253" s="43">
        <f t="shared" si="43"/>
        <v>0.77757174384682493</v>
      </c>
      <c r="W253" s="43">
        <f t="shared" si="44"/>
        <v>0.78684900000000002</v>
      </c>
      <c r="X253" s="43">
        <f t="shared" si="48"/>
        <v>-0.10410860278549963</v>
      </c>
      <c r="Y253" s="43">
        <f t="shared" si="45"/>
        <v>1.418852823477101</v>
      </c>
      <c r="Z253" s="43">
        <f t="shared" si="49"/>
        <v>0.15193734875787826</v>
      </c>
      <c r="AA253" s="43">
        <f t="shared" si="50"/>
        <v>0.33723167175099789</v>
      </c>
      <c r="AB253" s="43">
        <f t="shared" si="51"/>
        <v>0.31947628268632444</v>
      </c>
    </row>
    <row r="254" spans="1:28">
      <c r="A254" s="48" t="s">
        <v>49</v>
      </c>
      <c r="B254" s="50">
        <v>200</v>
      </c>
      <c r="C254" s="50">
        <v>800</v>
      </c>
      <c r="D254" s="50">
        <v>8.9</v>
      </c>
      <c r="E254" s="50">
        <v>274.8875277318246</v>
      </c>
      <c r="F254" s="50">
        <v>6397.0739478332025</v>
      </c>
      <c r="G254" s="57" t="s">
        <v>91</v>
      </c>
      <c r="H254" s="50">
        <v>0.42099999999999999</v>
      </c>
      <c r="I254" s="50">
        <v>100</v>
      </c>
      <c r="J254" s="50">
        <v>1495</v>
      </c>
      <c r="K254" s="50">
        <v>2927</v>
      </c>
      <c r="L254" s="50">
        <v>0.65</v>
      </c>
      <c r="M254" s="50">
        <v>91.29</v>
      </c>
      <c r="N254" s="51">
        <v>54.35</v>
      </c>
      <c r="O254" s="43">
        <f t="shared" si="47"/>
        <v>0.35</v>
      </c>
      <c r="P254" s="43">
        <f t="shared" si="39"/>
        <v>893.75752773182467</v>
      </c>
      <c r="Q254" s="43">
        <f t="shared" si="40"/>
        <v>2.6688729349595664E-5</v>
      </c>
      <c r="R254" s="43">
        <v>35</v>
      </c>
      <c r="S254" s="43">
        <f t="shared" si="41"/>
        <v>0.25</v>
      </c>
      <c r="T254" s="43">
        <f t="shared" si="42"/>
        <v>5.1892234924669518</v>
      </c>
      <c r="U254" s="43" t="str" cm="1">
        <f t="array" ref="U254">_xlfn.IFS(T254&lt;3,"Group I",T254&lt;5,"Group II",T254&lt;10,"Group III",T254&lt;20,"Group IV",T254&lt;50,"Group V",T254&lt;100,"Group VI",T254&lt;200,"Group VII",T254&lt;500,"Group VIII",T254&lt;1000,"Group IX",TRUE,"Group X")</f>
        <v>Group III</v>
      </c>
      <c r="V254" s="43">
        <f t="shared" si="43"/>
        <v>0.71510237554267497</v>
      </c>
      <c r="W254" s="43">
        <f t="shared" si="44"/>
        <v>1.049132</v>
      </c>
      <c r="X254" s="43">
        <f t="shared" si="48"/>
        <v>2.0830133822800294E-2</v>
      </c>
      <c r="Y254" s="43">
        <f t="shared" si="45"/>
        <v>0.59535546062000222</v>
      </c>
      <c r="Z254" s="43">
        <f t="shared" si="49"/>
        <v>-0.22522365865551616</v>
      </c>
      <c r="AA254" s="43">
        <f t="shared" si="50"/>
        <v>0.29585402503148978</v>
      </c>
      <c r="AB254" s="43">
        <f t="shared" si="51"/>
        <v>0.30607580308580468</v>
      </c>
    </row>
    <row r="255" spans="1:28">
      <c r="A255" s="48" t="s">
        <v>49</v>
      </c>
      <c r="B255" s="50">
        <v>200</v>
      </c>
      <c r="C255" s="50">
        <v>1200</v>
      </c>
      <c r="D255" s="50">
        <v>8.9</v>
      </c>
      <c r="E255" s="50">
        <v>274.8875277318246</v>
      </c>
      <c r="F255" s="50">
        <v>6397.0739478332025</v>
      </c>
      <c r="G255" s="57" t="s">
        <v>91</v>
      </c>
      <c r="H255" s="50">
        <v>0.42099999999999999</v>
      </c>
      <c r="I255" s="50">
        <v>100</v>
      </c>
      <c r="J255" s="50">
        <v>1495</v>
      </c>
      <c r="K255" s="50">
        <v>2927</v>
      </c>
      <c r="L255" s="50">
        <v>0.65</v>
      </c>
      <c r="M255" s="50">
        <v>99.77</v>
      </c>
      <c r="N255" s="51">
        <v>37.83</v>
      </c>
      <c r="O255" s="43">
        <f t="shared" si="47"/>
        <v>0.35</v>
      </c>
      <c r="P255" s="43">
        <f t="shared" si="39"/>
        <v>893.75752773182467</v>
      </c>
      <c r="Q255" s="43">
        <f t="shared" si="40"/>
        <v>2.6688729349595664E-5</v>
      </c>
      <c r="R255" s="43">
        <v>35</v>
      </c>
      <c r="S255" s="43">
        <f t="shared" si="41"/>
        <v>0.16666666666666666</v>
      </c>
      <c r="T255" s="43">
        <f t="shared" si="42"/>
        <v>4.2369832392690991</v>
      </c>
      <c r="U255" s="43" t="str" cm="1">
        <f t="array" ref="U255">_xlfn.IFS(T255&lt;3,"Group I",T255&lt;5,"Group II",T255&lt;10,"Group III",T255&lt;20,"Group IV",T255&lt;50,"Group V",T255&lt;100,"Group VI",T255&lt;200,"Group VII",T255&lt;500,"Group VIII",T255&lt;1000,"Group IX",TRUE,"Group X")</f>
        <v>Group II</v>
      </c>
      <c r="V255" s="43">
        <f t="shared" si="43"/>
        <v>0.6270567460148343</v>
      </c>
      <c r="W255" s="43">
        <f t="shared" si="44"/>
        <v>1.573698</v>
      </c>
      <c r="X255" s="43">
        <f t="shared" si="48"/>
        <v>0.19692139287848157</v>
      </c>
      <c r="Y255" s="43">
        <f t="shared" si="45"/>
        <v>0.37917209582038691</v>
      </c>
      <c r="Z255" s="43">
        <f t="shared" si="49"/>
        <v>-0.42116363092557624</v>
      </c>
      <c r="AA255" s="43">
        <f t="shared" si="50"/>
        <v>0.24600881924064344</v>
      </c>
      <c r="AB255" s="43">
        <f t="shared" si="51"/>
        <v>0.28813777925330464</v>
      </c>
    </row>
    <row r="256" spans="1:28">
      <c r="A256" s="48" t="s">
        <v>49</v>
      </c>
      <c r="B256" s="50">
        <v>200</v>
      </c>
      <c r="C256" s="50">
        <v>1600</v>
      </c>
      <c r="D256" s="50">
        <v>8.9</v>
      </c>
      <c r="E256" s="50">
        <v>274.8875277318246</v>
      </c>
      <c r="F256" s="50">
        <v>6397.0739478332025</v>
      </c>
      <c r="G256" s="57" t="s">
        <v>91</v>
      </c>
      <c r="H256" s="50">
        <v>0.42099999999999999</v>
      </c>
      <c r="I256" s="50">
        <v>100</v>
      </c>
      <c r="J256" s="50">
        <v>1495</v>
      </c>
      <c r="K256" s="50">
        <v>2927</v>
      </c>
      <c r="L256" s="50">
        <v>0.65</v>
      </c>
      <c r="M256" s="50">
        <v>87</v>
      </c>
      <c r="N256" s="51">
        <v>13.57</v>
      </c>
      <c r="O256" s="43">
        <f t="shared" si="47"/>
        <v>0.35</v>
      </c>
      <c r="P256" s="43">
        <f t="shared" si="39"/>
        <v>893.75752773182467</v>
      </c>
      <c r="Q256" s="43">
        <f t="shared" si="40"/>
        <v>2.6688729349595664E-5</v>
      </c>
      <c r="R256" s="43">
        <v>35</v>
      </c>
      <c r="S256" s="43">
        <f t="shared" si="41"/>
        <v>0.125</v>
      </c>
      <c r="T256" s="43">
        <f t="shared" si="42"/>
        <v>3.6693351206159202</v>
      </c>
      <c r="U256" s="43" t="str" cm="1">
        <f t="array" ref="U256">_xlfn.IFS(T256&lt;3,"Group I",T256&lt;5,"Group II",T256&lt;10,"Group III",T256&lt;20,"Group IV",T256&lt;50,"Group V",T256&lt;100,"Group VI",T256&lt;200,"Group VII",T256&lt;500,"Group VIII",T256&lt;1000,"Group IX",TRUE,"Group X")</f>
        <v>Group II</v>
      </c>
      <c r="V256" s="43">
        <f t="shared" si="43"/>
        <v>0.56458737771068424</v>
      </c>
      <c r="W256" s="43">
        <f t="shared" si="44"/>
        <v>2.0982639999999999</v>
      </c>
      <c r="X256" s="43">
        <f t="shared" si="48"/>
        <v>0.3218601294867815</v>
      </c>
      <c r="Y256" s="43">
        <f t="shared" si="45"/>
        <v>0.15597701149425289</v>
      </c>
      <c r="Z256" s="43">
        <f t="shared" si="49"/>
        <v>-0.80693940495888139</v>
      </c>
      <c r="AA256" s="43">
        <f t="shared" si="50"/>
        <v>0.21582403274188666</v>
      </c>
      <c r="AB256" s="43">
        <f t="shared" si="51"/>
        <v>0.27605179778214156</v>
      </c>
    </row>
    <row r="257" spans="1:28">
      <c r="A257" s="48" t="s">
        <v>49</v>
      </c>
      <c r="B257" s="50">
        <v>200</v>
      </c>
      <c r="C257" s="50">
        <v>2000</v>
      </c>
      <c r="D257" s="50">
        <v>8.9</v>
      </c>
      <c r="E257" s="50">
        <v>274.8875277318246</v>
      </c>
      <c r="F257" s="50">
        <v>6397.0739478332025</v>
      </c>
      <c r="G257" s="57" t="s">
        <v>91</v>
      </c>
      <c r="H257" s="50">
        <v>0.42099999999999999</v>
      </c>
      <c r="I257" s="50">
        <v>100</v>
      </c>
      <c r="J257" s="50">
        <v>1495</v>
      </c>
      <c r="K257" s="50">
        <v>2927</v>
      </c>
      <c r="L257" s="50">
        <v>0.65</v>
      </c>
      <c r="M257" s="50">
        <v>81.06</v>
      </c>
      <c r="N257" s="51">
        <v>10.07</v>
      </c>
      <c r="O257" s="43">
        <f t="shared" si="47"/>
        <v>0.35</v>
      </c>
      <c r="P257" s="43">
        <f t="shared" si="39"/>
        <v>893.75752773182467</v>
      </c>
      <c r="Q257" s="43">
        <f t="shared" si="40"/>
        <v>2.6688729349595664E-5</v>
      </c>
      <c r="R257" s="43">
        <v>35</v>
      </c>
      <c r="S257" s="43">
        <f t="shared" si="41"/>
        <v>0.1</v>
      </c>
      <c r="T257" s="43">
        <f t="shared" si="42"/>
        <v>3.2819531047698356</v>
      </c>
      <c r="U257" s="43" t="str" cm="1">
        <f t="array" ref="U257">_xlfn.IFS(T257&lt;3,"Group I",T257&lt;5,"Group II",T257&lt;10,"Group III",T257&lt;20,"Group IV",T257&lt;50,"Group V",T257&lt;100,"Group VI",T257&lt;200,"Group VII",T257&lt;500,"Group VIII",T257&lt;1000,"Group IX",TRUE,"Group X")</f>
        <v>Group II</v>
      </c>
      <c r="V257" s="43">
        <f t="shared" si="43"/>
        <v>0.51613237120665612</v>
      </c>
      <c r="W257" s="43">
        <f t="shared" si="44"/>
        <v>2.62283</v>
      </c>
      <c r="X257" s="43">
        <f t="shared" si="48"/>
        <v>0.4187701424948379</v>
      </c>
      <c r="Y257" s="43">
        <f t="shared" si="45"/>
        <v>0.12422896619787811</v>
      </c>
      <c r="Z257" s="43">
        <f t="shared" si="49"/>
        <v>-0.90577712885205619</v>
      </c>
      <c r="AA257" s="43">
        <f t="shared" si="50"/>
        <v>0.19498573504631095</v>
      </c>
      <c r="AB257" s="43">
        <f t="shared" si="51"/>
        <v>0.26702740384689155</v>
      </c>
    </row>
    <row r="258" spans="1:28">
      <c r="A258" s="48" t="s">
        <v>49</v>
      </c>
      <c r="B258" s="50">
        <v>200</v>
      </c>
      <c r="C258" s="50">
        <v>2400</v>
      </c>
      <c r="D258" s="50">
        <v>8.9</v>
      </c>
      <c r="E258" s="50">
        <v>274.8875277318246</v>
      </c>
      <c r="F258" s="50">
        <v>6397.0739478332025</v>
      </c>
      <c r="G258" s="57" t="s">
        <v>91</v>
      </c>
      <c r="H258" s="50">
        <v>0.42099999999999999</v>
      </c>
      <c r="I258" s="50">
        <v>100</v>
      </c>
      <c r="J258" s="50">
        <v>1495</v>
      </c>
      <c r="K258" s="50">
        <v>2927</v>
      </c>
      <c r="L258" s="50">
        <v>0.65</v>
      </c>
      <c r="M258" s="50">
        <v>76</v>
      </c>
      <c r="N258" s="51">
        <v>6.99</v>
      </c>
      <c r="O258" s="43">
        <f t="shared" si="47"/>
        <v>0.35</v>
      </c>
      <c r="P258" s="43">
        <f t="shared" si="39"/>
        <v>893.75752773182467</v>
      </c>
      <c r="Q258" s="43">
        <f t="shared" si="40"/>
        <v>2.6688729349595664E-5</v>
      </c>
      <c r="R258" s="43">
        <v>35</v>
      </c>
      <c r="S258" s="43">
        <f t="shared" si="41"/>
        <v>8.3333333333333329E-2</v>
      </c>
      <c r="T258" s="43">
        <f t="shared" si="42"/>
        <v>2.9959995802609249</v>
      </c>
      <c r="U258" s="43" t="str" cm="1">
        <f t="array" ref="U258">_xlfn.IFS(T258&lt;3,"Group I",T258&lt;5,"Group II",T258&lt;10,"Group III",T258&lt;20,"Group IV",T258&lt;50,"Group V",T258&lt;100,"Group VI",T258&lt;200,"Group VII",T258&lt;500,"Group VIII",T258&lt;1000,"Group IX",TRUE,"Group X")</f>
        <v>Group I</v>
      </c>
      <c r="V258" s="43">
        <f t="shared" si="43"/>
        <v>0.47654174818284378</v>
      </c>
      <c r="W258" s="43">
        <f t="shared" si="44"/>
        <v>3.1473960000000001</v>
      </c>
      <c r="X258" s="43">
        <f t="shared" si="48"/>
        <v>0.49795138854246274</v>
      </c>
      <c r="Y258" s="43">
        <f t="shared" si="45"/>
        <v>9.1973684210526319E-2</v>
      </c>
      <c r="Z258" s="43">
        <f t="shared" si="49"/>
        <v>-1.0363364165351099</v>
      </c>
      <c r="AA258" s="43">
        <f t="shared" si="50"/>
        <v>0.17946220421687462</v>
      </c>
      <c r="AB258" s="43">
        <f t="shared" si="51"/>
        <v>0.25987337505908709</v>
      </c>
    </row>
    <row r="259" spans="1:28">
      <c r="A259" s="48" t="s">
        <v>49</v>
      </c>
      <c r="B259" s="50">
        <v>350</v>
      </c>
      <c r="C259" s="50">
        <v>400</v>
      </c>
      <c r="D259" s="50">
        <v>8.9</v>
      </c>
      <c r="E259" s="50">
        <v>274.8875277318246</v>
      </c>
      <c r="F259" s="50">
        <v>6397.0739478332025</v>
      </c>
      <c r="G259" s="57" t="s">
        <v>91</v>
      </c>
      <c r="H259" s="50">
        <v>0.42099999999999999</v>
      </c>
      <c r="I259" s="50">
        <v>100</v>
      </c>
      <c r="J259" s="50">
        <v>1495</v>
      </c>
      <c r="K259" s="50">
        <v>2927</v>
      </c>
      <c r="L259" s="50">
        <v>0.65</v>
      </c>
      <c r="M259" s="50">
        <v>211.26</v>
      </c>
      <c r="N259" s="51">
        <v>99.85</v>
      </c>
      <c r="O259" s="43">
        <f t="shared" si="47"/>
        <v>0.35</v>
      </c>
      <c r="P259" s="43">
        <f t="shared" si="39"/>
        <v>893.75752773182467</v>
      </c>
      <c r="Q259" s="43">
        <f t="shared" si="40"/>
        <v>2.6688729349595664E-5</v>
      </c>
      <c r="R259" s="43">
        <v>35</v>
      </c>
      <c r="S259" s="43">
        <f t="shared" si="41"/>
        <v>0.875</v>
      </c>
      <c r="T259" s="43">
        <f t="shared" si="42"/>
        <v>12.842672922155719</v>
      </c>
      <c r="U259" s="43" t="str" cm="1">
        <f t="array" ref="U259">_xlfn.IFS(T259&lt;3,"Group I",T259&lt;5,"Group II",T259&lt;10,"Group III",T259&lt;20,"Group IV",T259&lt;50,"Group V",T259&lt;100,"Group VI",T259&lt;200,"Group VII",T259&lt;500,"Group VIII",T259&lt;1000,"Group IX",TRUE,"Group X")</f>
        <v>Group IV</v>
      </c>
      <c r="V259" s="43">
        <f t="shared" si="43"/>
        <v>1.1086554220609599</v>
      </c>
      <c r="W259" s="43">
        <f t="shared" si="44"/>
        <v>0.52456599999999998</v>
      </c>
      <c r="X259" s="43">
        <f t="shared" si="48"/>
        <v>-0.2801998618411809</v>
      </c>
      <c r="Y259" s="43">
        <f t="shared" si="45"/>
        <v>0.47264034838587521</v>
      </c>
      <c r="Z259" s="43">
        <f t="shared" si="49"/>
        <v>-0.32546920624710651</v>
      </c>
      <c r="AA259" s="43">
        <f t="shared" si="50"/>
        <v>0.70973007628869611</v>
      </c>
      <c r="AB259" s="43">
        <f t="shared" si="51"/>
        <v>0.40092990420567587</v>
      </c>
    </row>
    <row r="260" spans="1:28">
      <c r="A260" s="48" t="s">
        <v>49</v>
      </c>
      <c r="B260" s="50">
        <v>350</v>
      </c>
      <c r="C260" s="50">
        <v>600</v>
      </c>
      <c r="D260" s="50">
        <v>8.9</v>
      </c>
      <c r="E260" s="50">
        <v>274.8875277318246</v>
      </c>
      <c r="F260" s="50">
        <v>6397.0739478332025</v>
      </c>
      <c r="G260" s="57" t="s">
        <v>91</v>
      </c>
      <c r="H260" s="50">
        <v>0.42099999999999999</v>
      </c>
      <c r="I260" s="50">
        <v>100</v>
      </c>
      <c r="J260" s="50">
        <v>1495</v>
      </c>
      <c r="K260" s="50">
        <v>2927</v>
      </c>
      <c r="L260" s="50">
        <v>0.65</v>
      </c>
      <c r="M260" s="50">
        <v>163.06</v>
      </c>
      <c r="N260" s="51">
        <v>87.29</v>
      </c>
      <c r="O260" s="43">
        <f t="shared" si="47"/>
        <v>0.35</v>
      </c>
      <c r="P260" s="43">
        <f t="shared" ref="P260:P323" si="52">H260*(J260-25)+E260</f>
        <v>893.75752773182467</v>
      </c>
      <c r="Q260" s="43">
        <f t="shared" ref="Q260:Q323" si="53">I260/(D260*H260*10^6)</f>
        <v>2.6688729349595664E-5</v>
      </c>
      <c r="R260" s="43">
        <v>35</v>
      </c>
      <c r="S260" s="43">
        <f t="shared" ref="S260:S323" si="54">B260/C260</f>
        <v>0.58333333333333337</v>
      </c>
      <c r="T260" s="43">
        <f t="shared" ref="T260:T323" si="55">(O260*B260)/(D260*P260*1000000*SQRT(PI()*(R260*0.000001)^3*Q260*(C260/1000)))</f>
        <v>10.485998530913236</v>
      </c>
      <c r="U260" s="43" t="str" cm="1">
        <f t="array" ref="U260">_xlfn.IFS(T260&lt;3,"Group I",T260&lt;5,"Group II",T260&lt;10,"Group III",T260&lt;20,"Group IV",T260&lt;50,"Group V",T260&lt;100,"Group VI",T260&lt;200,"Group VII",T260&lt;500,"Group VIII",T260&lt;1000,"Group IX",TRUE,"Group X")</f>
        <v>Group IV</v>
      </c>
      <c r="V260" s="43">
        <f t="shared" ref="V260:V323" si="56">LOG(T260)</f>
        <v>1.0206097925331192</v>
      </c>
      <c r="W260" s="43">
        <f t="shared" ref="W260:W323" si="57">(C260/1000)*(R260/1000000)/Q260</f>
        <v>0.78684900000000002</v>
      </c>
      <c r="X260" s="43">
        <f t="shared" si="48"/>
        <v>-0.10410860278549963</v>
      </c>
      <c r="Y260" s="43">
        <f t="shared" ref="Y260:Y323" si="58">N260/M260</f>
        <v>0.53532442045872686</v>
      </c>
      <c r="Z260" s="43">
        <f t="shared" si="49"/>
        <v>-0.27138294449521227</v>
      </c>
      <c r="AA260" s="43">
        <f t="shared" si="50"/>
        <v>0.59015542556424627</v>
      </c>
      <c r="AB260" s="43">
        <f t="shared" si="51"/>
        <v>0.37743281588867744</v>
      </c>
    </row>
    <row r="261" spans="1:28">
      <c r="A261" s="48" t="s">
        <v>49</v>
      </c>
      <c r="B261" s="50">
        <v>350</v>
      </c>
      <c r="C261" s="50">
        <v>800</v>
      </c>
      <c r="D261" s="50">
        <v>8.9</v>
      </c>
      <c r="E261" s="50">
        <v>274.8875277318246</v>
      </c>
      <c r="F261" s="50">
        <v>6397.0739478332025</v>
      </c>
      <c r="G261" s="57" t="s">
        <v>91</v>
      </c>
      <c r="H261" s="50">
        <v>0.42099999999999999</v>
      </c>
      <c r="I261" s="50">
        <v>100</v>
      </c>
      <c r="J261" s="50">
        <v>1495</v>
      </c>
      <c r="K261" s="50">
        <v>2927</v>
      </c>
      <c r="L261" s="50">
        <v>0.65</v>
      </c>
      <c r="M261" s="50">
        <v>144.34</v>
      </c>
      <c r="N261" s="51">
        <v>23.52</v>
      </c>
      <c r="O261" s="43">
        <f t="shared" si="47"/>
        <v>0.35</v>
      </c>
      <c r="P261" s="43">
        <f t="shared" si="52"/>
        <v>893.75752773182467</v>
      </c>
      <c r="Q261" s="43">
        <f t="shared" si="53"/>
        <v>2.6688729349595664E-5</v>
      </c>
      <c r="R261" s="43">
        <v>35</v>
      </c>
      <c r="S261" s="43">
        <f t="shared" si="54"/>
        <v>0.4375</v>
      </c>
      <c r="T261" s="43">
        <f t="shared" si="55"/>
        <v>9.0811411118171641</v>
      </c>
      <c r="U261" s="43" t="str" cm="1">
        <f t="array" ref="U261">_xlfn.IFS(T261&lt;3,"Group I",T261&lt;5,"Group II",T261&lt;10,"Group III",T261&lt;20,"Group IV",T261&lt;50,"Group V",T261&lt;100,"Group VI",T261&lt;200,"Group VII",T261&lt;500,"Group VIII",T261&lt;1000,"Group IX",TRUE,"Group X")</f>
        <v>Group III</v>
      </c>
      <c r="V261" s="43">
        <f t="shared" si="56"/>
        <v>0.95814042422896928</v>
      </c>
      <c r="W261" s="43">
        <f t="shared" si="57"/>
        <v>1.049132</v>
      </c>
      <c r="X261" s="43">
        <f t="shared" si="48"/>
        <v>2.0830133822800294E-2</v>
      </c>
      <c r="Y261" s="43">
        <f t="shared" si="58"/>
        <v>0.1629485935984481</v>
      </c>
      <c r="Z261" s="43">
        <f t="shared" si="49"/>
        <v>-0.78794938355765376</v>
      </c>
      <c r="AA261" s="43">
        <f t="shared" si="50"/>
        <v>0.51774454380510704</v>
      </c>
      <c r="AB261" s="43">
        <f t="shared" si="51"/>
        <v>0.3616013409905896</v>
      </c>
    </row>
    <row r="262" spans="1:28">
      <c r="A262" s="48" t="s">
        <v>49</v>
      </c>
      <c r="B262" s="50">
        <v>350</v>
      </c>
      <c r="C262" s="50">
        <v>1000</v>
      </c>
      <c r="D262" s="50">
        <v>8.9</v>
      </c>
      <c r="E262" s="50">
        <v>274.8875277318246</v>
      </c>
      <c r="F262" s="50">
        <v>6397.0739478332025</v>
      </c>
      <c r="G262" s="57" t="s">
        <v>91</v>
      </c>
      <c r="H262" s="50">
        <v>0.42099999999999999</v>
      </c>
      <c r="I262" s="50">
        <v>100</v>
      </c>
      <c r="J262" s="50">
        <v>1495</v>
      </c>
      <c r="K262" s="50">
        <v>2927</v>
      </c>
      <c r="L262" s="50">
        <v>0.65</v>
      </c>
      <c r="M262" s="50">
        <v>129.43</v>
      </c>
      <c r="N262" s="51">
        <v>22.93</v>
      </c>
      <c r="O262" s="43">
        <f t="shared" si="47"/>
        <v>0.35</v>
      </c>
      <c r="P262" s="43">
        <f t="shared" si="52"/>
        <v>893.75752773182467</v>
      </c>
      <c r="Q262" s="43">
        <f t="shared" si="53"/>
        <v>2.6688729349595664E-5</v>
      </c>
      <c r="R262" s="43">
        <v>35</v>
      </c>
      <c r="S262" s="43">
        <f t="shared" si="54"/>
        <v>0.35</v>
      </c>
      <c r="T262" s="43">
        <f t="shared" si="55"/>
        <v>8.1224195357164799</v>
      </c>
      <c r="U262" s="43" t="str" cm="1">
        <f t="array" ref="U262">_xlfn.IFS(T262&lt;3,"Group I",T262&lt;5,"Group II",T262&lt;10,"Group III",T262&lt;20,"Group IV",T262&lt;50,"Group V",T262&lt;100,"Group VI",T262&lt;200,"Group VII",T262&lt;500,"Group VIII",T262&lt;1000,"Group IX",TRUE,"Group X")</f>
        <v>Group III</v>
      </c>
      <c r="V262" s="43">
        <f t="shared" si="56"/>
        <v>0.90968541772494116</v>
      </c>
      <c r="W262" s="43">
        <f t="shared" si="57"/>
        <v>1.311415</v>
      </c>
      <c r="X262" s="43">
        <f t="shared" si="48"/>
        <v>0.11774014683085672</v>
      </c>
      <c r="Y262" s="43">
        <f t="shared" si="58"/>
        <v>0.17716139998454761</v>
      </c>
      <c r="Z262" s="43">
        <f t="shared" si="49"/>
        <v>-0.75163089644349113</v>
      </c>
      <c r="AA262" s="43">
        <f t="shared" si="50"/>
        <v>0.46775513902471422</v>
      </c>
      <c r="AB262" s="43">
        <f t="shared" si="51"/>
        <v>0.34978025170650867</v>
      </c>
    </row>
    <row r="263" spans="1:28">
      <c r="A263" s="48" t="s">
        <v>49</v>
      </c>
      <c r="B263" s="50">
        <v>350</v>
      </c>
      <c r="C263" s="50">
        <v>1200</v>
      </c>
      <c r="D263" s="50">
        <v>8.9</v>
      </c>
      <c r="E263" s="50">
        <v>274.8875277318246</v>
      </c>
      <c r="F263" s="50">
        <v>6397.0739478332025</v>
      </c>
      <c r="G263" s="57" t="s">
        <v>91</v>
      </c>
      <c r="H263" s="50">
        <v>0.42099999999999999</v>
      </c>
      <c r="I263" s="50">
        <v>100</v>
      </c>
      <c r="J263" s="50">
        <v>1495</v>
      </c>
      <c r="K263" s="50">
        <v>2927</v>
      </c>
      <c r="L263" s="50">
        <v>0.65</v>
      </c>
      <c r="M263" s="50">
        <v>122.62</v>
      </c>
      <c r="N263" s="51">
        <v>19.36</v>
      </c>
      <c r="O263" s="43">
        <f t="shared" si="47"/>
        <v>0.35</v>
      </c>
      <c r="P263" s="43">
        <f t="shared" si="52"/>
        <v>893.75752773182467</v>
      </c>
      <c r="Q263" s="43">
        <f t="shared" si="53"/>
        <v>2.6688729349595664E-5</v>
      </c>
      <c r="R263" s="43">
        <v>35</v>
      </c>
      <c r="S263" s="43">
        <f t="shared" si="54"/>
        <v>0.29166666666666669</v>
      </c>
      <c r="T263" s="43">
        <f t="shared" si="55"/>
        <v>7.4147206687209231</v>
      </c>
      <c r="U263" s="43" t="str" cm="1">
        <f t="array" ref="U263">_xlfn.IFS(T263&lt;3,"Group I",T263&lt;5,"Group II",T263&lt;10,"Group III",T263&lt;20,"Group IV",T263&lt;50,"Group V",T263&lt;100,"Group VI",T263&lt;200,"Group VII",T263&lt;500,"Group VIII",T263&lt;1000,"Group IX",TRUE,"Group X")</f>
        <v>Group III</v>
      </c>
      <c r="V263" s="43">
        <f t="shared" si="56"/>
        <v>0.87009479470112872</v>
      </c>
      <c r="W263" s="43">
        <f t="shared" si="57"/>
        <v>1.573698</v>
      </c>
      <c r="X263" s="43">
        <f t="shared" si="48"/>
        <v>0.19692139287848157</v>
      </c>
      <c r="Y263" s="43">
        <f t="shared" si="58"/>
        <v>0.15788615234056433</v>
      </c>
      <c r="Z263" s="43">
        <f t="shared" si="49"/>
        <v>-0.80165595881884066</v>
      </c>
      <c r="AA263" s="43">
        <f t="shared" si="50"/>
        <v>0.43051543367112605</v>
      </c>
      <c r="AB263" s="43">
        <f t="shared" si="51"/>
        <v>0.34040916112155639</v>
      </c>
    </row>
    <row r="264" spans="1:28">
      <c r="A264" s="48" t="s">
        <v>49</v>
      </c>
      <c r="B264" s="50">
        <v>350</v>
      </c>
      <c r="C264" s="50">
        <v>1600</v>
      </c>
      <c r="D264" s="50">
        <v>8.9</v>
      </c>
      <c r="E264" s="50">
        <v>274.8875277318246</v>
      </c>
      <c r="F264" s="50">
        <v>6397.0739478332025</v>
      </c>
      <c r="G264" s="57" t="s">
        <v>91</v>
      </c>
      <c r="H264" s="50">
        <v>0.42099999999999999</v>
      </c>
      <c r="I264" s="50">
        <v>100</v>
      </c>
      <c r="J264" s="50">
        <v>1495</v>
      </c>
      <c r="K264" s="50">
        <v>2927</v>
      </c>
      <c r="L264" s="50">
        <v>0.65</v>
      </c>
      <c r="M264" s="50">
        <v>103.99</v>
      </c>
      <c r="N264" s="51">
        <v>19</v>
      </c>
      <c r="O264" s="43">
        <f t="shared" si="47"/>
        <v>0.35</v>
      </c>
      <c r="P264" s="43">
        <f t="shared" si="52"/>
        <v>893.75752773182467</v>
      </c>
      <c r="Q264" s="43">
        <f t="shared" si="53"/>
        <v>2.6688729349595664E-5</v>
      </c>
      <c r="R264" s="43">
        <v>35</v>
      </c>
      <c r="S264" s="43">
        <f t="shared" si="54"/>
        <v>0.21875</v>
      </c>
      <c r="T264" s="43">
        <f t="shared" si="55"/>
        <v>6.4213364610778596</v>
      </c>
      <c r="U264" s="43" t="str" cm="1">
        <f t="array" ref="U264">_xlfn.IFS(T264&lt;3,"Group I",T264&lt;5,"Group II",T264&lt;10,"Group III",T264&lt;20,"Group IV",T264&lt;50,"Group V",T264&lt;100,"Group VI",T264&lt;200,"Group VII",T264&lt;500,"Group VIII",T264&lt;1000,"Group IX",TRUE,"Group X")</f>
        <v>Group III</v>
      </c>
      <c r="V264" s="43">
        <f t="shared" si="56"/>
        <v>0.80762542639697865</v>
      </c>
      <c r="W264" s="43">
        <f t="shared" si="57"/>
        <v>2.0982639999999999</v>
      </c>
      <c r="X264" s="43">
        <f t="shared" si="48"/>
        <v>0.3218601294867815</v>
      </c>
      <c r="Y264" s="43">
        <f t="shared" si="58"/>
        <v>0.18270987594961055</v>
      </c>
      <c r="Z264" s="43">
        <f t="shared" si="49"/>
        <v>-0.73823797725337592</v>
      </c>
      <c r="AA264" s="43">
        <f t="shared" si="50"/>
        <v>0.37769205729830163</v>
      </c>
      <c r="AB264" s="43">
        <f t="shared" si="51"/>
        <v>0.32613064886054366</v>
      </c>
    </row>
    <row r="265" spans="1:28">
      <c r="A265" s="48" t="s">
        <v>49</v>
      </c>
      <c r="B265" s="50">
        <v>350</v>
      </c>
      <c r="C265" s="50">
        <v>2000</v>
      </c>
      <c r="D265" s="50">
        <v>8.9</v>
      </c>
      <c r="E265" s="50">
        <v>274.8875277318246</v>
      </c>
      <c r="F265" s="50">
        <v>6397.0739478332025</v>
      </c>
      <c r="G265" s="57" t="s">
        <v>91</v>
      </c>
      <c r="H265" s="50">
        <v>0.42099999999999999</v>
      </c>
      <c r="I265" s="50">
        <v>100</v>
      </c>
      <c r="J265" s="50">
        <v>1495</v>
      </c>
      <c r="K265" s="50">
        <v>2927</v>
      </c>
      <c r="L265" s="50">
        <v>0.65</v>
      </c>
      <c r="M265" s="50">
        <v>96.26</v>
      </c>
      <c r="N265" s="51">
        <v>14.49</v>
      </c>
      <c r="O265" s="43">
        <f t="shared" si="47"/>
        <v>0.35</v>
      </c>
      <c r="P265" s="43">
        <f t="shared" si="52"/>
        <v>893.75752773182467</v>
      </c>
      <c r="Q265" s="43">
        <f t="shared" si="53"/>
        <v>2.6688729349595664E-5</v>
      </c>
      <c r="R265" s="43">
        <v>35</v>
      </c>
      <c r="S265" s="43">
        <f t="shared" si="54"/>
        <v>0.17499999999999999</v>
      </c>
      <c r="T265" s="43">
        <f t="shared" si="55"/>
        <v>5.743417933347212</v>
      </c>
      <c r="U265" s="43" t="str" cm="1">
        <f t="array" ref="U265">_xlfn.IFS(T265&lt;3,"Group I",T265&lt;5,"Group II",T265&lt;10,"Group III",T265&lt;20,"Group IV",T265&lt;50,"Group V",T265&lt;100,"Group VI",T265&lt;200,"Group VII",T265&lt;500,"Group VIII",T265&lt;1000,"Group IX",TRUE,"Group X")</f>
        <v>Group III</v>
      </c>
      <c r="V265" s="43">
        <f t="shared" si="56"/>
        <v>0.75917041989295053</v>
      </c>
      <c r="W265" s="43">
        <f t="shared" si="57"/>
        <v>2.62283</v>
      </c>
      <c r="X265" s="43">
        <f t="shared" si="48"/>
        <v>0.4187701424948379</v>
      </c>
      <c r="Y265" s="43">
        <f t="shared" si="58"/>
        <v>0.15052981508414709</v>
      </c>
      <c r="Z265" s="43">
        <f t="shared" si="49"/>
        <v>-0.82237747187016519</v>
      </c>
      <c r="AA265" s="43">
        <f t="shared" si="50"/>
        <v>0.34122503633104412</v>
      </c>
      <c r="AB265" s="43">
        <f t="shared" si="51"/>
        <v>0.31546912999588866</v>
      </c>
    </row>
    <row r="266" spans="1:28">
      <c r="A266" s="48" t="s">
        <v>49</v>
      </c>
      <c r="B266" s="50">
        <v>350</v>
      </c>
      <c r="C266" s="50">
        <v>2400</v>
      </c>
      <c r="D266" s="50">
        <v>8.9</v>
      </c>
      <c r="E266" s="50">
        <v>274.8875277318246</v>
      </c>
      <c r="F266" s="50">
        <v>6397.0739478332025</v>
      </c>
      <c r="G266" s="57" t="s">
        <v>91</v>
      </c>
      <c r="H266" s="50">
        <v>0.42099999999999999</v>
      </c>
      <c r="I266" s="50">
        <v>100</v>
      </c>
      <c r="J266" s="50">
        <v>1495</v>
      </c>
      <c r="K266" s="50">
        <v>2927</v>
      </c>
      <c r="L266" s="50">
        <v>0.65</v>
      </c>
      <c r="M266" s="50">
        <v>92.41</v>
      </c>
      <c r="N266" s="51">
        <v>9.66</v>
      </c>
      <c r="O266" s="43">
        <f t="shared" si="47"/>
        <v>0.35</v>
      </c>
      <c r="P266" s="43">
        <f t="shared" si="52"/>
        <v>893.75752773182467</v>
      </c>
      <c r="Q266" s="43">
        <f t="shared" si="53"/>
        <v>2.6688729349595664E-5</v>
      </c>
      <c r="R266" s="43">
        <v>35</v>
      </c>
      <c r="S266" s="43">
        <f t="shared" si="54"/>
        <v>0.14583333333333334</v>
      </c>
      <c r="T266" s="43">
        <f t="shared" si="55"/>
        <v>5.2429992654566178</v>
      </c>
      <c r="U266" s="43" t="str" cm="1">
        <f t="array" ref="U266">_xlfn.IFS(T266&lt;3,"Group I",T266&lt;5,"Group II",T266&lt;10,"Group III",T266&lt;20,"Group IV",T266&lt;50,"Group V",T266&lt;100,"Group VI",T266&lt;200,"Group VII",T266&lt;500,"Group VIII",T266&lt;1000,"Group IX",TRUE,"Group X")</f>
        <v>Group III</v>
      </c>
      <c r="V266" s="43">
        <f t="shared" si="56"/>
        <v>0.7195797968691382</v>
      </c>
      <c r="W266" s="43">
        <f t="shared" si="57"/>
        <v>3.1473960000000001</v>
      </c>
      <c r="X266" s="43">
        <f t="shared" si="48"/>
        <v>0.49795138854246274</v>
      </c>
      <c r="Y266" s="43">
        <f t="shared" si="58"/>
        <v>0.10453414132669625</v>
      </c>
      <c r="Z266" s="43">
        <f t="shared" si="49"/>
        <v>-0.98074184382872753</v>
      </c>
      <c r="AA266" s="43">
        <f t="shared" si="50"/>
        <v>0.31405885737953049</v>
      </c>
      <c r="AB266" s="43">
        <f t="shared" si="51"/>
        <v>0.30701728121504868</v>
      </c>
    </row>
    <row r="267" spans="1:28">
      <c r="A267" s="48" t="s">
        <v>49</v>
      </c>
      <c r="B267" s="50">
        <v>100</v>
      </c>
      <c r="C267" s="50">
        <v>300</v>
      </c>
      <c r="D267" s="50">
        <v>8.9</v>
      </c>
      <c r="E267" s="50">
        <v>274.8875277318246</v>
      </c>
      <c r="F267" s="50">
        <v>6397.0739478332025</v>
      </c>
      <c r="G267" s="57" t="s">
        <v>91</v>
      </c>
      <c r="H267" s="50">
        <v>0.42099999999999999</v>
      </c>
      <c r="I267" s="50">
        <v>100</v>
      </c>
      <c r="J267" s="50">
        <v>1495</v>
      </c>
      <c r="K267" s="50">
        <v>2927</v>
      </c>
      <c r="L267" s="50">
        <v>0.65</v>
      </c>
      <c r="M267" s="50">
        <v>86.86</v>
      </c>
      <c r="N267" s="51">
        <v>60.44</v>
      </c>
      <c r="O267" s="43">
        <f t="shared" si="47"/>
        <v>0.35</v>
      </c>
      <c r="P267" s="43">
        <f t="shared" si="52"/>
        <v>893.75752773182467</v>
      </c>
      <c r="Q267" s="43">
        <f t="shared" si="53"/>
        <v>2.6688729349595664E-5</v>
      </c>
      <c r="R267" s="43">
        <v>35</v>
      </c>
      <c r="S267" s="43">
        <f t="shared" si="54"/>
        <v>0.33333333333333331</v>
      </c>
      <c r="T267" s="43">
        <f t="shared" si="55"/>
        <v>4.2369832392690991</v>
      </c>
      <c r="U267" s="43" t="str" cm="1">
        <f t="array" ref="U267">_xlfn.IFS(T267&lt;3,"Group I",T267&lt;5,"Group II",T267&lt;10,"Group III",T267&lt;20,"Group IV",T267&lt;50,"Group V",T267&lt;100,"Group VI",T267&lt;200,"Group VII",T267&lt;500,"Group VIII",T267&lt;1000,"Group IX",TRUE,"Group X")</f>
        <v>Group II</v>
      </c>
      <c r="V267" s="43">
        <f t="shared" si="56"/>
        <v>0.6270567460148343</v>
      </c>
      <c r="W267" s="43">
        <f t="shared" si="57"/>
        <v>0.39342450000000001</v>
      </c>
      <c r="X267" s="43">
        <f t="shared" si="48"/>
        <v>-0.4051385984494808</v>
      </c>
      <c r="Y267" s="43">
        <f t="shared" si="58"/>
        <v>0.69583237393506792</v>
      </c>
      <c r="Z267" s="43">
        <f t="shared" si="49"/>
        <v>-0.15749536935922254</v>
      </c>
      <c r="AA267" s="43">
        <f t="shared" si="50"/>
        <v>0.2311404948469101</v>
      </c>
      <c r="AB267" s="43">
        <f t="shared" si="51"/>
        <v>0.28813777925330464</v>
      </c>
    </row>
    <row r="268" spans="1:28">
      <c r="A268" s="48" t="s">
        <v>49</v>
      </c>
      <c r="B268" s="50">
        <v>150</v>
      </c>
      <c r="C268" s="50">
        <v>300</v>
      </c>
      <c r="D268" s="50">
        <v>8.9</v>
      </c>
      <c r="E268" s="50">
        <v>274.8875277318246</v>
      </c>
      <c r="F268" s="50">
        <v>6397.0739478332025</v>
      </c>
      <c r="G268" s="57" t="s">
        <v>91</v>
      </c>
      <c r="H268" s="50">
        <v>0.42099999999999999</v>
      </c>
      <c r="I268" s="50">
        <v>100</v>
      </c>
      <c r="J268" s="50">
        <v>1495</v>
      </c>
      <c r="K268" s="50">
        <v>2927</v>
      </c>
      <c r="L268" s="50">
        <v>0.65</v>
      </c>
      <c r="M268" s="50">
        <v>106.55</v>
      </c>
      <c r="N268" s="51">
        <v>48.93</v>
      </c>
      <c r="O268" s="43">
        <f t="shared" si="47"/>
        <v>0.35</v>
      </c>
      <c r="P268" s="43">
        <f t="shared" si="52"/>
        <v>893.75752773182467</v>
      </c>
      <c r="Q268" s="43">
        <f t="shared" si="53"/>
        <v>2.6688729349595664E-5</v>
      </c>
      <c r="R268" s="43">
        <v>35</v>
      </c>
      <c r="S268" s="43">
        <f t="shared" si="54"/>
        <v>0.5</v>
      </c>
      <c r="T268" s="43">
        <f t="shared" si="55"/>
        <v>6.3554748589036496</v>
      </c>
      <c r="U268" s="43" t="str" cm="1">
        <f t="array" ref="U268">_xlfn.IFS(T268&lt;3,"Group I",T268&lt;5,"Group II",T268&lt;10,"Group III",T268&lt;20,"Group IV",T268&lt;50,"Group V",T268&lt;100,"Group VI",T268&lt;200,"Group VII",T268&lt;500,"Group VIII",T268&lt;1000,"Group IX",TRUE,"Group X")</f>
        <v>Group III</v>
      </c>
      <c r="V268" s="43">
        <f t="shared" si="56"/>
        <v>0.80314800507051554</v>
      </c>
      <c r="W268" s="43">
        <f t="shared" si="57"/>
        <v>0.39342450000000001</v>
      </c>
      <c r="X268" s="43">
        <f t="shared" si="48"/>
        <v>-0.4051385984494808</v>
      </c>
      <c r="Y268" s="43">
        <f t="shared" si="58"/>
        <v>0.45922102299389961</v>
      </c>
      <c r="Z268" s="43">
        <f t="shared" si="49"/>
        <v>-0.33797823829028251</v>
      </c>
      <c r="AA268" s="43">
        <f t="shared" si="50"/>
        <v>0.34671074227036514</v>
      </c>
      <c r="AB268" s="43">
        <f t="shared" si="51"/>
        <v>0.32513055898950061</v>
      </c>
    </row>
    <row r="269" spans="1:28">
      <c r="A269" s="48" t="s">
        <v>49</v>
      </c>
      <c r="B269" s="50">
        <v>200</v>
      </c>
      <c r="C269" s="50">
        <v>300</v>
      </c>
      <c r="D269" s="50">
        <v>8.9</v>
      </c>
      <c r="E269" s="50">
        <v>274.8875277318246</v>
      </c>
      <c r="F269" s="50">
        <v>6397.0739478332025</v>
      </c>
      <c r="G269" s="57" t="s">
        <v>91</v>
      </c>
      <c r="H269" s="50">
        <v>0.42099999999999999</v>
      </c>
      <c r="I269" s="50">
        <v>100</v>
      </c>
      <c r="J269" s="50">
        <v>1495</v>
      </c>
      <c r="K269" s="50">
        <v>2927</v>
      </c>
      <c r="L269" s="50">
        <v>0.65</v>
      </c>
      <c r="M269" s="50">
        <v>109.85</v>
      </c>
      <c r="N269" s="51">
        <v>59.2</v>
      </c>
      <c r="O269" s="43">
        <f t="shared" si="47"/>
        <v>0.35</v>
      </c>
      <c r="P269" s="43">
        <f t="shared" si="52"/>
        <v>893.75752773182467</v>
      </c>
      <c r="Q269" s="43">
        <f t="shared" si="53"/>
        <v>2.6688729349595664E-5</v>
      </c>
      <c r="R269" s="43">
        <v>35</v>
      </c>
      <c r="S269" s="43">
        <f t="shared" si="54"/>
        <v>0.66666666666666663</v>
      </c>
      <c r="T269" s="43">
        <f t="shared" si="55"/>
        <v>8.4739664785381983</v>
      </c>
      <c r="U269" s="43" t="str" cm="1">
        <f t="array" ref="U269">_xlfn.IFS(T269&lt;3,"Group I",T269&lt;5,"Group II",T269&lt;10,"Group III",T269&lt;20,"Group IV",T269&lt;50,"Group V",T269&lt;100,"Group VI",T269&lt;200,"Group VII",T269&lt;500,"Group VIII",T269&lt;1000,"Group IX",TRUE,"Group X")</f>
        <v>Group III</v>
      </c>
      <c r="V269" s="43">
        <f t="shared" si="56"/>
        <v>0.92808674167881544</v>
      </c>
      <c r="W269" s="43">
        <f t="shared" si="57"/>
        <v>0.39342450000000001</v>
      </c>
      <c r="X269" s="43">
        <f t="shared" si="48"/>
        <v>-0.4051385984494808</v>
      </c>
      <c r="Y269" s="43">
        <f t="shared" si="58"/>
        <v>0.538916704597178</v>
      </c>
      <c r="Z269" s="43">
        <f t="shared" si="49"/>
        <v>-0.2684783545336093</v>
      </c>
      <c r="AA269" s="43">
        <f t="shared" si="50"/>
        <v>0.4622809896938202</v>
      </c>
      <c r="AB269" s="43">
        <f t="shared" si="51"/>
        <v>0.35422323120407567</v>
      </c>
    </row>
    <row r="270" spans="1:28">
      <c r="A270" s="48" t="s">
        <v>49</v>
      </c>
      <c r="B270" s="50">
        <v>250</v>
      </c>
      <c r="C270" s="50">
        <v>300</v>
      </c>
      <c r="D270" s="50">
        <v>8.9</v>
      </c>
      <c r="E270" s="50">
        <v>274.8875277318246</v>
      </c>
      <c r="F270" s="50">
        <v>6397.0739478332025</v>
      </c>
      <c r="G270" s="57" t="s">
        <v>91</v>
      </c>
      <c r="H270" s="50">
        <v>0.42099999999999999</v>
      </c>
      <c r="I270" s="50">
        <v>100</v>
      </c>
      <c r="J270" s="50">
        <v>1495</v>
      </c>
      <c r="K270" s="50">
        <v>2927</v>
      </c>
      <c r="L270" s="50">
        <v>0.65</v>
      </c>
      <c r="M270" s="50">
        <v>138.93</v>
      </c>
      <c r="N270" s="51">
        <v>87.53</v>
      </c>
      <c r="O270" s="43">
        <f t="shared" si="47"/>
        <v>0.35</v>
      </c>
      <c r="P270" s="43">
        <f t="shared" si="52"/>
        <v>893.75752773182467</v>
      </c>
      <c r="Q270" s="43">
        <f t="shared" si="53"/>
        <v>2.6688729349595664E-5</v>
      </c>
      <c r="R270" s="43">
        <v>35</v>
      </c>
      <c r="S270" s="43">
        <f t="shared" si="54"/>
        <v>0.83333333333333337</v>
      </c>
      <c r="T270" s="43">
        <f t="shared" si="55"/>
        <v>10.592458098172749</v>
      </c>
      <c r="U270" s="43" t="str" cm="1">
        <f t="array" ref="U270">_xlfn.IFS(T270&lt;3,"Group I",T270&lt;5,"Group II",T270&lt;10,"Group III",T270&lt;20,"Group IV",T270&lt;50,"Group V",T270&lt;100,"Group VI",T270&lt;200,"Group VII",T270&lt;500,"Group VIII",T270&lt;1000,"Group IX",TRUE,"Group X")</f>
        <v>Group IV</v>
      </c>
      <c r="V270" s="43">
        <f t="shared" si="56"/>
        <v>1.0249967546868719</v>
      </c>
      <c r="W270" s="43">
        <f t="shared" si="57"/>
        <v>0.39342450000000001</v>
      </c>
      <c r="X270" s="43">
        <f t="shared" si="48"/>
        <v>-0.4051385984494808</v>
      </c>
      <c r="Y270" s="43">
        <f t="shared" si="58"/>
        <v>0.63002951126466566</v>
      </c>
      <c r="Z270" s="43">
        <f t="shared" si="49"/>
        <v>-0.20063910724606532</v>
      </c>
      <c r="AA270" s="43">
        <f t="shared" si="50"/>
        <v>0.57785123711727526</v>
      </c>
      <c r="AB270" s="43">
        <f t="shared" si="51"/>
        <v>0.37857029476097381</v>
      </c>
    </row>
    <row r="271" spans="1:28">
      <c r="A271" s="48" t="s">
        <v>49</v>
      </c>
      <c r="B271" s="50">
        <v>300</v>
      </c>
      <c r="C271" s="50">
        <v>300</v>
      </c>
      <c r="D271" s="50">
        <v>8.9</v>
      </c>
      <c r="E271" s="50">
        <v>274.8875277318246</v>
      </c>
      <c r="F271" s="50">
        <v>6397.0739478332025</v>
      </c>
      <c r="G271" s="57" t="s">
        <v>91</v>
      </c>
      <c r="H271" s="50">
        <v>0.42099999999999999</v>
      </c>
      <c r="I271" s="50">
        <v>100</v>
      </c>
      <c r="J271" s="50">
        <v>1495</v>
      </c>
      <c r="K271" s="50">
        <v>2927</v>
      </c>
      <c r="L271" s="50">
        <v>0.65</v>
      </c>
      <c r="M271" s="50">
        <v>162.47</v>
      </c>
      <c r="N271" s="51">
        <v>117.81</v>
      </c>
      <c r="O271" s="43">
        <f t="shared" si="47"/>
        <v>0.35</v>
      </c>
      <c r="P271" s="43">
        <f t="shared" si="52"/>
        <v>893.75752773182467</v>
      </c>
      <c r="Q271" s="43">
        <f t="shared" si="53"/>
        <v>2.6688729349595664E-5</v>
      </c>
      <c r="R271" s="43">
        <v>35</v>
      </c>
      <c r="S271" s="43">
        <f t="shared" si="54"/>
        <v>1</v>
      </c>
      <c r="T271" s="43">
        <f t="shared" si="55"/>
        <v>12.710949717807299</v>
      </c>
      <c r="U271" s="43" t="str" cm="1">
        <f t="array" ref="U271">_xlfn.IFS(T271&lt;3,"Group I",T271&lt;5,"Group II",T271&lt;10,"Group III",T271&lt;20,"Group IV",T271&lt;50,"Group V",T271&lt;100,"Group VI",T271&lt;200,"Group VII",T271&lt;500,"Group VIII",T271&lt;1000,"Group IX",TRUE,"Group X")</f>
        <v>Group IV</v>
      </c>
      <c r="V271" s="43">
        <f t="shared" si="56"/>
        <v>1.1041780007344968</v>
      </c>
      <c r="W271" s="43">
        <f t="shared" si="57"/>
        <v>0.39342450000000001</v>
      </c>
      <c r="X271" s="43">
        <f t="shared" si="48"/>
        <v>-0.4051385984494808</v>
      </c>
      <c r="Y271" s="43">
        <f t="shared" si="58"/>
        <v>0.72511848341232232</v>
      </c>
      <c r="Z271" s="43">
        <f t="shared" si="49"/>
        <v>-0.13959102448009383</v>
      </c>
      <c r="AA271" s="43">
        <f t="shared" si="50"/>
        <v>0.69342148454073027</v>
      </c>
      <c r="AB271" s="43">
        <f t="shared" si="51"/>
        <v>0.3997004400703813</v>
      </c>
    </row>
    <row r="272" spans="1:28">
      <c r="A272" s="48" t="s">
        <v>49</v>
      </c>
      <c r="B272" s="50">
        <v>100</v>
      </c>
      <c r="C272" s="50">
        <v>600</v>
      </c>
      <c r="D272" s="50">
        <v>8.9</v>
      </c>
      <c r="E272" s="50">
        <v>274.8875277318246</v>
      </c>
      <c r="F272" s="50">
        <v>6397.0739478332025</v>
      </c>
      <c r="G272" s="57" t="s">
        <v>91</v>
      </c>
      <c r="H272" s="50">
        <v>0.42099999999999999</v>
      </c>
      <c r="I272" s="50">
        <v>100</v>
      </c>
      <c r="J272" s="50">
        <v>1495</v>
      </c>
      <c r="K272" s="50">
        <v>2927</v>
      </c>
      <c r="L272" s="50">
        <v>0.65</v>
      </c>
      <c r="M272" s="50">
        <v>72.97</v>
      </c>
      <c r="N272" s="51">
        <v>51.83</v>
      </c>
      <c r="O272" s="43">
        <f t="shared" si="47"/>
        <v>0.35</v>
      </c>
      <c r="P272" s="43">
        <f t="shared" si="52"/>
        <v>893.75752773182467</v>
      </c>
      <c r="Q272" s="43">
        <f t="shared" si="53"/>
        <v>2.6688729349595664E-5</v>
      </c>
      <c r="R272" s="43">
        <v>35</v>
      </c>
      <c r="S272" s="43">
        <f t="shared" si="54"/>
        <v>0.16666666666666666</v>
      </c>
      <c r="T272" s="43">
        <f t="shared" si="55"/>
        <v>2.9959995802609249</v>
      </c>
      <c r="U272" s="43" t="str" cm="1">
        <f t="array" ref="U272">_xlfn.IFS(T272&lt;3,"Group I",T272&lt;5,"Group II",T272&lt;10,"Group III",T272&lt;20,"Group IV",T272&lt;50,"Group V",T272&lt;100,"Group VI",T272&lt;200,"Group VII",T272&lt;500,"Group VIII",T272&lt;1000,"Group IX",TRUE,"Group X")</f>
        <v>Group I</v>
      </c>
      <c r="V272" s="43">
        <f t="shared" si="56"/>
        <v>0.47654174818284378</v>
      </c>
      <c r="W272" s="43">
        <f t="shared" si="57"/>
        <v>0.78684900000000002</v>
      </c>
      <c r="X272" s="43">
        <f t="shared" si="48"/>
        <v>-0.10410860278549963</v>
      </c>
      <c r="Y272" s="43">
        <f t="shared" si="58"/>
        <v>0.7102919007811429</v>
      </c>
      <c r="Z272" s="43">
        <f t="shared" si="49"/>
        <v>-0.14856313741313629</v>
      </c>
      <c r="AA272" s="43">
        <f t="shared" si="50"/>
        <v>0.16861583587549894</v>
      </c>
      <c r="AB272" s="43">
        <f t="shared" si="51"/>
        <v>0.25987337505908709</v>
      </c>
    </row>
    <row r="273" spans="1:28">
      <c r="A273" s="48" t="s">
        <v>49</v>
      </c>
      <c r="B273" s="50">
        <v>150</v>
      </c>
      <c r="C273" s="50">
        <v>600</v>
      </c>
      <c r="D273" s="50">
        <v>8.9</v>
      </c>
      <c r="E273" s="50">
        <v>274.8875277318246</v>
      </c>
      <c r="F273" s="50">
        <v>6397.0739478332025</v>
      </c>
      <c r="G273" s="57" t="s">
        <v>91</v>
      </c>
      <c r="H273" s="50">
        <v>0.42099999999999999</v>
      </c>
      <c r="I273" s="50">
        <v>100</v>
      </c>
      <c r="J273" s="50">
        <v>1495</v>
      </c>
      <c r="K273" s="50">
        <v>2927</v>
      </c>
      <c r="L273" s="50">
        <v>0.65</v>
      </c>
      <c r="M273" s="50">
        <v>90.55</v>
      </c>
      <c r="N273" s="51">
        <v>55.73</v>
      </c>
      <c r="O273" s="43">
        <f t="shared" si="47"/>
        <v>0.35</v>
      </c>
      <c r="P273" s="43">
        <f t="shared" si="52"/>
        <v>893.75752773182467</v>
      </c>
      <c r="Q273" s="43">
        <f t="shared" si="53"/>
        <v>2.6688729349595664E-5</v>
      </c>
      <c r="R273" s="43">
        <v>35</v>
      </c>
      <c r="S273" s="43">
        <f t="shared" si="54"/>
        <v>0.25</v>
      </c>
      <c r="T273" s="43">
        <f t="shared" si="55"/>
        <v>4.4939993703913874</v>
      </c>
      <c r="U273" s="43" t="str" cm="1">
        <f t="array" ref="U273">_xlfn.IFS(T273&lt;3,"Group I",T273&lt;5,"Group II",T273&lt;10,"Group III",T273&lt;20,"Group IV",T273&lt;50,"Group V",T273&lt;100,"Group VI",T273&lt;200,"Group VII",T273&lt;500,"Group VIII",T273&lt;1000,"Group IX",TRUE,"Group X")</f>
        <v>Group II</v>
      </c>
      <c r="V273" s="43">
        <f t="shared" si="56"/>
        <v>0.65263300723852502</v>
      </c>
      <c r="W273" s="43">
        <f t="shared" si="57"/>
        <v>0.78684900000000002</v>
      </c>
      <c r="X273" s="43">
        <f t="shared" si="48"/>
        <v>-0.10410860278549963</v>
      </c>
      <c r="Y273" s="43">
        <f t="shared" si="58"/>
        <v>0.61546107123136384</v>
      </c>
      <c r="Z273" s="43">
        <f t="shared" si="49"/>
        <v>-0.21079941159387705</v>
      </c>
      <c r="AA273" s="43">
        <f t="shared" si="50"/>
        <v>0.25292375381324844</v>
      </c>
      <c r="AB273" s="43">
        <f t="shared" si="51"/>
        <v>0.29323740857033098</v>
      </c>
    </row>
    <row r="274" spans="1:28">
      <c r="A274" s="48" t="s">
        <v>49</v>
      </c>
      <c r="B274" s="50">
        <v>200</v>
      </c>
      <c r="C274" s="50">
        <v>600</v>
      </c>
      <c r="D274" s="50">
        <v>8.9</v>
      </c>
      <c r="E274" s="50">
        <v>274.8875277318246</v>
      </c>
      <c r="F274" s="50">
        <v>6397.0739478332025</v>
      </c>
      <c r="G274" s="57" t="s">
        <v>91</v>
      </c>
      <c r="H274" s="50">
        <v>0.42099999999999999</v>
      </c>
      <c r="I274" s="50">
        <v>100</v>
      </c>
      <c r="J274" s="50">
        <v>1495</v>
      </c>
      <c r="K274" s="50">
        <v>2927</v>
      </c>
      <c r="L274" s="50">
        <v>0.65</v>
      </c>
      <c r="M274" s="50">
        <v>87.37</v>
      </c>
      <c r="N274" s="51">
        <v>51.21</v>
      </c>
      <c r="O274" s="43">
        <f t="shared" si="47"/>
        <v>0.35</v>
      </c>
      <c r="P274" s="43">
        <f t="shared" si="52"/>
        <v>893.75752773182467</v>
      </c>
      <c r="Q274" s="43">
        <f t="shared" si="53"/>
        <v>2.6688729349595664E-5</v>
      </c>
      <c r="R274" s="43">
        <v>35</v>
      </c>
      <c r="S274" s="43">
        <f t="shared" si="54"/>
        <v>0.33333333333333331</v>
      </c>
      <c r="T274" s="43">
        <f t="shared" si="55"/>
        <v>5.9919991605218499</v>
      </c>
      <c r="U274" s="43" t="str" cm="1">
        <f t="array" ref="U274">_xlfn.IFS(T274&lt;3,"Group I",T274&lt;5,"Group II",T274&lt;10,"Group III",T274&lt;20,"Group IV",T274&lt;50,"Group V",T274&lt;100,"Group VI",T274&lt;200,"Group VII",T274&lt;500,"Group VIII",T274&lt;1000,"Group IX",TRUE,"Group X")</f>
        <v>Group III</v>
      </c>
      <c r="V274" s="43">
        <f t="shared" si="56"/>
        <v>0.77757174384682493</v>
      </c>
      <c r="W274" s="43">
        <f t="shared" si="57"/>
        <v>0.78684900000000002</v>
      </c>
      <c r="X274" s="43">
        <f t="shared" si="48"/>
        <v>-0.10410860278549963</v>
      </c>
      <c r="Y274" s="43">
        <f t="shared" si="58"/>
        <v>0.58612796154286362</v>
      </c>
      <c r="Z274" s="43">
        <f t="shared" si="49"/>
        <v>-0.23200755987736513</v>
      </c>
      <c r="AA274" s="43">
        <f t="shared" si="50"/>
        <v>0.33723167175099789</v>
      </c>
      <c r="AB274" s="43">
        <f t="shared" si="51"/>
        <v>0.31947628268632444</v>
      </c>
    </row>
    <row r="275" spans="1:28">
      <c r="A275" s="48" t="s">
        <v>49</v>
      </c>
      <c r="B275" s="50">
        <v>250</v>
      </c>
      <c r="C275" s="50">
        <v>600</v>
      </c>
      <c r="D275" s="50">
        <v>8.9</v>
      </c>
      <c r="E275" s="50">
        <v>274.8875277318246</v>
      </c>
      <c r="F275" s="50">
        <v>6397.0739478332025</v>
      </c>
      <c r="G275" s="57" t="s">
        <v>91</v>
      </c>
      <c r="H275" s="50">
        <v>0.42099999999999999</v>
      </c>
      <c r="I275" s="50">
        <v>100</v>
      </c>
      <c r="J275" s="50">
        <v>1495</v>
      </c>
      <c r="K275" s="50">
        <v>2927</v>
      </c>
      <c r="L275" s="50">
        <v>0.65</v>
      </c>
      <c r="M275" s="50">
        <v>107.14</v>
      </c>
      <c r="N275" s="51">
        <v>85</v>
      </c>
      <c r="O275" s="43">
        <f t="shared" si="47"/>
        <v>0.35</v>
      </c>
      <c r="P275" s="43">
        <f t="shared" si="52"/>
        <v>893.75752773182467</v>
      </c>
      <c r="Q275" s="43">
        <f t="shared" si="53"/>
        <v>2.6688729349595664E-5</v>
      </c>
      <c r="R275" s="43">
        <v>35</v>
      </c>
      <c r="S275" s="43">
        <f t="shared" si="54"/>
        <v>0.41666666666666669</v>
      </c>
      <c r="T275" s="43">
        <f t="shared" si="55"/>
        <v>7.4899989506523124</v>
      </c>
      <c r="U275" s="43" t="str" cm="1">
        <f t="array" ref="U275">_xlfn.IFS(T275&lt;3,"Group I",T275&lt;5,"Group II",T275&lt;10,"Group III",T275&lt;20,"Group IV",T275&lt;50,"Group V",T275&lt;100,"Group VI",T275&lt;200,"Group VII",T275&lt;500,"Group VIII",T275&lt;1000,"Group IX",TRUE,"Group X")</f>
        <v>Group III</v>
      </c>
      <c r="V275" s="43">
        <f t="shared" si="56"/>
        <v>0.87448175685488139</v>
      </c>
      <c r="W275" s="43">
        <f t="shared" si="57"/>
        <v>0.78684900000000002</v>
      </c>
      <c r="X275" s="43">
        <f t="shared" si="48"/>
        <v>-0.10410860278549963</v>
      </c>
      <c r="Y275" s="43">
        <f t="shared" si="58"/>
        <v>0.79335448945305209</v>
      </c>
      <c r="Z275" s="43">
        <f t="shared" si="49"/>
        <v>-0.10053271632254783</v>
      </c>
      <c r="AA275" s="43">
        <f t="shared" si="50"/>
        <v>0.42153958968874738</v>
      </c>
      <c r="AB275" s="43">
        <f t="shared" si="51"/>
        <v>0.34143506086427017</v>
      </c>
    </row>
    <row r="276" spans="1:28">
      <c r="A276" s="48" t="s">
        <v>49</v>
      </c>
      <c r="B276" s="50">
        <v>300</v>
      </c>
      <c r="C276" s="50">
        <v>600</v>
      </c>
      <c r="D276" s="50">
        <v>8.9</v>
      </c>
      <c r="E276" s="50">
        <v>274.8875277318246</v>
      </c>
      <c r="F276" s="50">
        <v>6397.0739478332025</v>
      </c>
      <c r="G276" s="57" t="s">
        <v>91</v>
      </c>
      <c r="H276" s="50">
        <v>0.42099999999999999</v>
      </c>
      <c r="I276" s="50">
        <v>100</v>
      </c>
      <c r="J276" s="50">
        <v>1495</v>
      </c>
      <c r="K276" s="50">
        <v>2927</v>
      </c>
      <c r="L276" s="50">
        <v>0.65</v>
      </c>
      <c r="M276" s="50">
        <v>117</v>
      </c>
      <c r="N276" s="51">
        <v>206.56</v>
      </c>
      <c r="O276" s="43">
        <f t="shared" si="47"/>
        <v>0.35</v>
      </c>
      <c r="P276" s="43">
        <f t="shared" si="52"/>
        <v>893.75752773182467</v>
      </c>
      <c r="Q276" s="43">
        <f t="shared" si="53"/>
        <v>2.6688729349595664E-5</v>
      </c>
      <c r="R276" s="43">
        <v>35</v>
      </c>
      <c r="S276" s="43">
        <f t="shared" si="54"/>
        <v>0.5</v>
      </c>
      <c r="T276" s="43">
        <f t="shared" si="55"/>
        <v>8.9879987407827748</v>
      </c>
      <c r="U276" s="43" t="str" cm="1">
        <f t="array" ref="U276">_xlfn.IFS(T276&lt;3,"Group I",T276&lt;5,"Group II",T276&lt;10,"Group III",T276&lt;20,"Group IV",T276&lt;50,"Group V",T276&lt;100,"Group VI",T276&lt;200,"Group VII",T276&lt;500,"Group VIII",T276&lt;1000,"Group IX",TRUE,"Group X")</f>
        <v>Group III</v>
      </c>
      <c r="V276" s="43">
        <f t="shared" si="56"/>
        <v>0.95366300290250616</v>
      </c>
      <c r="W276" s="43">
        <f t="shared" si="57"/>
        <v>0.78684900000000002</v>
      </c>
      <c r="X276" s="43">
        <f t="shared" si="48"/>
        <v>-0.10410860278549963</v>
      </c>
      <c r="Y276" s="43">
        <f t="shared" si="58"/>
        <v>1.7654700854700855</v>
      </c>
      <c r="Z276" s="43">
        <f t="shared" si="49"/>
        <v>0.24686036317618346</v>
      </c>
      <c r="AA276" s="43">
        <f t="shared" si="50"/>
        <v>0.50584750762649688</v>
      </c>
      <c r="AB276" s="43">
        <f t="shared" si="51"/>
        <v>0.36049247912880578</v>
      </c>
    </row>
    <row r="277" spans="1:28">
      <c r="A277" s="48" t="s">
        <v>49</v>
      </c>
      <c r="B277" s="50">
        <v>100</v>
      </c>
      <c r="C277" s="50">
        <v>900</v>
      </c>
      <c r="D277" s="50">
        <v>8.9</v>
      </c>
      <c r="E277" s="50">
        <v>274.8875277318246</v>
      </c>
      <c r="F277" s="50">
        <v>6397.0739478332025</v>
      </c>
      <c r="G277" s="57" t="s">
        <v>91</v>
      </c>
      <c r="H277" s="50">
        <v>0.42099999999999999</v>
      </c>
      <c r="I277" s="50">
        <v>100</v>
      </c>
      <c r="J277" s="50">
        <v>1495</v>
      </c>
      <c r="K277" s="50">
        <v>2927</v>
      </c>
      <c r="L277" s="50">
        <v>0.65</v>
      </c>
      <c r="M277" s="50">
        <v>64.55</v>
      </c>
      <c r="N277" s="51">
        <v>20.25</v>
      </c>
      <c r="O277" s="43">
        <f t="shared" si="47"/>
        <v>0.35</v>
      </c>
      <c r="P277" s="43">
        <f t="shared" si="52"/>
        <v>893.75752773182467</v>
      </c>
      <c r="Q277" s="43">
        <f t="shared" si="53"/>
        <v>2.6688729349595664E-5</v>
      </c>
      <c r="R277" s="43">
        <v>35</v>
      </c>
      <c r="S277" s="43">
        <f t="shared" si="54"/>
        <v>0.1111111111111111</v>
      </c>
      <c r="T277" s="43">
        <f t="shared" si="55"/>
        <v>2.4462234137439474</v>
      </c>
      <c r="U277" s="43" t="str" cm="1">
        <f t="array" ref="U277">_xlfn.IFS(T277&lt;3,"Group I",T277&lt;5,"Group II",T277&lt;10,"Group III",T277&lt;20,"Group IV",T277&lt;50,"Group V",T277&lt;100,"Group VI",T277&lt;200,"Group VII",T277&lt;500,"Group VIII",T277&lt;1000,"Group IX",TRUE,"Group X")</f>
        <v>Group I</v>
      </c>
      <c r="V277" s="43">
        <f t="shared" si="56"/>
        <v>0.38849611865500311</v>
      </c>
      <c r="W277" s="43">
        <f t="shared" si="57"/>
        <v>1.1802735</v>
      </c>
      <c r="X277" s="43">
        <f t="shared" si="48"/>
        <v>7.1982656270181591E-2</v>
      </c>
      <c r="Y277" s="43">
        <f t="shared" si="58"/>
        <v>0.31371030209140205</v>
      </c>
      <c r="Z277" s="43">
        <f t="shared" si="49"/>
        <v>-0.50347121905175174</v>
      </c>
      <c r="AA277" s="43">
        <f t="shared" si="50"/>
        <v>0.14020759962481677</v>
      </c>
      <c r="AB277" s="43">
        <f t="shared" si="51"/>
        <v>0.24464311265923544</v>
      </c>
    </row>
    <row r="278" spans="1:28">
      <c r="A278" s="48" t="s">
        <v>49</v>
      </c>
      <c r="B278" s="50">
        <v>150</v>
      </c>
      <c r="C278" s="50">
        <v>900</v>
      </c>
      <c r="D278" s="50">
        <v>8.9</v>
      </c>
      <c r="E278" s="50">
        <v>274.8875277318246</v>
      </c>
      <c r="F278" s="50">
        <v>6397.0739478332025</v>
      </c>
      <c r="G278" s="57" t="s">
        <v>91</v>
      </c>
      <c r="H278" s="50">
        <v>0.42099999999999999</v>
      </c>
      <c r="I278" s="50">
        <v>100</v>
      </c>
      <c r="J278" s="50">
        <v>1495</v>
      </c>
      <c r="K278" s="50">
        <v>2927</v>
      </c>
      <c r="L278" s="50">
        <v>0.65</v>
      </c>
      <c r="M278" s="50">
        <v>70</v>
      </c>
      <c r="N278" s="51">
        <v>26.4</v>
      </c>
      <c r="O278" s="43">
        <f t="shared" si="47"/>
        <v>0.35</v>
      </c>
      <c r="P278" s="43">
        <f t="shared" si="52"/>
        <v>893.75752773182467</v>
      </c>
      <c r="Q278" s="43">
        <f t="shared" si="53"/>
        <v>2.6688729349595664E-5</v>
      </c>
      <c r="R278" s="43">
        <v>35</v>
      </c>
      <c r="S278" s="43">
        <f t="shared" si="54"/>
        <v>0.16666666666666666</v>
      </c>
      <c r="T278" s="43">
        <f t="shared" si="55"/>
        <v>3.6693351206159206</v>
      </c>
      <c r="U278" s="43" t="str" cm="1">
        <f t="array" ref="U278">_xlfn.IFS(T278&lt;3,"Group I",T278&lt;5,"Group II",T278&lt;10,"Group III",T278&lt;20,"Group IV",T278&lt;50,"Group V",T278&lt;100,"Group VI",T278&lt;200,"Group VII",T278&lt;500,"Group VIII",T278&lt;1000,"Group IX",TRUE,"Group X")</f>
        <v>Group II</v>
      </c>
      <c r="V278" s="43">
        <f t="shared" si="56"/>
        <v>0.56458737771068435</v>
      </c>
      <c r="W278" s="43">
        <f t="shared" si="57"/>
        <v>1.1802735</v>
      </c>
      <c r="X278" s="43">
        <f t="shared" si="48"/>
        <v>7.1982656270181591E-2</v>
      </c>
      <c r="Y278" s="43">
        <f t="shared" si="58"/>
        <v>0.37714285714285711</v>
      </c>
      <c r="Z278" s="43">
        <f t="shared" si="49"/>
        <v>-0.42349411314442581</v>
      </c>
      <c r="AA278" s="43">
        <f t="shared" si="50"/>
        <v>0.21031139943722513</v>
      </c>
      <c r="AB278" s="43">
        <f t="shared" si="51"/>
        <v>0.27605179778214156</v>
      </c>
    </row>
    <row r="279" spans="1:28">
      <c r="A279" s="48" t="s">
        <v>49</v>
      </c>
      <c r="B279" s="50">
        <v>200</v>
      </c>
      <c r="C279" s="50">
        <v>900</v>
      </c>
      <c r="D279" s="50">
        <v>8.9</v>
      </c>
      <c r="E279" s="50">
        <v>274.8875277318246</v>
      </c>
      <c r="F279" s="50">
        <v>6397.0739478332025</v>
      </c>
      <c r="G279" s="57" t="s">
        <v>91</v>
      </c>
      <c r="H279" s="50">
        <v>0.42099999999999999</v>
      </c>
      <c r="I279" s="50">
        <v>100</v>
      </c>
      <c r="J279" s="50">
        <v>1495</v>
      </c>
      <c r="K279" s="50">
        <v>2927</v>
      </c>
      <c r="L279" s="50">
        <v>0.65</v>
      </c>
      <c r="M279" s="50">
        <v>88.91</v>
      </c>
      <c r="N279" s="51">
        <v>30.75</v>
      </c>
      <c r="O279" s="43">
        <f t="shared" si="47"/>
        <v>0.35</v>
      </c>
      <c r="P279" s="43">
        <f t="shared" si="52"/>
        <v>893.75752773182467</v>
      </c>
      <c r="Q279" s="43">
        <f t="shared" si="53"/>
        <v>2.6688729349595664E-5</v>
      </c>
      <c r="R279" s="43">
        <v>35</v>
      </c>
      <c r="S279" s="43">
        <f t="shared" si="54"/>
        <v>0.22222222222222221</v>
      </c>
      <c r="T279" s="43">
        <f t="shared" si="55"/>
        <v>4.8924468274878947</v>
      </c>
      <c r="U279" s="43" t="str" cm="1">
        <f t="array" ref="U279">_xlfn.IFS(T279&lt;3,"Group I",T279&lt;5,"Group II",T279&lt;10,"Group III",T279&lt;20,"Group IV",T279&lt;50,"Group V",T279&lt;100,"Group VI",T279&lt;200,"Group VII",T279&lt;500,"Group VIII",T279&lt;1000,"Group IX",TRUE,"Group X")</f>
        <v>Group II</v>
      </c>
      <c r="V279" s="43">
        <f t="shared" si="56"/>
        <v>0.68952611431898436</v>
      </c>
      <c r="W279" s="43">
        <f t="shared" si="57"/>
        <v>1.1802735</v>
      </c>
      <c r="X279" s="43">
        <f t="shared" si="48"/>
        <v>7.1982656270181591E-2</v>
      </c>
      <c r="Y279" s="43">
        <f t="shared" si="58"/>
        <v>0.34585535935215389</v>
      </c>
      <c r="Z279" s="43">
        <f t="shared" si="49"/>
        <v>-0.46110549013411262</v>
      </c>
      <c r="AA279" s="43">
        <f t="shared" si="50"/>
        <v>0.28041519924963354</v>
      </c>
      <c r="AB279" s="43">
        <f t="shared" si="51"/>
        <v>0.30075290398415616</v>
      </c>
    </row>
    <row r="280" spans="1:28">
      <c r="A280" s="48" t="s">
        <v>49</v>
      </c>
      <c r="B280" s="50">
        <v>250</v>
      </c>
      <c r="C280" s="50">
        <v>900</v>
      </c>
      <c r="D280" s="50">
        <v>8.9</v>
      </c>
      <c r="E280" s="50">
        <v>274.8875277318246</v>
      </c>
      <c r="F280" s="50">
        <v>6397.0739478332025</v>
      </c>
      <c r="G280" s="57" t="s">
        <v>91</v>
      </c>
      <c r="H280" s="50">
        <v>0.42099999999999999</v>
      </c>
      <c r="I280" s="50">
        <v>100</v>
      </c>
      <c r="J280" s="50">
        <v>1495</v>
      </c>
      <c r="K280" s="50">
        <v>2927</v>
      </c>
      <c r="L280" s="50">
        <v>0.65</v>
      </c>
      <c r="M280" s="50">
        <v>102.27</v>
      </c>
      <c r="N280" s="51">
        <v>50.81</v>
      </c>
      <c r="O280" s="43">
        <f t="shared" si="47"/>
        <v>0.35</v>
      </c>
      <c r="P280" s="43">
        <f t="shared" si="52"/>
        <v>893.75752773182467</v>
      </c>
      <c r="Q280" s="43">
        <f t="shared" si="53"/>
        <v>2.6688729349595664E-5</v>
      </c>
      <c r="R280" s="43">
        <v>35</v>
      </c>
      <c r="S280" s="43">
        <f t="shared" si="54"/>
        <v>0.27777777777777779</v>
      </c>
      <c r="T280" s="43">
        <f t="shared" si="55"/>
        <v>6.1155585343598675</v>
      </c>
      <c r="U280" s="43" t="str" cm="1">
        <f t="array" ref="U280">_xlfn.IFS(T280&lt;3,"Group I",T280&lt;5,"Group II",T280&lt;10,"Group III",T280&lt;20,"Group IV",T280&lt;50,"Group V",T280&lt;100,"Group VI",T280&lt;200,"Group VII",T280&lt;500,"Group VIII",T280&lt;1000,"Group IX",TRUE,"Group X")</f>
        <v>Group III</v>
      </c>
      <c r="V280" s="43">
        <f t="shared" si="56"/>
        <v>0.78643612732704071</v>
      </c>
      <c r="W280" s="43">
        <f t="shared" si="57"/>
        <v>1.1802735</v>
      </c>
      <c r="X280" s="43">
        <f t="shared" si="48"/>
        <v>7.1982656270181591E-2</v>
      </c>
      <c r="Y280" s="43">
        <f t="shared" si="58"/>
        <v>0.49682213747922171</v>
      </c>
      <c r="Z280" s="43">
        <f t="shared" si="49"/>
        <v>-0.30379906103825788</v>
      </c>
      <c r="AA280" s="43">
        <f t="shared" si="50"/>
        <v>0.35051899906204181</v>
      </c>
      <c r="AB280" s="43">
        <f t="shared" si="51"/>
        <v>0.32142475558274686</v>
      </c>
    </row>
    <row r="281" spans="1:28" ht="18.600000000000001" thickBot="1">
      <c r="A281" s="53" t="s">
        <v>49</v>
      </c>
      <c r="B281" s="54">
        <v>300</v>
      </c>
      <c r="C281" s="54">
        <v>900</v>
      </c>
      <c r="D281" s="54">
        <v>8.9</v>
      </c>
      <c r="E281" s="54">
        <v>274.8875277318246</v>
      </c>
      <c r="F281" s="54">
        <v>6397.0739478332025</v>
      </c>
      <c r="G281" s="57" t="s">
        <v>91</v>
      </c>
      <c r="H281" s="54">
        <v>0.42099999999999999</v>
      </c>
      <c r="I281" s="54">
        <v>100</v>
      </c>
      <c r="J281" s="54">
        <v>1495</v>
      </c>
      <c r="K281" s="54">
        <v>2927</v>
      </c>
      <c r="L281" s="54">
        <v>0.65</v>
      </c>
      <c r="M281" s="54">
        <v>106.73</v>
      </c>
      <c r="N281" s="55">
        <v>88.72</v>
      </c>
      <c r="O281" s="43">
        <f t="shared" si="47"/>
        <v>0.35</v>
      </c>
      <c r="P281" s="43">
        <f t="shared" si="52"/>
        <v>893.75752773182467</v>
      </c>
      <c r="Q281" s="43">
        <f t="shared" si="53"/>
        <v>2.6688729349595664E-5</v>
      </c>
      <c r="R281" s="43">
        <v>35</v>
      </c>
      <c r="S281" s="43">
        <f t="shared" si="54"/>
        <v>0.33333333333333331</v>
      </c>
      <c r="T281" s="43">
        <f t="shared" si="55"/>
        <v>7.3386702412318412</v>
      </c>
      <c r="U281" s="43" t="str" cm="1">
        <f t="array" ref="U281">_xlfn.IFS(T281&lt;3,"Group I",T281&lt;5,"Group II",T281&lt;10,"Group III",T281&lt;20,"Group IV",T281&lt;50,"Group V",T281&lt;100,"Group VI",T281&lt;200,"Group VII",T281&lt;500,"Group VIII",T281&lt;1000,"Group IX",TRUE,"Group X")</f>
        <v>Group III</v>
      </c>
      <c r="V281" s="43">
        <f t="shared" si="56"/>
        <v>0.86561737337466549</v>
      </c>
      <c r="W281" s="43">
        <f t="shared" si="57"/>
        <v>1.1802735</v>
      </c>
      <c r="X281" s="43">
        <f t="shared" si="48"/>
        <v>7.1982656270181591E-2</v>
      </c>
      <c r="Y281" s="43">
        <f t="shared" si="58"/>
        <v>0.83125644148786659</v>
      </c>
      <c r="Z281" s="43">
        <f t="shared" si="49"/>
        <v>-8.0264976285173886E-2</v>
      </c>
      <c r="AA281" s="43">
        <f t="shared" si="50"/>
        <v>0.42062279887445025</v>
      </c>
      <c r="AB281" s="43">
        <f t="shared" si="51"/>
        <v>0.33936528574450309</v>
      </c>
    </row>
    <row r="282" spans="1:28">
      <c r="A282" s="56" t="s">
        <v>50</v>
      </c>
      <c r="B282" s="57">
        <v>200</v>
      </c>
      <c r="C282" s="57">
        <v>200</v>
      </c>
      <c r="D282" s="57">
        <v>8.9079999999999995</v>
      </c>
      <c r="E282" s="57">
        <v>293.04828140813106</v>
      </c>
      <c r="F282" s="57">
        <v>6310.7606647425437</v>
      </c>
      <c r="G282" s="57" t="s">
        <v>92</v>
      </c>
      <c r="H282" s="57">
        <v>0.44400000000000001</v>
      </c>
      <c r="I282" s="57">
        <v>90.9</v>
      </c>
      <c r="J282" s="57">
        <v>1455</v>
      </c>
      <c r="K282" s="57">
        <v>2913</v>
      </c>
      <c r="L282" s="57">
        <v>0.7</v>
      </c>
      <c r="M282" s="57">
        <v>364.74</v>
      </c>
      <c r="N282" s="58">
        <v>573.91999999999996</v>
      </c>
      <c r="O282" s="43">
        <f t="shared" si="47"/>
        <v>0.30000000000000004</v>
      </c>
      <c r="P282" s="43">
        <f t="shared" si="52"/>
        <v>927.96828140813102</v>
      </c>
      <c r="Q282" s="43">
        <f t="shared" si="53"/>
        <v>2.2982681828662972E-5</v>
      </c>
      <c r="R282" s="43">
        <v>35</v>
      </c>
      <c r="S282" s="43">
        <f t="shared" si="54"/>
        <v>1</v>
      </c>
      <c r="T282" s="43">
        <f t="shared" si="55"/>
        <v>9.2245578108580375</v>
      </c>
      <c r="U282" s="43" t="str" cm="1">
        <f t="array" ref="U282">_xlfn.IFS(T282&lt;3,"Group I",T282&lt;5,"Group II",T282&lt;10,"Group III",T282&lt;20,"Group IV",T282&lt;50,"Group V",T282&lt;100,"Group VI",T282&lt;200,"Group VII",T282&lt;500,"Group VIII",T282&lt;1000,"Group IX",TRUE,"Group X")</f>
        <v>Group III</v>
      </c>
      <c r="V282" s="43">
        <f t="shared" si="56"/>
        <v>0.96494555695499307</v>
      </c>
      <c r="W282" s="43">
        <f t="shared" si="57"/>
        <v>0.30457716171617155</v>
      </c>
      <c r="X282" s="43">
        <f t="shared" si="48"/>
        <v>-0.51630266473109032</v>
      </c>
      <c r="Y282" s="43">
        <f t="shared" si="58"/>
        <v>1.5735044141031966</v>
      </c>
      <c r="Z282" s="43">
        <f t="shared" si="49"/>
        <v>0.19686796556380662</v>
      </c>
      <c r="AA282" s="43">
        <f t="shared" si="50"/>
        <v>0.4974687467679943</v>
      </c>
      <c r="AB282" s="43">
        <f t="shared" si="51"/>
        <v>0.36329321041980406</v>
      </c>
    </row>
    <row r="283" spans="1:28">
      <c r="A283" s="48" t="s">
        <v>50</v>
      </c>
      <c r="B283" s="50">
        <v>200</v>
      </c>
      <c r="C283" s="50">
        <v>400</v>
      </c>
      <c r="D283" s="50">
        <v>8.9079999999999995</v>
      </c>
      <c r="E283" s="50">
        <v>293.04828140813106</v>
      </c>
      <c r="F283" s="50">
        <v>6310.7606647425437</v>
      </c>
      <c r="G283" s="57" t="s">
        <v>92</v>
      </c>
      <c r="H283" s="50">
        <v>0.44400000000000001</v>
      </c>
      <c r="I283" s="50">
        <v>90.9</v>
      </c>
      <c r="J283" s="50">
        <v>1455</v>
      </c>
      <c r="K283" s="50">
        <v>2913</v>
      </c>
      <c r="L283" s="50">
        <v>0.7</v>
      </c>
      <c r="M283" s="50">
        <v>296.64</v>
      </c>
      <c r="N283" s="51">
        <v>285.20999999999998</v>
      </c>
      <c r="O283" s="43">
        <f t="shared" si="47"/>
        <v>0.30000000000000004</v>
      </c>
      <c r="P283" s="43">
        <f t="shared" si="52"/>
        <v>927.96828140813102</v>
      </c>
      <c r="Q283" s="43">
        <f t="shared" si="53"/>
        <v>2.2982681828662972E-5</v>
      </c>
      <c r="R283" s="43">
        <v>35</v>
      </c>
      <c r="S283" s="43">
        <f t="shared" si="54"/>
        <v>0.5</v>
      </c>
      <c r="T283" s="43">
        <f t="shared" si="55"/>
        <v>6.5227473815050523</v>
      </c>
      <c r="U283" s="43" t="str" cm="1">
        <f t="array" ref="U283">_xlfn.IFS(T283&lt;3,"Group I",T283&lt;5,"Group II",T283&lt;10,"Group III",T283&lt;20,"Group IV",T283&lt;50,"Group V",T283&lt;100,"Group VI",T283&lt;200,"Group VII",T283&lt;500,"Group VIII",T283&lt;1000,"Group IX",TRUE,"Group X")</f>
        <v>Group III</v>
      </c>
      <c r="V283" s="43">
        <f t="shared" si="56"/>
        <v>0.81443055912300244</v>
      </c>
      <c r="W283" s="43">
        <f t="shared" si="57"/>
        <v>0.6091543234323431</v>
      </c>
      <c r="X283" s="43">
        <f t="shared" si="48"/>
        <v>-0.21527266906710912</v>
      </c>
      <c r="Y283" s="43">
        <f t="shared" si="58"/>
        <v>0.96146844660194175</v>
      </c>
      <c r="Z283" s="43">
        <f t="shared" si="49"/>
        <v>-1.706496383477767E-2</v>
      </c>
      <c r="AA283" s="43">
        <f t="shared" si="50"/>
        <v>0.36290096468720789</v>
      </c>
      <c r="AB283" s="43">
        <f t="shared" si="51"/>
        <v>0.32765655712522401</v>
      </c>
    </row>
    <row r="284" spans="1:28">
      <c r="A284" s="48" t="s">
        <v>50</v>
      </c>
      <c r="B284" s="50">
        <v>200</v>
      </c>
      <c r="C284" s="50">
        <v>600</v>
      </c>
      <c r="D284" s="50">
        <v>8.9079999999999995</v>
      </c>
      <c r="E284" s="50">
        <v>293.04828140813106</v>
      </c>
      <c r="F284" s="50">
        <v>6310.7606647425437</v>
      </c>
      <c r="G284" s="57" t="s">
        <v>92</v>
      </c>
      <c r="H284" s="50">
        <v>0.44400000000000001</v>
      </c>
      <c r="I284" s="50">
        <v>90.9</v>
      </c>
      <c r="J284" s="50">
        <v>1455</v>
      </c>
      <c r="K284" s="50">
        <v>2913</v>
      </c>
      <c r="L284" s="50">
        <v>0.7</v>
      </c>
      <c r="M284" s="50">
        <v>233</v>
      </c>
      <c r="N284" s="51">
        <v>137.63999999999999</v>
      </c>
      <c r="O284" s="43">
        <f t="shared" si="47"/>
        <v>0.30000000000000004</v>
      </c>
      <c r="P284" s="43">
        <f t="shared" si="52"/>
        <v>927.96828140813102</v>
      </c>
      <c r="Q284" s="43">
        <f t="shared" si="53"/>
        <v>2.2982681828662972E-5</v>
      </c>
      <c r="R284" s="43">
        <v>35</v>
      </c>
      <c r="S284" s="43">
        <f t="shared" si="54"/>
        <v>0.33333333333333331</v>
      </c>
      <c r="T284" s="43">
        <f t="shared" si="55"/>
        <v>5.3258009352541524</v>
      </c>
      <c r="U284" s="43" t="str" cm="1">
        <f t="array" ref="U284">_xlfn.IFS(T284&lt;3,"Group I",T284&lt;5,"Group II",T284&lt;10,"Group III",T284&lt;20,"Group IV",T284&lt;50,"Group V",T284&lt;100,"Group VI",T284&lt;200,"Group VII",T284&lt;500,"Group VIII",T284&lt;1000,"Group IX",TRUE,"Group X")</f>
        <v>Group III</v>
      </c>
      <c r="V284" s="43">
        <f t="shared" si="56"/>
        <v>0.72638492959516177</v>
      </c>
      <c r="W284" s="43">
        <f t="shared" si="57"/>
        <v>0.91373148514851465</v>
      </c>
      <c r="X284" s="43">
        <f t="shared" si="48"/>
        <v>-3.9181410011427872E-2</v>
      </c>
      <c r="Y284" s="43">
        <f t="shared" si="58"/>
        <v>0.59072961373390553</v>
      </c>
      <c r="Z284" s="43">
        <f t="shared" si="49"/>
        <v>-0.22861125707712651</v>
      </c>
      <c r="AA284" s="43">
        <f t="shared" si="50"/>
        <v>0.30175975403575506</v>
      </c>
      <c r="AB284" s="43">
        <f t="shared" si="51"/>
        <v>0.3084537613755074</v>
      </c>
    </row>
    <row r="285" spans="1:28">
      <c r="A285" s="48" t="s">
        <v>50</v>
      </c>
      <c r="B285" s="50">
        <v>200</v>
      </c>
      <c r="C285" s="50">
        <v>800</v>
      </c>
      <c r="D285" s="50">
        <v>8.9079999999999995</v>
      </c>
      <c r="E285" s="50">
        <v>293.04828140813106</v>
      </c>
      <c r="F285" s="50">
        <v>6310.7606647425437</v>
      </c>
      <c r="G285" s="57" t="s">
        <v>92</v>
      </c>
      <c r="H285" s="50">
        <v>0.44400000000000001</v>
      </c>
      <c r="I285" s="50">
        <v>90.9</v>
      </c>
      <c r="J285" s="50">
        <v>1455</v>
      </c>
      <c r="K285" s="50">
        <v>2913</v>
      </c>
      <c r="L285" s="50">
        <v>0.7</v>
      </c>
      <c r="M285" s="50">
        <v>185.19</v>
      </c>
      <c r="N285" s="51">
        <v>75.83</v>
      </c>
      <c r="O285" s="43">
        <f t="shared" si="47"/>
        <v>0.30000000000000004</v>
      </c>
      <c r="P285" s="43">
        <f t="shared" si="52"/>
        <v>927.96828140813102</v>
      </c>
      <c r="Q285" s="43">
        <f t="shared" si="53"/>
        <v>2.2982681828662972E-5</v>
      </c>
      <c r="R285" s="43">
        <v>35</v>
      </c>
      <c r="S285" s="43">
        <f t="shared" si="54"/>
        <v>0.25</v>
      </c>
      <c r="T285" s="43">
        <f t="shared" si="55"/>
        <v>4.6122789054290187</v>
      </c>
      <c r="U285" s="43" t="str" cm="1">
        <f t="array" ref="U285">_xlfn.IFS(T285&lt;3,"Group I",T285&lt;5,"Group II",T285&lt;10,"Group III",T285&lt;20,"Group IV",T285&lt;50,"Group V",T285&lt;100,"Group VI",T285&lt;200,"Group VII",T285&lt;500,"Group VIII",T285&lt;1000,"Group IX",TRUE,"Group X")</f>
        <v>Group II</v>
      </c>
      <c r="V285" s="43">
        <f t="shared" si="56"/>
        <v>0.66391556129101181</v>
      </c>
      <c r="W285" s="43">
        <f t="shared" si="57"/>
        <v>1.2183086468646862</v>
      </c>
      <c r="X285" s="43">
        <f t="shared" si="48"/>
        <v>8.5757326596872088E-2</v>
      </c>
      <c r="Y285" s="43">
        <f t="shared" si="58"/>
        <v>0.40947135374480265</v>
      </c>
      <c r="Z285" s="43">
        <f t="shared" si="49"/>
        <v>-0.38777647570020946</v>
      </c>
      <c r="AA285" s="43">
        <f t="shared" si="50"/>
        <v>0.26473444015635017</v>
      </c>
      <c r="AB285" s="43">
        <f t="shared" si="51"/>
        <v>0.29551562305030832</v>
      </c>
    </row>
    <row r="286" spans="1:28">
      <c r="A286" s="48" t="s">
        <v>50</v>
      </c>
      <c r="B286" s="50">
        <v>200</v>
      </c>
      <c r="C286" s="50">
        <v>1200</v>
      </c>
      <c r="D286" s="50">
        <v>8.9079999999999995</v>
      </c>
      <c r="E286" s="50">
        <v>293.04828140813106</v>
      </c>
      <c r="F286" s="50">
        <v>6310.7606647425437</v>
      </c>
      <c r="G286" s="57" t="s">
        <v>92</v>
      </c>
      <c r="H286" s="50">
        <v>0.44400000000000001</v>
      </c>
      <c r="I286" s="50">
        <v>90.9</v>
      </c>
      <c r="J286" s="50">
        <v>1455</v>
      </c>
      <c r="K286" s="50">
        <v>2913</v>
      </c>
      <c r="L286" s="50">
        <v>0.7</v>
      </c>
      <c r="M286" s="50">
        <v>131.93</v>
      </c>
      <c r="N286" s="51">
        <v>59</v>
      </c>
      <c r="O286" s="43">
        <f t="shared" si="47"/>
        <v>0.30000000000000004</v>
      </c>
      <c r="P286" s="43">
        <f t="shared" si="52"/>
        <v>927.96828140813102</v>
      </c>
      <c r="Q286" s="43">
        <f t="shared" si="53"/>
        <v>2.2982681828662972E-5</v>
      </c>
      <c r="R286" s="43">
        <v>35</v>
      </c>
      <c r="S286" s="43">
        <f t="shared" si="54"/>
        <v>0.16666666666666666</v>
      </c>
      <c r="T286" s="43">
        <f t="shared" si="55"/>
        <v>3.7659099565678682</v>
      </c>
      <c r="U286" s="43" t="str" cm="1">
        <f t="array" ref="U286">_xlfn.IFS(T286&lt;3,"Group I",T286&lt;5,"Group II",T286&lt;10,"Group III",T286&lt;20,"Group IV",T286&lt;50,"Group V",T286&lt;100,"Group VI",T286&lt;200,"Group VII",T286&lt;500,"Group VIII",T286&lt;1000,"Group IX",TRUE,"Group X")</f>
        <v>Group II</v>
      </c>
      <c r="V286" s="43">
        <f t="shared" si="56"/>
        <v>0.57586993176317125</v>
      </c>
      <c r="W286" s="43">
        <f t="shared" si="57"/>
        <v>1.8274629702970293</v>
      </c>
      <c r="X286" s="43">
        <f t="shared" si="48"/>
        <v>0.26184858565255331</v>
      </c>
      <c r="Y286" s="43">
        <f t="shared" si="58"/>
        <v>0.44720685211854772</v>
      </c>
      <c r="Z286" s="43">
        <f t="shared" si="49"/>
        <v>-0.34949155079588051</v>
      </c>
      <c r="AA286" s="43">
        <f t="shared" si="50"/>
        <v>0.22013223253685521</v>
      </c>
      <c r="AB286" s="43">
        <f t="shared" si="51"/>
        <v>0.27819649414266823</v>
      </c>
    </row>
    <row r="287" spans="1:28">
      <c r="A287" s="48" t="s">
        <v>50</v>
      </c>
      <c r="B287" s="50">
        <v>200</v>
      </c>
      <c r="C287" s="50">
        <v>1600</v>
      </c>
      <c r="D287" s="50">
        <v>8.9079999999999995</v>
      </c>
      <c r="E287" s="50">
        <v>293.04828140813106</v>
      </c>
      <c r="F287" s="50">
        <v>6310.7606647425437</v>
      </c>
      <c r="G287" s="57" t="s">
        <v>92</v>
      </c>
      <c r="H287" s="50">
        <v>0.44400000000000001</v>
      </c>
      <c r="I287" s="50">
        <v>90.9</v>
      </c>
      <c r="J287" s="50">
        <v>1455</v>
      </c>
      <c r="K287" s="50">
        <v>2913</v>
      </c>
      <c r="L287" s="50">
        <v>0.7</v>
      </c>
      <c r="M287" s="50">
        <v>122.72</v>
      </c>
      <c r="N287" s="51">
        <v>31.97</v>
      </c>
      <c r="O287" s="43">
        <f t="shared" si="47"/>
        <v>0.30000000000000004</v>
      </c>
      <c r="P287" s="43">
        <f t="shared" si="52"/>
        <v>927.96828140813102</v>
      </c>
      <c r="Q287" s="43">
        <f t="shared" si="53"/>
        <v>2.2982681828662972E-5</v>
      </c>
      <c r="R287" s="43">
        <v>35</v>
      </c>
      <c r="S287" s="43">
        <f t="shared" si="54"/>
        <v>0.125</v>
      </c>
      <c r="T287" s="43">
        <f t="shared" si="55"/>
        <v>3.2613736907525261</v>
      </c>
      <c r="U287" s="43" t="str" cm="1">
        <f t="array" ref="U287">_xlfn.IFS(T287&lt;3,"Group I",T287&lt;5,"Group II",T287&lt;10,"Group III",T287&lt;20,"Group IV",T287&lt;50,"Group V",T287&lt;100,"Group VI",T287&lt;200,"Group VII",T287&lt;500,"Group VIII",T287&lt;1000,"Group IX",TRUE,"Group X")</f>
        <v>Group II</v>
      </c>
      <c r="V287" s="43">
        <f t="shared" si="56"/>
        <v>0.5134005634590213</v>
      </c>
      <c r="W287" s="43">
        <f t="shared" si="57"/>
        <v>2.4366172937293724</v>
      </c>
      <c r="X287" s="43">
        <f t="shared" si="48"/>
        <v>0.38678732226085327</v>
      </c>
      <c r="Y287" s="43">
        <f t="shared" si="58"/>
        <v>0.26051173402868316</v>
      </c>
      <c r="Z287" s="43">
        <f t="shared" si="49"/>
        <v>-0.58417271033321783</v>
      </c>
      <c r="AA287" s="43">
        <f t="shared" si="50"/>
        <v>0.19312245109434556</v>
      </c>
      <c r="AB287" s="43">
        <f t="shared" si="51"/>
        <v>0.2665275013356021</v>
      </c>
    </row>
    <row r="288" spans="1:28">
      <c r="A288" s="48" t="s">
        <v>50</v>
      </c>
      <c r="B288" s="50">
        <v>200</v>
      </c>
      <c r="C288" s="50">
        <v>2000</v>
      </c>
      <c r="D288" s="50">
        <v>8.9079999999999995</v>
      </c>
      <c r="E288" s="50">
        <v>293.04828140813106</v>
      </c>
      <c r="F288" s="50">
        <v>6310.7606647425437</v>
      </c>
      <c r="G288" s="57" t="s">
        <v>92</v>
      </c>
      <c r="H288" s="50">
        <v>0.44400000000000001</v>
      </c>
      <c r="I288" s="50">
        <v>90.9</v>
      </c>
      <c r="J288" s="50">
        <v>1455</v>
      </c>
      <c r="K288" s="50">
        <v>2913</v>
      </c>
      <c r="L288" s="50">
        <v>0.7</v>
      </c>
      <c r="M288" s="50">
        <v>89.73</v>
      </c>
      <c r="N288" s="51">
        <v>23.36</v>
      </c>
      <c r="O288" s="43">
        <f t="shared" si="47"/>
        <v>0.30000000000000004</v>
      </c>
      <c r="P288" s="43">
        <f t="shared" si="52"/>
        <v>927.96828140813102</v>
      </c>
      <c r="Q288" s="43">
        <f t="shared" si="53"/>
        <v>2.2982681828662972E-5</v>
      </c>
      <c r="R288" s="43">
        <v>35</v>
      </c>
      <c r="S288" s="43">
        <f t="shared" si="54"/>
        <v>0.1</v>
      </c>
      <c r="T288" s="43">
        <f t="shared" si="55"/>
        <v>2.9170613090208102</v>
      </c>
      <c r="U288" s="43" t="str" cm="1">
        <f t="array" ref="U288">_xlfn.IFS(T288&lt;3,"Group I",T288&lt;5,"Group II",T288&lt;10,"Group III",T288&lt;20,"Group IV",T288&lt;50,"Group V",T288&lt;100,"Group VI",T288&lt;200,"Group VII",T288&lt;500,"Group VIII",T288&lt;1000,"Group IX",TRUE,"Group X")</f>
        <v>Group I</v>
      </c>
      <c r="V288" s="43">
        <f t="shared" si="56"/>
        <v>0.46494555695499301</v>
      </c>
      <c r="W288" s="43">
        <f t="shared" si="57"/>
        <v>3.0457716171617157</v>
      </c>
      <c r="X288" s="43">
        <f t="shared" si="48"/>
        <v>0.48369733526890973</v>
      </c>
      <c r="Y288" s="43">
        <f t="shared" si="58"/>
        <v>0.26033656525130949</v>
      </c>
      <c r="Z288" s="43">
        <f t="shared" si="49"/>
        <v>-0.58446482931061872</v>
      </c>
      <c r="AA288" s="43">
        <f t="shared" si="50"/>
        <v>0.17447604236739839</v>
      </c>
      <c r="AB288" s="43">
        <f t="shared" si="51"/>
        <v>0.25781446564463889</v>
      </c>
    </row>
    <row r="289" spans="1:28">
      <c r="A289" s="48" t="s">
        <v>50</v>
      </c>
      <c r="B289" s="50">
        <v>200</v>
      </c>
      <c r="C289" s="50">
        <v>2400</v>
      </c>
      <c r="D289" s="50">
        <v>8.9079999999999995</v>
      </c>
      <c r="E289" s="50">
        <v>293.04828140813106</v>
      </c>
      <c r="F289" s="50">
        <v>6310.7606647425437</v>
      </c>
      <c r="G289" s="57" t="s">
        <v>92</v>
      </c>
      <c r="H289" s="50">
        <v>0.44400000000000001</v>
      </c>
      <c r="I289" s="50">
        <v>90.9</v>
      </c>
      <c r="J289" s="50">
        <v>1455</v>
      </c>
      <c r="K289" s="50">
        <v>2913</v>
      </c>
      <c r="L289" s="50">
        <v>0.7</v>
      </c>
      <c r="M289" s="50">
        <v>71.91</v>
      </c>
      <c r="N289" s="51">
        <v>17.63</v>
      </c>
      <c r="O289" s="43">
        <f t="shared" si="47"/>
        <v>0.30000000000000004</v>
      </c>
      <c r="P289" s="43">
        <f t="shared" si="52"/>
        <v>927.96828140813102</v>
      </c>
      <c r="Q289" s="43">
        <f t="shared" si="53"/>
        <v>2.2982681828662972E-5</v>
      </c>
      <c r="R289" s="43">
        <v>35</v>
      </c>
      <c r="S289" s="43">
        <f t="shared" si="54"/>
        <v>8.3333333333333329E-2</v>
      </c>
      <c r="T289" s="43">
        <f t="shared" si="55"/>
        <v>2.6629004676270762</v>
      </c>
      <c r="U289" s="43" t="str" cm="1">
        <f t="array" ref="U289">_xlfn.IFS(T289&lt;3,"Group I",T289&lt;5,"Group II",T289&lt;10,"Group III",T289&lt;20,"Group IV",T289&lt;50,"Group V",T289&lt;100,"Group VI",T289&lt;200,"Group VII",T289&lt;500,"Group VIII",T289&lt;1000,"Group IX",TRUE,"Group X")</f>
        <v>Group I</v>
      </c>
      <c r="V289" s="43">
        <f t="shared" si="56"/>
        <v>0.42535493393118057</v>
      </c>
      <c r="W289" s="43">
        <f t="shared" si="57"/>
        <v>3.6549259405940586</v>
      </c>
      <c r="X289" s="43">
        <f t="shared" si="48"/>
        <v>0.56287858131653457</v>
      </c>
      <c r="Y289" s="43">
        <f t="shared" si="58"/>
        <v>0.24516757057432903</v>
      </c>
      <c r="Z289" s="43">
        <f t="shared" si="49"/>
        <v>-0.61053697645399418</v>
      </c>
      <c r="AA289" s="43">
        <f t="shared" si="50"/>
        <v>0.16058536353366182</v>
      </c>
      <c r="AB289" s="43">
        <f t="shared" si="51"/>
        <v>0.25090726405198249</v>
      </c>
    </row>
    <row r="290" spans="1:28">
      <c r="A290" s="48" t="s">
        <v>50</v>
      </c>
      <c r="B290" s="50">
        <v>350</v>
      </c>
      <c r="C290" s="50">
        <v>400</v>
      </c>
      <c r="D290" s="50">
        <v>8.9079999999999995</v>
      </c>
      <c r="E290" s="50">
        <v>293.04828140813106</v>
      </c>
      <c r="F290" s="50">
        <v>6310.7606647425437</v>
      </c>
      <c r="G290" s="57" t="s">
        <v>92</v>
      </c>
      <c r="H290" s="50">
        <v>0.44400000000000001</v>
      </c>
      <c r="I290" s="50">
        <v>90.9</v>
      </c>
      <c r="J290" s="50">
        <v>1455</v>
      </c>
      <c r="K290" s="50">
        <v>2913</v>
      </c>
      <c r="L290" s="50">
        <v>0.7</v>
      </c>
      <c r="M290" s="50">
        <v>224.12</v>
      </c>
      <c r="N290" s="51">
        <v>253.21</v>
      </c>
      <c r="O290" s="43">
        <f t="shared" si="47"/>
        <v>0.30000000000000004</v>
      </c>
      <c r="P290" s="43">
        <f t="shared" si="52"/>
        <v>927.96828140813102</v>
      </c>
      <c r="Q290" s="43">
        <f t="shared" si="53"/>
        <v>2.2982681828662972E-5</v>
      </c>
      <c r="R290" s="43">
        <v>35</v>
      </c>
      <c r="S290" s="43">
        <f t="shared" si="54"/>
        <v>0.875</v>
      </c>
      <c r="T290" s="43">
        <f t="shared" si="55"/>
        <v>11.414807917633842</v>
      </c>
      <c r="U290" s="43" t="str" cm="1">
        <f t="array" ref="U290">_xlfn.IFS(T290&lt;3,"Group I",T290&lt;5,"Group II",T290&lt;10,"Group III",T290&lt;20,"Group IV",T290&lt;50,"Group V",T290&lt;100,"Group VI",T290&lt;200,"Group VII",T290&lt;500,"Group VIII",T290&lt;1000,"Group IX",TRUE,"Group X")</f>
        <v>Group IV</v>
      </c>
      <c r="V290" s="43">
        <f t="shared" si="56"/>
        <v>1.057468607809297</v>
      </c>
      <c r="W290" s="43">
        <f t="shared" si="57"/>
        <v>0.6091543234323431</v>
      </c>
      <c r="X290" s="43">
        <f t="shared" si="48"/>
        <v>-0.21527266906710912</v>
      </c>
      <c r="Y290" s="43">
        <f t="shared" si="58"/>
        <v>1.1297965375691594</v>
      </c>
      <c r="Z290" s="43">
        <f t="shared" si="49"/>
        <v>5.3000239441809413E-2</v>
      </c>
      <c r="AA290" s="43">
        <f t="shared" si="50"/>
        <v>0.63507668820261387</v>
      </c>
      <c r="AB290" s="43">
        <f t="shared" si="51"/>
        <v>0.38709708263879333</v>
      </c>
    </row>
    <row r="291" spans="1:28">
      <c r="A291" s="48" t="s">
        <v>50</v>
      </c>
      <c r="B291" s="50">
        <v>350</v>
      </c>
      <c r="C291" s="50">
        <v>600</v>
      </c>
      <c r="D291" s="50">
        <v>8.9079999999999995</v>
      </c>
      <c r="E291" s="50">
        <v>293.04828140813106</v>
      </c>
      <c r="F291" s="50">
        <v>6310.7606647425437</v>
      </c>
      <c r="G291" s="57" t="s">
        <v>92</v>
      </c>
      <c r="H291" s="50">
        <v>0.44400000000000001</v>
      </c>
      <c r="I291" s="50">
        <v>90.9</v>
      </c>
      <c r="J291" s="50">
        <v>1455</v>
      </c>
      <c r="K291" s="50">
        <v>2913</v>
      </c>
      <c r="L291" s="50">
        <v>0.7</v>
      </c>
      <c r="M291" s="50">
        <v>173.31</v>
      </c>
      <c r="N291" s="51">
        <v>150.80000000000001</v>
      </c>
      <c r="O291" s="43">
        <f t="shared" ref="O291:O354" si="59">1-L291</f>
        <v>0.30000000000000004</v>
      </c>
      <c r="P291" s="43">
        <f t="shared" si="52"/>
        <v>927.96828140813102</v>
      </c>
      <c r="Q291" s="43">
        <f t="shared" si="53"/>
        <v>2.2982681828662972E-5</v>
      </c>
      <c r="R291" s="43">
        <v>35</v>
      </c>
      <c r="S291" s="43">
        <f t="shared" si="54"/>
        <v>0.58333333333333337</v>
      </c>
      <c r="T291" s="43">
        <f t="shared" si="55"/>
        <v>9.3201516366947672</v>
      </c>
      <c r="U291" s="43" t="str" cm="1">
        <f t="array" ref="U291">_xlfn.IFS(T291&lt;3,"Group I",T291&lt;5,"Group II",T291&lt;10,"Group III",T291&lt;20,"Group IV",T291&lt;50,"Group V",T291&lt;100,"Group VI",T291&lt;200,"Group VII",T291&lt;500,"Group VIII",T291&lt;1000,"Group IX",TRUE,"Group X")</f>
        <v>Group III</v>
      </c>
      <c r="V291" s="43">
        <f t="shared" si="56"/>
        <v>0.96942297828145629</v>
      </c>
      <c r="W291" s="43">
        <f t="shared" si="57"/>
        <v>0.91373148514851465</v>
      </c>
      <c r="X291" s="43">
        <f t="shared" ref="X291:X354" si="60">LOG(W291)</f>
        <v>-3.9181410011427872E-2</v>
      </c>
      <c r="Y291" s="43">
        <f t="shared" si="58"/>
        <v>0.87011713115227052</v>
      </c>
      <c r="Z291" s="43">
        <f t="shared" ref="Z291:Z354" si="61">LOG(Y291)</f>
        <v>-6.0422280727319859E-2</v>
      </c>
      <c r="AA291" s="43">
        <f t="shared" ref="AA291:AA354" si="62">(10^-0.7321)*W291^0.04497*T291*0.307</f>
        <v>0.5280795695625714</v>
      </c>
      <c r="AB291" s="43">
        <f t="shared" ref="AB291:AB354" si="63">(10^-0.7272)*T291^0.2979</f>
        <v>0.36441068723000852</v>
      </c>
    </row>
    <row r="292" spans="1:28">
      <c r="A292" s="48" t="s">
        <v>50</v>
      </c>
      <c r="B292" s="50">
        <v>350</v>
      </c>
      <c r="C292" s="50">
        <v>800</v>
      </c>
      <c r="D292" s="50">
        <v>8.9079999999999995</v>
      </c>
      <c r="E292" s="50">
        <v>293.04828140813106</v>
      </c>
      <c r="F292" s="50">
        <v>6310.7606647425437</v>
      </c>
      <c r="G292" s="57" t="s">
        <v>92</v>
      </c>
      <c r="H292" s="50">
        <v>0.44400000000000001</v>
      </c>
      <c r="I292" s="50">
        <v>90.9</v>
      </c>
      <c r="J292" s="50">
        <v>1455</v>
      </c>
      <c r="K292" s="50">
        <v>2913</v>
      </c>
      <c r="L292" s="50">
        <v>0.7</v>
      </c>
      <c r="M292" s="50">
        <v>162.25</v>
      </c>
      <c r="N292" s="51">
        <v>112.54</v>
      </c>
      <c r="O292" s="43">
        <f t="shared" si="59"/>
        <v>0.30000000000000004</v>
      </c>
      <c r="P292" s="43">
        <f t="shared" si="52"/>
        <v>927.96828140813102</v>
      </c>
      <c r="Q292" s="43">
        <f t="shared" si="53"/>
        <v>2.2982681828662972E-5</v>
      </c>
      <c r="R292" s="43">
        <v>35</v>
      </c>
      <c r="S292" s="43">
        <f t="shared" si="54"/>
        <v>0.4375</v>
      </c>
      <c r="T292" s="43">
        <f t="shared" si="55"/>
        <v>8.0714880845007837</v>
      </c>
      <c r="U292" s="43" t="str" cm="1">
        <f t="array" ref="U292">_xlfn.IFS(T292&lt;3,"Group I",T292&lt;5,"Group II",T292&lt;10,"Group III",T292&lt;20,"Group IV",T292&lt;50,"Group V",T292&lt;100,"Group VI",T292&lt;200,"Group VII",T292&lt;500,"Group VIII",T292&lt;1000,"Group IX",TRUE,"Group X")</f>
        <v>Group III</v>
      </c>
      <c r="V292" s="43">
        <f t="shared" si="56"/>
        <v>0.90695360997730634</v>
      </c>
      <c r="W292" s="43">
        <f t="shared" si="57"/>
        <v>1.2183086468646862</v>
      </c>
      <c r="X292" s="43">
        <f t="shared" si="60"/>
        <v>8.5757326596872088E-2</v>
      </c>
      <c r="Y292" s="43">
        <f t="shared" si="58"/>
        <v>0.69362095531587065</v>
      </c>
      <c r="Z292" s="43">
        <f t="shared" si="61"/>
        <v>-0.15887779465443294</v>
      </c>
      <c r="AA292" s="43">
        <f t="shared" si="62"/>
        <v>0.46328527027361283</v>
      </c>
      <c r="AB292" s="43">
        <f t="shared" si="63"/>
        <v>0.34912542743114039</v>
      </c>
    </row>
    <row r="293" spans="1:28">
      <c r="A293" s="48" t="s">
        <v>50</v>
      </c>
      <c r="B293" s="50">
        <v>350</v>
      </c>
      <c r="C293" s="50">
        <v>1000</v>
      </c>
      <c r="D293" s="50">
        <v>8.9079999999999995</v>
      </c>
      <c r="E293" s="50">
        <v>293.04828140813106</v>
      </c>
      <c r="F293" s="50">
        <v>6310.7606647425437</v>
      </c>
      <c r="G293" s="57" t="s">
        <v>92</v>
      </c>
      <c r="H293" s="50">
        <v>0.44400000000000001</v>
      </c>
      <c r="I293" s="50">
        <v>90.9</v>
      </c>
      <c r="J293" s="50">
        <v>1455</v>
      </c>
      <c r="K293" s="50">
        <v>2913</v>
      </c>
      <c r="L293" s="50">
        <v>0.7</v>
      </c>
      <c r="M293" s="50">
        <v>141.76</v>
      </c>
      <c r="N293" s="51">
        <v>70.680000000000007</v>
      </c>
      <c r="O293" s="43">
        <f t="shared" si="59"/>
        <v>0.30000000000000004</v>
      </c>
      <c r="P293" s="43">
        <f t="shared" si="52"/>
        <v>927.96828140813102</v>
      </c>
      <c r="Q293" s="43">
        <f t="shared" si="53"/>
        <v>2.2982681828662972E-5</v>
      </c>
      <c r="R293" s="43">
        <v>35</v>
      </c>
      <c r="S293" s="43">
        <f t="shared" si="54"/>
        <v>0.35</v>
      </c>
      <c r="T293" s="43">
        <f t="shared" si="55"/>
        <v>7.2193584146093261</v>
      </c>
      <c r="U293" s="43" t="str" cm="1">
        <f t="array" ref="U293">_xlfn.IFS(T293&lt;3,"Group I",T293&lt;5,"Group II",T293&lt;10,"Group III",T293&lt;20,"Group IV",T293&lt;50,"Group V",T293&lt;100,"Group VI",T293&lt;200,"Group VII",T293&lt;500,"Group VIII",T293&lt;1000,"Group IX",TRUE,"Group X")</f>
        <v>Group III</v>
      </c>
      <c r="V293" s="43">
        <f t="shared" si="56"/>
        <v>0.858498603473278</v>
      </c>
      <c r="W293" s="43">
        <f t="shared" si="57"/>
        <v>1.5228858085808579</v>
      </c>
      <c r="X293" s="43">
        <f t="shared" si="60"/>
        <v>0.18266733960492854</v>
      </c>
      <c r="Y293" s="43">
        <f t="shared" si="58"/>
        <v>0.49858916478555315</v>
      </c>
      <c r="Z293" s="43">
        <f t="shared" si="61"/>
        <v>-0.30225716370824895</v>
      </c>
      <c r="AA293" s="43">
        <f t="shared" si="62"/>
        <v>0.41855403132265417</v>
      </c>
      <c r="AB293" s="43">
        <f t="shared" si="63"/>
        <v>0.33771218754187282</v>
      </c>
    </row>
    <row r="294" spans="1:28">
      <c r="A294" s="48" t="s">
        <v>50</v>
      </c>
      <c r="B294" s="50">
        <v>350</v>
      </c>
      <c r="C294" s="50">
        <v>1200</v>
      </c>
      <c r="D294" s="50">
        <v>8.9079999999999995</v>
      </c>
      <c r="E294" s="50">
        <v>293.04828140813106</v>
      </c>
      <c r="F294" s="50">
        <v>6310.7606647425437</v>
      </c>
      <c r="G294" s="57" t="s">
        <v>92</v>
      </c>
      <c r="H294" s="50">
        <v>0.44400000000000001</v>
      </c>
      <c r="I294" s="50">
        <v>90.9</v>
      </c>
      <c r="J294" s="50">
        <v>1455</v>
      </c>
      <c r="K294" s="50">
        <v>2913</v>
      </c>
      <c r="L294" s="50">
        <v>0.7</v>
      </c>
      <c r="M294" s="50">
        <v>118.82</v>
      </c>
      <c r="N294" s="51">
        <v>53.07</v>
      </c>
      <c r="O294" s="43">
        <f t="shared" si="59"/>
        <v>0.30000000000000004</v>
      </c>
      <c r="P294" s="43">
        <f t="shared" si="52"/>
        <v>927.96828140813102</v>
      </c>
      <c r="Q294" s="43">
        <f t="shared" si="53"/>
        <v>2.2982681828662972E-5</v>
      </c>
      <c r="R294" s="43">
        <v>35</v>
      </c>
      <c r="S294" s="43">
        <f t="shared" si="54"/>
        <v>0.29166666666666669</v>
      </c>
      <c r="T294" s="43">
        <f t="shared" si="55"/>
        <v>6.5903424239937696</v>
      </c>
      <c r="U294" s="43" t="str" cm="1">
        <f t="array" ref="U294">_xlfn.IFS(T294&lt;3,"Group I",T294&lt;5,"Group II",T294&lt;10,"Group III",T294&lt;20,"Group IV",T294&lt;50,"Group V",T294&lt;100,"Group VI",T294&lt;200,"Group VII",T294&lt;500,"Group VIII",T294&lt;1000,"Group IX",TRUE,"Group X")</f>
        <v>Group III</v>
      </c>
      <c r="V294" s="43">
        <f t="shared" si="56"/>
        <v>0.81890798044946567</v>
      </c>
      <c r="W294" s="43">
        <f t="shared" si="57"/>
        <v>1.8274629702970293</v>
      </c>
      <c r="X294" s="43">
        <f t="shared" si="60"/>
        <v>0.26184858565255331</v>
      </c>
      <c r="Y294" s="43">
        <f t="shared" si="58"/>
        <v>0.4466419794647366</v>
      </c>
      <c r="Z294" s="43">
        <f t="shared" si="61"/>
        <v>-0.35004046041128262</v>
      </c>
      <c r="AA294" s="43">
        <f t="shared" si="62"/>
        <v>0.38523140693949665</v>
      </c>
      <c r="AB294" s="43">
        <f t="shared" si="63"/>
        <v>0.32866441687541242</v>
      </c>
    </row>
    <row r="295" spans="1:28">
      <c r="A295" s="48" t="s">
        <v>50</v>
      </c>
      <c r="B295" s="50">
        <v>350</v>
      </c>
      <c r="C295" s="50">
        <v>1600</v>
      </c>
      <c r="D295" s="50">
        <v>8.9079999999999995</v>
      </c>
      <c r="E295" s="50">
        <v>293.04828140813106</v>
      </c>
      <c r="F295" s="50">
        <v>6310.7606647425437</v>
      </c>
      <c r="G295" s="57" t="s">
        <v>92</v>
      </c>
      <c r="H295" s="50">
        <v>0.44400000000000001</v>
      </c>
      <c r="I295" s="50">
        <v>90.9</v>
      </c>
      <c r="J295" s="50">
        <v>1455</v>
      </c>
      <c r="K295" s="50">
        <v>2913</v>
      </c>
      <c r="L295" s="50">
        <v>0.7</v>
      </c>
      <c r="M295" s="50">
        <v>106.53</v>
      </c>
      <c r="N295" s="51">
        <v>29.91</v>
      </c>
      <c r="O295" s="43">
        <f t="shared" si="59"/>
        <v>0.30000000000000004</v>
      </c>
      <c r="P295" s="43">
        <f t="shared" si="52"/>
        <v>927.96828140813102</v>
      </c>
      <c r="Q295" s="43">
        <f t="shared" si="53"/>
        <v>2.2982681828662972E-5</v>
      </c>
      <c r="R295" s="43">
        <v>35</v>
      </c>
      <c r="S295" s="43">
        <f t="shared" si="54"/>
        <v>0.21875</v>
      </c>
      <c r="T295" s="43">
        <f t="shared" si="55"/>
        <v>5.7074039588169212</v>
      </c>
      <c r="U295" s="43" t="str" cm="1">
        <f t="array" ref="U295">_xlfn.IFS(T295&lt;3,"Group I",T295&lt;5,"Group II",T295&lt;10,"Group III",T295&lt;20,"Group IV",T295&lt;50,"Group V",T295&lt;100,"Group VI",T295&lt;200,"Group VII",T295&lt;500,"Group VIII",T295&lt;1000,"Group IX",TRUE,"Group X")</f>
        <v>Group III</v>
      </c>
      <c r="V295" s="43">
        <f t="shared" si="56"/>
        <v>0.75643861214531571</v>
      </c>
      <c r="W295" s="43">
        <f t="shared" si="57"/>
        <v>2.4366172937293724</v>
      </c>
      <c r="X295" s="43">
        <f t="shared" si="60"/>
        <v>0.38678732226085327</v>
      </c>
      <c r="Y295" s="43">
        <f t="shared" si="58"/>
        <v>0.28076598141368631</v>
      </c>
      <c r="Z295" s="43">
        <f t="shared" si="61"/>
        <v>-0.55165551398995971</v>
      </c>
      <c r="AA295" s="43">
        <f t="shared" si="62"/>
        <v>0.33796428941510481</v>
      </c>
      <c r="AB295" s="43">
        <f t="shared" si="63"/>
        <v>0.3148785396368195</v>
      </c>
    </row>
    <row r="296" spans="1:28">
      <c r="A296" s="48" t="s">
        <v>50</v>
      </c>
      <c r="B296" s="50">
        <v>350</v>
      </c>
      <c r="C296" s="50">
        <v>2000</v>
      </c>
      <c r="D296" s="50">
        <v>8.9079999999999995</v>
      </c>
      <c r="E296" s="50">
        <v>293.04828140813106</v>
      </c>
      <c r="F296" s="50">
        <v>6310.7606647425437</v>
      </c>
      <c r="G296" s="57" t="s">
        <v>92</v>
      </c>
      <c r="H296" s="50">
        <v>0.44400000000000001</v>
      </c>
      <c r="I296" s="50">
        <v>90.9</v>
      </c>
      <c r="J296" s="50">
        <v>1455</v>
      </c>
      <c r="K296" s="50">
        <v>2913</v>
      </c>
      <c r="L296" s="50">
        <v>0.7</v>
      </c>
      <c r="M296" s="50">
        <v>100.59</v>
      </c>
      <c r="N296" s="51">
        <v>47.32</v>
      </c>
      <c r="O296" s="43">
        <f t="shared" si="59"/>
        <v>0.30000000000000004</v>
      </c>
      <c r="P296" s="43">
        <f t="shared" si="52"/>
        <v>927.96828140813102</v>
      </c>
      <c r="Q296" s="43">
        <f t="shared" si="53"/>
        <v>2.2982681828662972E-5</v>
      </c>
      <c r="R296" s="43">
        <v>35</v>
      </c>
      <c r="S296" s="43">
        <f t="shared" si="54"/>
        <v>0.17499999999999999</v>
      </c>
      <c r="T296" s="43">
        <f t="shared" si="55"/>
        <v>5.104857290786418</v>
      </c>
      <c r="U296" s="43" t="str" cm="1">
        <f t="array" ref="U296">_xlfn.IFS(T296&lt;3,"Group I",T296&lt;5,"Group II",T296&lt;10,"Group III",T296&lt;20,"Group IV",T296&lt;50,"Group V",T296&lt;100,"Group VI",T296&lt;200,"Group VII",T296&lt;500,"Group VIII",T296&lt;1000,"Group IX",TRUE,"Group X")</f>
        <v>Group III</v>
      </c>
      <c r="V296" s="43">
        <f t="shared" si="56"/>
        <v>0.70798360564128748</v>
      </c>
      <c r="W296" s="43">
        <f t="shared" si="57"/>
        <v>3.0457716171617157</v>
      </c>
      <c r="X296" s="43">
        <f t="shared" si="60"/>
        <v>0.48369733526890973</v>
      </c>
      <c r="Y296" s="43">
        <f t="shared" si="58"/>
        <v>0.47042449547668752</v>
      </c>
      <c r="Z296" s="43">
        <f t="shared" si="61"/>
        <v>-0.32751007219258976</v>
      </c>
      <c r="AA296" s="43">
        <f t="shared" si="62"/>
        <v>0.30533307414294719</v>
      </c>
      <c r="AB296" s="43">
        <f t="shared" si="63"/>
        <v>0.30458486284764869</v>
      </c>
    </row>
    <row r="297" spans="1:28">
      <c r="A297" s="48" t="s">
        <v>50</v>
      </c>
      <c r="B297" s="50">
        <v>350</v>
      </c>
      <c r="C297" s="50">
        <v>2400</v>
      </c>
      <c r="D297" s="50">
        <v>8.9079999999999995</v>
      </c>
      <c r="E297" s="50">
        <v>293.04828140813106</v>
      </c>
      <c r="F297" s="50">
        <v>6310.7606647425437</v>
      </c>
      <c r="G297" s="57" t="s">
        <v>92</v>
      </c>
      <c r="H297" s="50">
        <v>0.44400000000000001</v>
      </c>
      <c r="I297" s="50">
        <v>90.9</v>
      </c>
      <c r="J297" s="50">
        <v>1455</v>
      </c>
      <c r="K297" s="50">
        <v>2913</v>
      </c>
      <c r="L297" s="50">
        <v>0.7</v>
      </c>
      <c r="M297" s="50">
        <v>92.21</v>
      </c>
      <c r="N297" s="51">
        <v>19.670000000000002</v>
      </c>
      <c r="O297" s="43">
        <f t="shared" si="59"/>
        <v>0.30000000000000004</v>
      </c>
      <c r="P297" s="43">
        <f t="shared" si="52"/>
        <v>927.96828140813102</v>
      </c>
      <c r="Q297" s="43">
        <f t="shared" si="53"/>
        <v>2.2982681828662972E-5</v>
      </c>
      <c r="R297" s="43">
        <v>35</v>
      </c>
      <c r="S297" s="43">
        <f t="shared" si="54"/>
        <v>0.14583333333333334</v>
      </c>
      <c r="T297" s="43">
        <f t="shared" si="55"/>
        <v>4.6600758183473836</v>
      </c>
      <c r="U297" s="43" t="str" cm="1">
        <f t="array" ref="U297">_xlfn.IFS(T297&lt;3,"Group I",T297&lt;5,"Group II",T297&lt;10,"Group III",T297&lt;20,"Group IV",T297&lt;50,"Group V",T297&lt;100,"Group VI",T297&lt;200,"Group VII",T297&lt;500,"Group VIII",T297&lt;1000,"Group IX",TRUE,"Group X")</f>
        <v>Group II</v>
      </c>
      <c r="V297" s="43">
        <f t="shared" si="56"/>
        <v>0.66839298261747504</v>
      </c>
      <c r="W297" s="43">
        <f t="shared" si="57"/>
        <v>3.6549259405940586</v>
      </c>
      <c r="X297" s="43">
        <f t="shared" si="60"/>
        <v>0.56287858131653457</v>
      </c>
      <c r="Y297" s="43">
        <f t="shared" si="58"/>
        <v>0.21331742761088823</v>
      </c>
      <c r="Z297" s="43">
        <f t="shared" si="61"/>
        <v>-0.67097366210303921</v>
      </c>
      <c r="AA297" s="43">
        <f t="shared" si="62"/>
        <v>0.28102438618390824</v>
      </c>
      <c r="AB297" s="43">
        <f t="shared" si="63"/>
        <v>0.29642461844669965</v>
      </c>
    </row>
    <row r="298" spans="1:28">
      <c r="A298" s="48" t="s">
        <v>50</v>
      </c>
      <c r="B298" s="50">
        <v>100</v>
      </c>
      <c r="C298" s="50">
        <v>300</v>
      </c>
      <c r="D298" s="50">
        <v>8.9079999999999995</v>
      </c>
      <c r="E298" s="50">
        <v>293.04828140813106</v>
      </c>
      <c r="F298" s="50">
        <v>6310.7606647425437</v>
      </c>
      <c r="G298" s="57" t="s">
        <v>92</v>
      </c>
      <c r="H298" s="50">
        <v>0.44400000000000001</v>
      </c>
      <c r="I298" s="50">
        <v>90.9</v>
      </c>
      <c r="J298" s="50">
        <v>1455</v>
      </c>
      <c r="K298" s="50">
        <v>2913</v>
      </c>
      <c r="L298" s="50">
        <v>0.7</v>
      </c>
      <c r="M298" s="50">
        <v>96.24</v>
      </c>
      <c r="N298" s="51">
        <v>34.450000000000003</v>
      </c>
      <c r="O298" s="43">
        <f t="shared" si="59"/>
        <v>0.30000000000000004</v>
      </c>
      <c r="P298" s="43">
        <f t="shared" si="52"/>
        <v>927.96828140813102</v>
      </c>
      <c r="Q298" s="43">
        <f t="shared" si="53"/>
        <v>2.2982681828662972E-5</v>
      </c>
      <c r="R298" s="43">
        <v>35</v>
      </c>
      <c r="S298" s="43">
        <f t="shared" si="54"/>
        <v>0.33333333333333331</v>
      </c>
      <c r="T298" s="43">
        <f t="shared" si="55"/>
        <v>3.7659099565678682</v>
      </c>
      <c r="U298" s="43" t="str" cm="1">
        <f t="array" ref="U298">_xlfn.IFS(T298&lt;3,"Group I",T298&lt;5,"Group II",T298&lt;10,"Group III",T298&lt;20,"Group IV",T298&lt;50,"Group V",T298&lt;100,"Group VI",T298&lt;200,"Group VII",T298&lt;500,"Group VIII",T298&lt;1000,"Group IX",TRUE,"Group X")</f>
        <v>Group II</v>
      </c>
      <c r="V298" s="43">
        <f t="shared" si="56"/>
        <v>0.57586993176317125</v>
      </c>
      <c r="W298" s="43">
        <f t="shared" si="57"/>
        <v>0.45686574257425733</v>
      </c>
      <c r="X298" s="43">
        <f t="shared" si="60"/>
        <v>-0.34021140567540908</v>
      </c>
      <c r="Y298" s="43">
        <f t="shared" si="58"/>
        <v>0.35795926849542814</v>
      </c>
      <c r="Z298" s="43">
        <f t="shared" si="61"/>
        <v>-0.44616638808814368</v>
      </c>
      <c r="AA298" s="43">
        <f t="shared" si="62"/>
        <v>0.20682784185290543</v>
      </c>
      <c r="AB298" s="43">
        <f t="shared" si="63"/>
        <v>0.27819649414266823</v>
      </c>
    </row>
    <row r="299" spans="1:28">
      <c r="A299" s="48" t="s">
        <v>50</v>
      </c>
      <c r="B299" s="50">
        <v>150</v>
      </c>
      <c r="C299" s="50">
        <v>300</v>
      </c>
      <c r="D299" s="50">
        <v>8.9079999999999995</v>
      </c>
      <c r="E299" s="50">
        <v>293.04828140813106</v>
      </c>
      <c r="F299" s="50">
        <v>6310.7606647425437</v>
      </c>
      <c r="G299" s="57" t="s">
        <v>92</v>
      </c>
      <c r="H299" s="50">
        <v>0.44400000000000001</v>
      </c>
      <c r="I299" s="50">
        <v>90.9</v>
      </c>
      <c r="J299" s="50">
        <v>1455</v>
      </c>
      <c r="K299" s="50">
        <v>2913</v>
      </c>
      <c r="L299" s="50">
        <v>0.7</v>
      </c>
      <c r="M299" s="50">
        <v>116.58</v>
      </c>
      <c r="N299" s="51">
        <v>113</v>
      </c>
      <c r="O299" s="43">
        <f t="shared" si="59"/>
        <v>0.30000000000000004</v>
      </c>
      <c r="P299" s="43">
        <f t="shared" si="52"/>
        <v>927.96828140813102</v>
      </c>
      <c r="Q299" s="43">
        <f t="shared" si="53"/>
        <v>2.2982681828662972E-5</v>
      </c>
      <c r="R299" s="43">
        <v>35</v>
      </c>
      <c r="S299" s="43">
        <f t="shared" si="54"/>
        <v>0.5</v>
      </c>
      <c r="T299" s="43">
        <f t="shared" si="55"/>
        <v>5.6488649348518027</v>
      </c>
      <c r="U299" s="43" t="str" cm="1">
        <f t="array" ref="U299">_xlfn.IFS(T299&lt;3,"Group I",T299&lt;5,"Group II",T299&lt;10,"Group III",T299&lt;20,"Group IV",T299&lt;50,"Group V",T299&lt;100,"Group VI",T299&lt;200,"Group VII",T299&lt;500,"Group VIII",T299&lt;1000,"Group IX",TRUE,"Group X")</f>
        <v>Group III</v>
      </c>
      <c r="V299" s="43">
        <f t="shared" si="56"/>
        <v>0.75196119081885249</v>
      </c>
      <c r="W299" s="43">
        <f t="shared" si="57"/>
        <v>0.45686574257425733</v>
      </c>
      <c r="X299" s="43">
        <f t="shared" si="60"/>
        <v>-0.34021140567540908</v>
      </c>
      <c r="Y299" s="43">
        <f t="shared" si="58"/>
        <v>0.96929147366615198</v>
      </c>
      <c r="Z299" s="43">
        <f t="shared" si="61"/>
        <v>-1.3545607500006438E-2</v>
      </c>
      <c r="AA299" s="43">
        <f t="shared" si="62"/>
        <v>0.31024176277935817</v>
      </c>
      <c r="AB299" s="43">
        <f t="shared" si="63"/>
        <v>0.31391295471188263</v>
      </c>
    </row>
    <row r="300" spans="1:28">
      <c r="A300" s="48" t="s">
        <v>50</v>
      </c>
      <c r="B300" s="50">
        <v>200</v>
      </c>
      <c r="C300" s="50">
        <v>300</v>
      </c>
      <c r="D300" s="50">
        <v>8.9079999999999995</v>
      </c>
      <c r="E300" s="50">
        <v>293.04828140813106</v>
      </c>
      <c r="F300" s="50">
        <v>6310.7606647425437</v>
      </c>
      <c r="G300" s="57" t="s">
        <v>92</v>
      </c>
      <c r="H300" s="50">
        <v>0.44400000000000001</v>
      </c>
      <c r="I300" s="50">
        <v>90.9</v>
      </c>
      <c r="J300" s="50">
        <v>1455</v>
      </c>
      <c r="K300" s="50">
        <v>2913</v>
      </c>
      <c r="L300" s="50">
        <v>0.7</v>
      </c>
      <c r="M300" s="50">
        <v>161.25</v>
      </c>
      <c r="N300" s="51">
        <v>145.87</v>
      </c>
      <c r="O300" s="43">
        <f t="shared" si="59"/>
        <v>0.30000000000000004</v>
      </c>
      <c r="P300" s="43">
        <f t="shared" si="52"/>
        <v>927.96828140813102</v>
      </c>
      <c r="Q300" s="43">
        <f t="shared" si="53"/>
        <v>2.2982681828662972E-5</v>
      </c>
      <c r="R300" s="43">
        <v>35</v>
      </c>
      <c r="S300" s="43">
        <f t="shared" si="54"/>
        <v>0.66666666666666663</v>
      </c>
      <c r="T300" s="43">
        <f t="shared" si="55"/>
        <v>7.5318199131357364</v>
      </c>
      <c r="U300" s="43" t="str" cm="1">
        <f t="array" ref="U300">_xlfn.IFS(T300&lt;3,"Group I",T300&lt;5,"Group II",T300&lt;10,"Group III",T300&lt;20,"Group IV",T300&lt;50,"Group V",T300&lt;100,"Group VI",T300&lt;200,"Group VII",T300&lt;500,"Group VIII",T300&lt;1000,"Group IX",TRUE,"Group X")</f>
        <v>Group III</v>
      </c>
      <c r="V300" s="43">
        <f t="shared" si="56"/>
        <v>0.87689992742715239</v>
      </c>
      <c r="W300" s="43">
        <f t="shared" si="57"/>
        <v>0.45686574257425733</v>
      </c>
      <c r="X300" s="43">
        <f t="shared" si="60"/>
        <v>-0.34021140567540908</v>
      </c>
      <c r="Y300" s="43">
        <f t="shared" si="58"/>
        <v>0.9046201550387597</v>
      </c>
      <c r="Z300" s="43">
        <f t="shared" si="61"/>
        <v>-4.3533740352421892E-2</v>
      </c>
      <c r="AA300" s="43">
        <f t="shared" si="62"/>
        <v>0.41365568370581085</v>
      </c>
      <c r="AB300" s="43">
        <f t="shared" si="63"/>
        <v>0.34200187604774657</v>
      </c>
    </row>
    <row r="301" spans="1:28">
      <c r="A301" s="48" t="s">
        <v>50</v>
      </c>
      <c r="B301" s="50">
        <v>250</v>
      </c>
      <c r="C301" s="50">
        <v>300</v>
      </c>
      <c r="D301" s="50">
        <v>8.9079999999999995</v>
      </c>
      <c r="E301" s="50">
        <v>293.04828140813106</v>
      </c>
      <c r="F301" s="50">
        <v>6310.7606647425437</v>
      </c>
      <c r="G301" s="57" t="s">
        <v>92</v>
      </c>
      <c r="H301" s="50">
        <v>0.44400000000000001</v>
      </c>
      <c r="I301" s="50">
        <v>90.9</v>
      </c>
      <c r="J301" s="50">
        <v>1455</v>
      </c>
      <c r="K301" s="50">
        <v>2913</v>
      </c>
      <c r="L301" s="50">
        <v>0.7</v>
      </c>
      <c r="M301" s="50">
        <v>187.99</v>
      </c>
      <c r="N301" s="51">
        <v>209.54</v>
      </c>
      <c r="O301" s="43">
        <f t="shared" si="59"/>
        <v>0.30000000000000004</v>
      </c>
      <c r="P301" s="43">
        <f t="shared" si="52"/>
        <v>927.96828140813102</v>
      </c>
      <c r="Q301" s="43">
        <f t="shared" si="53"/>
        <v>2.2982681828662972E-5</v>
      </c>
      <c r="R301" s="43">
        <v>35</v>
      </c>
      <c r="S301" s="43">
        <f t="shared" si="54"/>
        <v>0.83333333333333337</v>
      </c>
      <c r="T301" s="43">
        <f t="shared" si="55"/>
        <v>9.4147748914196701</v>
      </c>
      <c r="U301" s="43" t="str" cm="1">
        <f t="array" ref="U301">_xlfn.IFS(T301&lt;3,"Group I",T301&lt;5,"Group II",T301&lt;10,"Group III",T301&lt;20,"Group IV",T301&lt;50,"Group V",T301&lt;100,"Group VI",T301&lt;200,"Group VII",T301&lt;500,"Group VIII",T301&lt;1000,"Group IX",TRUE,"Group X")</f>
        <v>Group III</v>
      </c>
      <c r="V301" s="43">
        <f t="shared" si="56"/>
        <v>0.97380994043520874</v>
      </c>
      <c r="W301" s="43">
        <f t="shared" si="57"/>
        <v>0.45686574257425733</v>
      </c>
      <c r="X301" s="43">
        <f t="shared" si="60"/>
        <v>-0.34021140567540908</v>
      </c>
      <c r="Y301" s="43">
        <f t="shared" si="58"/>
        <v>1.11463375711474</v>
      </c>
      <c r="Z301" s="43">
        <f t="shared" si="61"/>
        <v>4.7132191695826851E-2</v>
      </c>
      <c r="AA301" s="43">
        <f t="shared" si="62"/>
        <v>0.51706960463226348</v>
      </c>
      <c r="AB301" s="43">
        <f t="shared" si="63"/>
        <v>0.36550892098211923</v>
      </c>
    </row>
    <row r="302" spans="1:28">
      <c r="A302" s="48" t="s">
        <v>50</v>
      </c>
      <c r="B302" s="50">
        <v>300</v>
      </c>
      <c r="C302" s="50">
        <v>300</v>
      </c>
      <c r="D302" s="50">
        <v>8.9079999999999995</v>
      </c>
      <c r="E302" s="50">
        <v>293.04828140813106</v>
      </c>
      <c r="F302" s="50">
        <v>6310.7606647425437</v>
      </c>
      <c r="G302" s="57" t="s">
        <v>92</v>
      </c>
      <c r="H302" s="50">
        <v>0.44400000000000001</v>
      </c>
      <c r="I302" s="50">
        <v>90.9</v>
      </c>
      <c r="J302" s="50">
        <v>1455</v>
      </c>
      <c r="K302" s="50">
        <v>2913</v>
      </c>
      <c r="L302" s="50">
        <v>0.7</v>
      </c>
      <c r="M302" s="50">
        <v>250.64</v>
      </c>
      <c r="N302" s="51">
        <v>189.84</v>
      </c>
      <c r="O302" s="43">
        <f t="shared" si="59"/>
        <v>0.30000000000000004</v>
      </c>
      <c r="P302" s="43">
        <f t="shared" si="52"/>
        <v>927.96828140813102</v>
      </c>
      <c r="Q302" s="43">
        <f t="shared" si="53"/>
        <v>2.2982681828662972E-5</v>
      </c>
      <c r="R302" s="43">
        <v>35</v>
      </c>
      <c r="S302" s="43">
        <f t="shared" si="54"/>
        <v>1</v>
      </c>
      <c r="T302" s="43">
        <f t="shared" si="55"/>
        <v>11.297729869703605</v>
      </c>
      <c r="U302" s="43" t="str" cm="1">
        <f t="array" ref="U302">_xlfn.IFS(T302&lt;3,"Group I",T302&lt;5,"Group II",T302&lt;10,"Group III",T302&lt;20,"Group IV",T302&lt;50,"Group V",T302&lt;100,"Group VI",T302&lt;200,"Group VII",T302&lt;500,"Group VIII",T302&lt;1000,"Group IX",TRUE,"Group X")</f>
        <v>Group IV</v>
      </c>
      <c r="V302" s="43">
        <f t="shared" si="56"/>
        <v>1.0529911864828336</v>
      </c>
      <c r="W302" s="43">
        <f t="shared" si="57"/>
        <v>0.45686574257425733</v>
      </c>
      <c r="X302" s="43">
        <f t="shared" si="60"/>
        <v>-0.34021140567540908</v>
      </c>
      <c r="Y302" s="43">
        <f t="shared" si="58"/>
        <v>0.75742100223428033</v>
      </c>
      <c r="Z302" s="43">
        <f t="shared" si="61"/>
        <v>-0.12066265666436611</v>
      </c>
      <c r="AA302" s="43">
        <f t="shared" si="62"/>
        <v>0.62048352555871633</v>
      </c>
      <c r="AB302" s="43">
        <f t="shared" si="63"/>
        <v>0.38591003728500645</v>
      </c>
    </row>
    <row r="303" spans="1:28">
      <c r="A303" s="48" t="s">
        <v>50</v>
      </c>
      <c r="B303" s="50">
        <v>100</v>
      </c>
      <c r="C303" s="50">
        <v>600</v>
      </c>
      <c r="D303" s="50">
        <v>8.9079999999999995</v>
      </c>
      <c r="E303" s="50">
        <v>293.04828140813106</v>
      </c>
      <c r="F303" s="50">
        <v>6310.7606647425437</v>
      </c>
      <c r="G303" s="57" t="s">
        <v>92</v>
      </c>
      <c r="H303" s="50">
        <v>0.44400000000000001</v>
      </c>
      <c r="I303" s="50">
        <v>90.9</v>
      </c>
      <c r="J303" s="50">
        <v>1455</v>
      </c>
      <c r="K303" s="50">
        <v>2913</v>
      </c>
      <c r="L303" s="50">
        <v>0.7</v>
      </c>
      <c r="M303" s="50">
        <v>61.65</v>
      </c>
      <c r="N303" s="51">
        <v>20.57</v>
      </c>
      <c r="O303" s="43">
        <f t="shared" si="59"/>
        <v>0.30000000000000004</v>
      </c>
      <c r="P303" s="43">
        <f t="shared" si="52"/>
        <v>927.96828140813102</v>
      </c>
      <c r="Q303" s="43">
        <f t="shared" si="53"/>
        <v>2.2982681828662972E-5</v>
      </c>
      <c r="R303" s="43">
        <v>35</v>
      </c>
      <c r="S303" s="43">
        <f t="shared" si="54"/>
        <v>0.16666666666666666</v>
      </c>
      <c r="T303" s="43">
        <f t="shared" si="55"/>
        <v>2.6629004676270762</v>
      </c>
      <c r="U303" s="43" t="str" cm="1">
        <f t="array" ref="U303">_xlfn.IFS(T303&lt;3,"Group I",T303&lt;5,"Group II",T303&lt;10,"Group III",T303&lt;20,"Group IV",T303&lt;50,"Group V",T303&lt;100,"Group VI",T303&lt;200,"Group VII",T303&lt;500,"Group VIII",T303&lt;1000,"Group IX",TRUE,"Group X")</f>
        <v>Group I</v>
      </c>
      <c r="V303" s="43">
        <f t="shared" si="56"/>
        <v>0.42535493393118057</v>
      </c>
      <c r="W303" s="43">
        <f t="shared" si="57"/>
        <v>0.91373148514851465</v>
      </c>
      <c r="X303" s="43">
        <f t="shared" si="60"/>
        <v>-3.9181410011427872E-2</v>
      </c>
      <c r="Y303" s="43">
        <f t="shared" si="58"/>
        <v>0.33365774533657744</v>
      </c>
      <c r="Z303" s="43">
        <f t="shared" si="61"/>
        <v>-0.47669878923702647</v>
      </c>
      <c r="AA303" s="43">
        <f t="shared" si="62"/>
        <v>0.15087987701787753</v>
      </c>
      <c r="AB303" s="43">
        <f t="shared" si="63"/>
        <v>0.25090726405198249</v>
      </c>
    </row>
    <row r="304" spans="1:28">
      <c r="A304" s="48" t="s">
        <v>50</v>
      </c>
      <c r="B304" s="50">
        <v>150</v>
      </c>
      <c r="C304" s="50">
        <v>600</v>
      </c>
      <c r="D304" s="50">
        <v>8.9079999999999995</v>
      </c>
      <c r="E304" s="50">
        <v>293.04828140813106</v>
      </c>
      <c r="F304" s="50">
        <v>6310.7606647425437</v>
      </c>
      <c r="G304" s="57" t="s">
        <v>92</v>
      </c>
      <c r="H304" s="50">
        <v>0.44400000000000001</v>
      </c>
      <c r="I304" s="50">
        <v>90.9</v>
      </c>
      <c r="J304" s="50">
        <v>1455</v>
      </c>
      <c r="K304" s="50">
        <v>2913</v>
      </c>
      <c r="L304" s="50">
        <v>0.7</v>
      </c>
      <c r="M304" s="50">
        <v>87.23</v>
      </c>
      <c r="N304" s="51">
        <v>28.98</v>
      </c>
      <c r="O304" s="43">
        <f t="shared" si="59"/>
        <v>0.30000000000000004</v>
      </c>
      <c r="P304" s="43">
        <f t="shared" si="52"/>
        <v>927.96828140813102</v>
      </c>
      <c r="Q304" s="43">
        <f t="shared" si="53"/>
        <v>2.2982681828662972E-5</v>
      </c>
      <c r="R304" s="43">
        <v>35</v>
      </c>
      <c r="S304" s="43">
        <f t="shared" si="54"/>
        <v>0.25</v>
      </c>
      <c r="T304" s="43">
        <f t="shared" si="55"/>
        <v>3.9943507014406148</v>
      </c>
      <c r="U304" s="43" t="str" cm="1">
        <f t="array" ref="U304">_xlfn.IFS(T304&lt;3,"Group I",T304&lt;5,"Group II",T304&lt;10,"Group III",T304&lt;20,"Group IV",T304&lt;50,"Group V",T304&lt;100,"Group VI",T304&lt;200,"Group VII",T304&lt;500,"Group VIII",T304&lt;1000,"Group IX",TRUE,"Group X")</f>
        <v>Group II</v>
      </c>
      <c r="V304" s="43">
        <f t="shared" si="56"/>
        <v>0.60144619298686186</v>
      </c>
      <c r="W304" s="43">
        <f t="shared" si="57"/>
        <v>0.91373148514851465</v>
      </c>
      <c r="X304" s="43">
        <f t="shared" si="60"/>
        <v>-3.9181410011427872E-2</v>
      </c>
      <c r="Y304" s="43">
        <f t="shared" si="58"/>
        <v>0.33222515189728302</v>
      </c>
      <c r="Z304" s="43">
        <f t="shared" si="61"/>
        <v>-0.47856749134067311</v>
      </c>
      <c r="AA304" s="43">
        <f t="shared" si="62"/>
        <v>0.22631981552681629</v>
      </c>
      <c r="AB304" s="43">
        <f t="shared" si="63"/>
        <v>0.28312017683745538</v>
      </c>
    </row>
    <row r="305" spans="1:28">
      <c r="A305" s="48" t="s">
        <v>50</v>
      </c>
      <c r="B305" s="50">
        <v>200</v>
      </c>
      <c r="C305" s="50">
        <v>600</v>
      </c>
      <c r="D305" s="50">
        <v>8.9079999999999995</v>
      </c>
      <c r="E305" s="50">
        <v>293.04828140813106</v>
      </c>
      <c r="F305" s="50">
        <v>6310.7606647425437</v>
      </c>
      <c r="G305" s="57" t="s">
        <v>92</v>
      </c>
      <c r="H305" s="50">
        <v>0.44400000000000001</v>
      </c>
      <c r="I305" s="50">
        <v>90.9</v>
      </c>
      <c r="J305" s="50">
        <v>1455</v>
      </c>
      <c r="K305" s="50">
        <v>2913</v>
      </c>
      <c r="L305" s="50">
        <v>0.7</v>
      </c>
      <c r="M305" s="50">
        <v>101.72</v>
      </c>
      <c r="N305" s="51">
        <v>31.06</v>
      </c>
      <c r="O305" s="43">
        <f t="shared" si="59"/>
        <v>0.30000000000000004</v>
      </c>
      <c r="P305" s="43">
        <f t="shared" si="52"/>
        <v>927.96828140813102</v>
      </c>
      <c r="Q305" s="43">
        <f t="shared" si="53"/>
        <v>2.2982681828662972E-5</v>
      </c>
      <c r="R305" s="43">
        <v>35</v>
      </c>
      <c r="S305" s="43">
        <f t="shared" si="54"/>
        <v>0.33333333333333331</v>
      </c>
      <c r="T305" s="43">
        <f t="shared" si="55"/>
        <v>5.3258009352541524</v>
      </c>
      <c r="U305" s="43" t="str" cm="1">
        <f t="array" ref="U305">_xlfn.IFS(T305&lt;3,"Group I",T305&lt;5,"Group II",T305&lt;10,"Group III",T305&lt;20,"Group IV",T305&lt;50,"Group V",T305&lt;100,"Group VI",T305&lt;200,"Group VII",T305&lt;500,"Group VIII",T305&lt;1000,"Group IX",TRUE,"Group X")</f>
        <v>Group III</v>
      </c>
      <c r="V305" s="43">
        <f t="shared" si="56"/>
        <v>0.72638492959516177</v>
      </c>
      <c r="W305" s="43">
        <f t="shared" si="57"/>
        <v>0.91373148514851465</v>
      </c>
      <c r="X305" s="43">
        <f t="shared" si="60"/>
        <v>-3.9181410011427872E-2</v>
      </c>
      <c r="Y305" s="43">
        <f t="shared" si="58"/>
        <v>0.30534801415650803</v>
      </c>
      <c r="Z305" s="43">
        <f t="shared" si="61"/>
        <v>-0.51520490011113163</v>
      </c>
      <c r="AA305" s="43">
        <f t="shared" si="62"/>
        <v>0.30175975403575506</v>
      </c>
      <c r="AB305" s="43">
        <f t="shared" si="63"/>
        <v>0.3084537613755074</v>
      </c>
    </row>
    <row r="306" spans="1:28">
      <c r="A306" s="48" t="s">
        <v>50</v>
      </c>
      <c r="B306" s="50">
        <v>250</v>
      </c>
      <c r="C306" s="50">
        <v>600</v>
      </c>
      <c r="D306" s="50">
        <v>8.9079999999999995</v>
      </c>
      <c r="E306" s="50">
        <v>293.04828140813106</v>
      </c>
      <c r="F306" s="50">
        <v>6310.7606647425437</v>
      </c>
      <c r="G306" s="57" t="s">
        <v>92</v>
      </c>
      <c r="H306" s="50">
        <v>0.44400000000000001</v>
      </c>
      <c r="I306" s="50">
        <v>90.9</v>
      </c>
      <c r="J306" s="50">
        <v>1455</v>
      </c>
      <c r="K306" s="50">
        <v>2913</v>
      </c>
      <c r="L306" s="50">
        <v>0.7</v>
      </c>
      <c r="M306" s="50">
        <v>157.75</v>
      </c>
      <c r="N306" s="51">
        <v>67.22</v>
      </c>
      <c r="O306" s="43">
        <f t="shared" si="59"/>
        <v>0.30000000000000004</v>
      </c>
      <c r="P306" s="43">
        <f t="shared" si="52"/>
        <v>927.96828140813102</v>
      </c>
      <c r="Q306" s="43">
        <f t="shared" si="53"/>
        <v>2.2982681828662972E-5</v>
      </c>
      <c r="R306" s="43">
        <v>35</v>
      </c>
      <c r="S306" s="43">
        <f t="shared" si="54"/>
        <v>0.41666666666666669</v>
      </c>
      <c r="T306" s="43">
        <f t="shared" si="55"/>
        <v>6.6572511690676919</v>
      </c>
      <c r="U306" s="43" t="str" cm="1">
        <f t="array" ref="U306">_xlfn.IFS(T306&lt;3,"Group I",T306&lt;5,"Group II",T306&lt;10,"Group III",T306&lt;20,"Group IV",T306&lt;50,"Group V",T306&lt;100,"Group VI",T306&lt;200,"Group VII",T306&lt;500,"Group VIII",T306&lt;1000,"Group IX",TRUE,"Group X")</f>
        <v>Group III</v>
      </c>
      <c r="V306" s="43">
        <f t="shared" si="56"/>
        <v>0.82329494260321834</v>
      </c>
      <c r="W306" s="43">
        <f t="shared" si="57"/>
        <v>0.91373148514851465</v>
      </c>
      <c r="X306" s="43">
        <f t="shared" si="60"/>
        <v>-3.9181410011427872E-2</v>
      </c>
      <c r="Y306" s="43">
        <f t="shared" si="58"/>
        <v>0.42611727416798734</v>
      </c>
      <c r="Z306" s="43">
        <f t="shared" si="61"/>
        <v>-0.37047085978271327</v>
      </c>
      <c r="AA306" s="43">
        <f t="shared" si="62"/>
        <v>0.37719969254469388</v>
      </c>
      <c r="AB306" s="43">
        <f t="shared" si="63"/>
        <v>0.32965492118381806</v>
      </c>
    </row>
    <row r="307" spans="1:28">
      <c r="A307" s="48" t="s">
        <v>50</v>
      </c>
      <c r="B307" s="50">
        <v>300</v>
      </c>
      <c r="C307" s="50">
        <v>600</v>
      </c>
      <c r="D307" s="50">
        <v>8.9079999999999995</v>
      </c>
      <c r="E307" s="50">
        <v>293.04828140813106</v>
      </c>
      <c r="F307" s="50">
        <v>6310.7606647425437</v>
      </c>
      <c r="G307" s="57" t="s">
        <v>92</v>
      </c>
      <c r="H307" s="50">
        <v>0.44400000000000001</v>
      </c>
      <c r="I307" s="50">
        <v>90.9</v>
      </c>
      <c r="J307" s="50">
        <v>1455</v>
      </c>
      <c r="K307" s="50">
        <v>2913</v>
      </c>
      <c r="L307" s="50">
        <v>0.7</v>
      </c>
      <c r="M307" s="50">
        <v>160</v>
      </c>
      <c r="N307" s="51">
        <v>122.92</v>
      </c>
      <c r="O307" s="43">
        <f t="shared" si="59"/>
        <v>0.30000000000000004</v>
      </c>
      <c r="P307" s="43">
        <f t="shared" si="52"/>
        <v>927.96828140813102</v>
      </c>
      <c r="Q307" s="43">
        <f t="shared" si="53"/>
        <v>2.2982681828662972E-5</v>
      </c>
      <c r="R307" s="43">
        <v>35</v>
      </c>
      <c r="S307" s="43">
        <f t="shared" si="54"/>
        <v>0.5</v>
      </c>
      <c r="T307" s="43">
        <f t="shared" si="55"/>
        <v>7.9887014028812295</v>
      </c>
      <c r="U307" s="43" t="str" cm="1">
        <f t="array" ref="U307">_xlfn.IFS(T307&lt;3,"Group I",T307&lt;5,"Group II",T307&lt;10,"Group III",T307&lt;20,"Group IV",T307&lt;50,"Group V",T307&lt;100,"Group VI",T307&lt;200,"Group VII",T307&lt;500,"Group VIII",T307&lt;1000,"Group IX",TRUE,"Group X")</f>
        <v>Group III</v>
      </c>
      <c r="V307" s="43">
        <f t="shared" si="56"/>
        <v>0.90247618865084311</v>
      </c>
      <c r="W307" s="43">
        <f t="shared" si="57"/>
        <v>0.91373148514851465</v>
      </c>
      <c r="X307" s="43">
        <f t="shared" si="60"/>
        <v>-3.9181410011427872E-2</v>
      </c>
      <c r="Y307" s="43">
        <f t="shared" si="58"/>
        <v>0.76824999999999999</v>
      </c>
      <c r="Z307" s="43">
        <f t="shared" si="61"/>
        <v>-0.11449743107158419</v>
      </c>
      <c r="AA307" s="43">
        <f t="shared" si="62"/>
        <v>0.45263963105363259</v>
      </c>
      <c r="AB307" s="43">
        <f t="shared" si="63"/>
        <v>0.34805482334986992</v>
      </c>
    </row>
    <row r="308" spans="1:28">
      <c r="A308" s="48" t="s">
        <v>50</v>
      </c>
      <c r="B308" s="50">
        <v>100</v>
      </c>
      <c r="C308" s="50">
        <v>900</v>
      </c>
      <c r="D308" s="50">
        <v>8.9079999999999995</v>
      </c>
      <c r="E308" s="50">
        <v>293.04828140813106</v>
      </c>
      <c r="F308" s="50">
        <v>6310.7606647425437</v>
      </c>
      <c r="G308" s="57" t="s">
        <v>92</v>
      </c>
      <c r="H308" s="50">
        <v>0.44400000000000001</v>
      </c>
      <c r="I308" s="50">
        <v>90.9</v>
      </c>
      <c r="J308" s="50">
        <v>1455</v>
      </c>
      <c r="K308" s="50">
        <v>2913</v>
      </c>
      <c r="L308" s="50">
        <v>0.7</v>
      </c>
      <c r="M308" s="50">
        <v>42.64</v>
      </c>
      <c r="N308" s="51">
        <v>14.49</v>
      </c>
      <c r="O308" s="43">
        <f t="shared" si="59"/>
        <v>0.30000000000000004</v>
      </c>
      <c r="P308" s="43">
        <f t="shared" si="52"/>
        <v>927.96828140813102</v>
      </c>
      <c r="Q308" s="43">
        <f t="shared" si="53"/>
        <v>2.2982681828662972E-5</v>
      </c>
      <c r="R308" s="43">
        <v>35</v>
      </c>
      <c r="S308" s="43">
        <f t="shared" si="54"/>
        <v>0.1111111111111111</v>
      </c>
      <c r="T308" s="43">
        <f t="shared" si="55"/>
        <v>2.1742491271683506</v>
      </c>
      <c r="U308" s="43" t="str" cm="1">
        <f t="array" ref="U308">_xlfn.IFS(T308&lt;3,"Group I",T308&lt;5,"Group II",T308&lt;10,"Group III",T308&lt;20,"Group IV",T308&lt;50,"Group V",T308&lt;100,"Group VI",T308&lt;200,"Group VII",T308&lt;500,"Group VIII",T308&lt;1000,"Group IX",TRUE,"Group X")</f>
        <v>Group I</v>
      </c>
      <c r="V308" s="43">
        <f t="shared" si="56"/>
        <v>0.33730930440334</v>
      </c>
      <c r="W308" s="43">
        <f t="shared" si="57"/>
        <v>1.370597227722772</v>
      </c>
      <c r="X308" s="43">
        <f t="shared" si="60"/>
        <v>0.13690984904425338</v>
      </c>
      <c r="Y308" s="43">
        <f t="shared" si="58"/>
        <v>0.33982176360225141</v>
      </c>
      <c r="Z308" s="43">
        <f t="shared" si="61"/>
        <v>-0.46874881054734124</v>
      </c>
      <c r="AA308" s="43">
        <f t="shared" si="62"/>
        <v>0.12545977830922145</v>
      </c>
      <c r="AB308" s="43">
        <f t="shared" si="63"/>
        <v>0.23620247381069018</v>
      </c>
    </row>
    <row r="309" spans="1:28">
      <c r="A309" s="48" t="s">
        <v>50</v>
      </c>
      <c r="B309" s="50">
        <v>150</v>
      </c>
      <c r="C309" s="50">
        <v>900</v>
      </c>
      <c r="D309" s="50">
        <v>8.9079999999999995</v>
      </c>
      <c r="E309" s="50">
        <v>293.04828140813106</v>
      </c>
      <c r="F309" s="50">
        <v>6310.7606647425437</v>
      </c>
      <c r="G309" s="57" t="s">
        <v>92</v>
      </c>
      <c r="H309" s="50">
        <v>0.44400000000000001</v>
      </c>
      <c r="I309" s="50">
        <v>90.9</v>
      </c>
      <c r="J309" s="50">
        <v>1455</v>
      </c>
      <c r="K309" s="50">
        <v>2913</v>
      </c>
      <c r="L309" s="50">
        <v>0.7</v>
      </c>
      <c r="M309" s="50">
        <v>65.45</v>
      </c>
      <c r="N309" s="51">
        <v>16.54</v>
      </c>
      <c r="O309" s="43">
        <f t="shared" si="59"/>
        <v>0.30000000000000004</v>
      </c>
      <c r="P309" s="43">
        <f t="shared" si="52"/>
        <v>927.96828140813102</v>
      </c>
      <c r="Q309" s="43">
        <f t="shared" si="53"/>
        <v>2.2982681828662972E-5</v>
      </c>
      <c r="R309" s="43">
        <v>35</v>
      </c>
      <c r="S309" s="43">
        <f t="shared" si="54"/>
        <v>0.16666666666666666</v>
      </c>
      <c r="T309" s="43">
        <f t="shared" si="55"/>
        <v>3.2613736907525261</v>
      </c>
      <c r="U309" s="43" t="str" cm="1">
        <f t="array" ref="U309">_xlfn.IFS(T309&lt;3,"Group I",T309&lt;5,"Group II",T309&lt;10,"Group III",T309&lt;20,"Group IV",T309&lt;50,"Group V",T309&lt;100,"Group VI",T309&lt;200,"Group VII",T309&lt;500,"Group VIII",T309&lt;1000,"Group IX",TRUE,"Group X")</f>
        <v>Group II</v>
      </c>
      <c r="V309" s="43">
        <f t="shared" si="56"/>
        <v>0.5134005634590213</v>
      </c>
      <c r="W309" s="43">
        <f t="shared" si="57"/>
        <v>1.370597227722772</v>
      </c>
      <c r="X309" s="43">
        <f t="shared" si="60"/>
        <v>0.13690984904425338</v>
      </c>
      <c r="Y309" s="43">
        <f t="shared" si="58"/>
        <v>0.25271199388846444</v>
      </c>
      <c r="Z309" s="43">
        <f t="shared" si="61"/>
        <v>-0.59737414567024683</v>
      </c>
      <c r="AA309" s="43">
        <f t="shared" si="62"/>
        <v>0.18818966746383214</v>
      </c>
      <c r="AB309" s="43">
        <f t="shared" si="63"/>
        <v>0.2665275013356021</v>
      </c>
    </row>
    <row r="310" spans="1:28">
      <c r="A310" s="48" t="s">
        <v>50</v>
      </c>
      <c r="B310" s="50">
        <v>200</v>
      </c>
      <c r="C310" s="50">
        <v>900</v>
      </c>
      <c r="D310" s="50">
        <v>8.9079999999999995</v>
      </c>
      <c r="E310" s="50">
        <v>293.04828140813106</v>
      </c>
      <c r="F310" s="50">
        <v>6310.7606647425437</v>
      </c>
      <c r="G310" s="57" t="s">
        <v>92</v>
      </c>
      <c r="H310" s="50">
        <v>0.44400000000000001</v>
      </c>
      <c r="I310" s="50">
        <v>90.9</v>
      </c>
      <c r="J310" s="50">
        <v>1455</v>
      </c>
      <c r="K310" s="50">
        <v>2913</v>
      </c>
      <c r="L310" s="50">
        <v>0.7</v>
      </c>
      <c r="M310" s="50">
        <v>83</v>
      </c>
      <c r="N310" s="51">
        <v>20.34</v>
      </c>
      <c r="O310" s="43">
        <f t="shared" si="59"/>
        <v>0.30000000000000004</v>
      </c>
      <c r="P310" s="43">
        <f t="shared" si="52"/>
        <v>927.96828140813102</v>
      </c>
      <c r="Q310" s="43">
        <f t="shared" si="53"/>
        <v>2.2982681828662972E-5</v>
      </c>
      <c r="R310" s="43">
        <v>35</v>
      </c>
      <c r="S310" s="43">
        <f t="shared" si="54"/>
        <v>0.22222222222222221</v>
      </c>
      <c r="T310" s="43">
        <f t="shared" si="55"/>
        <v>4.3484982543367012</v>
      </c>
      <c r="U310" s="43" t="str" cm="1">
        <f t="array" ref="U310">_xlfn.IFS(T310&lt;3,"Group I",T310&lt;5,"Group II",T310&lt;10,"Group III",T310&lt;20,"Group IV",T310&lt;50,"Group V",T310&lt;100,"Group VI",T310&lt;200,"Group VII",T310&lt;500,"Group VIII",T310&lt;1000,"Group IX",TRUE,"Group X")</f>
        <v>Group II</v>
      </c>
      <c r="V310" s="43">
        <f t="shared" si="56"/>
        <v>0.6383393000673212</v>
      </c>
      <c r="W310" s="43">
        <f t="shared" si="57"/>
        <v>1.370597227722772</v>
      </c>
      <c r="X310" s="43">
        <f t="shared" si="60"/>
        <v>0.13690984904425338</v>
      </c>
      <c r="Y310" s="43">
        <f t="shared" si="58"/>
        <v>0.24506024096385542</v>
      </c>
      <c r="Z310" s="43">
        <f t="shared" si="61"/>
        <v>-0.61072714378934811</v>
      </c>
      <c r="AA310" s="43">
        <f t="shared" si="62"/>
        <v>0.2509195566184429</v>
      </c>
      <c r="AB310" s="43">
        <f t="shared" si="63"/>
        <v>0.29037637379048814</v>
      </c>
    </row>
    <row r="311" spans="1:28">
      <c r="A311" s="48" t="s">
        <v>50</v>
      </c>
      <c r="B311" s="50">
        <v>250</v>
      </c>
      <c r="C311" s="50">
        <v>900</v>
      </c>
      <c r="D311" s="50">
        <v>8.9079999999999995</v>
      </c>
      <c r="E311" s="50">
        <v>293.04828140813106</v>
      </c>
      <c r="F311" s="50">
        <v>6310.7606647425437</v>
      </c>
      <c r="G311" s="57" t="s">
        <v>92</v>
      </c>
      <c r="H311" s="50">
        <v>0.44400000000000001</v>
      </c>
      <c r="I311" s="50">
        <v>90.9</v>
      </c>
      <c r="J311" s="50">
        <v>1455</v>
      </c>
      <c r="K311" s="50">
        <v>2913</v>
      </c>
      <c r="L311" s="50">
        <v>0.7</v>
      </c>
      <c r="M311" s="50">
        <v>100.56</v>
      </c>
      <c r="N311" s="51">
        <v>51.35</v>
      </c>
      <c r="O311" s="43">
        <f t="shared" si="59"/>
        <v>0.30000000000000004</v>
      </c>
      <c r="P311" s="43">
        <f t="shared" si="52"/>
        <v>927.96828140813102</v>
      </c>
      <c r="Q311" s="43">
        <f t="shared" si="53"/>
        <v>2.2982681828662972E-5</v>
      </c>
      <c r="R311" s="43">
        <v>35</v>
      </c>
      <c r="S311" s="43">
        <f t="shared" si="54"/>
        <v>0.27777777777777779</v>
      </c>
      <c r="T311" s="43">
        <f t="shared" si="55"/>
        <v>5.4356228179208772</v>
      </c>
      <c r="U311" s="43" t="str" cm="1">
        <f t="array" ref="U311">_xlfn.IFS(T311&lt;3,"Group I",T311&lt;5,"Group II",T311&lt;10,"Group III",T311&lt;20,"Group IV",T311&lt;50,"Group V",T311&lt;100,"Group VI",T311&lt;200,"Group VII",T311&lt;500,"Group VIII",T311&lt;1000,"Group IX",TRUE,"Group X")</f>
        <v>Group III</v>
      </c>
      <c r="V311" s="43">
        <f t="shared" si="56"/>
        <v>0.73524931307537766</v>
      </c>
      <c r="W311" s="43">
        <f t="shared" si="57"/>
        <v>1.370597227722772</v>
      </c>
      <c r="X311" s="43">
        <f t="shared" si="60"/>
        <v>0.13690984904425338</v>
      </c>
      <c r="Y311" s="43">
        <f t="shared" si="58"/>
        <v>0.5106404136833731</v>
      </c>
      <c r="Z311" s="43">
        <f t="shared" si="61"/>
        <v>-0.29188481674460437</v>
      </c>
      <c r="AA311" s="43">
        <f t="shared" si="62"/>
        <v>0.31364944577305359</v>
      </c>
      <c r="AB311" s="43">
        <f t="shared" si="63"/>
        <v>0.31033500836131211</v>
      </c>
    </row>
    <row r="312" spans="1:28" ht="18.600000000000001" thickBot="1">
      <c r="A312" s="53" t="s">
        <v>50</v>
      </c>
      <c r="B312" s="54">
        <v>300</v>
      </c>
      <c r="C312" s="54">
        <v>900</v>
      </c>
      <c r="D312" s="54">
        <v>8.9079999999999995</v>
      </c>
      <c r="E312" s="54">
        <v>293.04828140813106</v>
      </c>
      <c r="F312" s="54">
        <v>6310.7606647425437</v>
      </c>
      <c r="G312" s="57" t="s">
        <v>92</v>
      </c>
      <c r="H312" s="54">
        <v>0.44400000000000001</v>
      </c>
      <c r="I312" s="54">
        <v>90.9</v>
      </c>
      <c r="J312" s="54">
        <v>1455</v>
      </c>
      <c r="K312" s="54">
        <v>2913</v>
      </c>
      <c r="L312" s="54">
        <v>0.7</v>
      </c>
      <c r="M312" s="54">
        <v>113.31</v>
      </c>
      <c r="N312" s="55">
        <v>71.31</v>
      </c>
      <c r="O312" s="43">
        <f t="shared" si="59"/>
        <v>0.30000000000000004</v>
      </c>
      <c r="P312" s="43">
        <f t="shared" si="52"/>
        <v>927.96828140813102</v>
      </c>
      <c r="Q312" s="43">
        <f t="shared" si="53"/>
        <v>2.2982681828662972E-5</v>
      </c>
      <c r="R312" s="43">
        <v>35</v>
      </c>
      <c r="S312" s="43">
        <f t="shared" si="54"/>
        <v>0.33333333333333331</v>
      </c>
      <c r="T312" s="43">
        <f t="shared" si="55"/>
        <v>6.5227473815050523</v>
      </c>
      <c r="U312" s="43" t="str" cm="1">
        <f t="array" ref="U312">_xlfn.IFS(T312&lt;3,"Group I",T312&lt;5,"Group II",T312&lt;10,"Group III",T312&lt;20,"Group IV",T312&lt;50,"Group V",T312&lt;100,"Group VI",T312&lt;200,"Group VII",T312&lt;500,"Group VIII",T312&lt;1000,"Group IX",TRUE,"Group X")</f>
        <v>Group III</v>
      </c>
      <c r="V312" s="43">
        <f t="shared" si="56"/>
        <v>0.81443055912300244</v>
      </c>
      <c r="W312" s="43">
        <f t="shared" si="57"/>
        <v>1.370597227722772</v>
      </c>
      <c r="X312" s="43">
        <f t="shared" si="60"/>
        <v>0.13690984904425338</v>
      </c>
      <c r="Y312" s="43">
        <f t="shared" si="58"/>
        <v>0.62933545141646807</v>
      </c>
      <c r="Z312" s="43">
        <f t="shared" si="61"/>
        <v>-0.20111780309934479</v>
      </c>
      <c r="AA312" s="43">
        <f t="shared" si="62"/>
        <v>0.37637933492766429</v>
      </c>
      <c r="AB312" s="43">
        <f t="shared" si="63"/>
        <v>0.32765655712522401</v>
      </c>
    </row>
    <row r="313" spans="1:28">
      <c r="A313" s="56" t="s">
        <v>51</v>
      </c>
      <c r="B313" s="57">
        <v>200</v>
      </c>
      <c r="C313" s="57">
        <v>200</v>
      </c>
      <c r="D313" s="57">
        <v>4.47</v>
      </c>
      <c r="E313" s="57">
        <v>128.22554738811309</v>
      </c>
      <c r="F313" s="57">
        <v>4105.4670874264275</v>
      </c>
      <c r="G313" s="57" t="s">
        <v>93</v>
      </c>
      <c r="H313" s="57">
        <v>0.29799999999999999</v>
      </c>
      <c r="I313" s="57">
        <v>17.2</v>
      </c>
      <c r="J313" s="57">
        <v>1526</v>
      </c>
      <c r="K313" s="57">
        <v>3338</v>
      </c>
      <c r="L313" s="57">
        <v>0.65</v>
      </c>
      <c r="M313" s="57">
        <v>387.99</v>
      </c>
      <c r="N313" s="58">
        <v>1274.98</v>
      </c>
      <c r="O313" s="43">
        <f t="shared" si="59"/>
        <v>0.35</v>
      </c>
      <c r="P313" s="43">
        <f t="shared" si="52"/>
        <v>575.52354738811312</v>
      </c>
      <c r="Q313" s="43">
        <f t="shared" si="53"/>
        <v>1.2912331276368934E-5</v>
      </c>
      <c r="R313" s="43">
        <v>35</v>
      </c>
      <c r="S313" s="43">
        <f t="shared" si="54"/>
        <v>1</v>
      </c>
      <c r="T313" s="43">
        <f t="shared" si="55"/>
        <v>46.135272375191448</v>
      </c>
      <c r="U313" s="43" t="str" cm="1">
        <f t="array" ref="U313">_xlfn.IFS(T313&lt;3,"Group I",T313&lt;5,"Group II",T313&lt;10,"Group III",T313&lt;20,"Group IV",T313&lt;50,"Group V",T313&lt;100,"Group VI",T313&lt;200,"Group VII",T313&lt;500,"Group VIII",T313&lt;1000,"Group IX",TRUE,"Group X")</f>
        <v>Group V</v>
      </c>
      <c r="V313" s="43">
        <f t="shared" si="56"/>
        <v>1.6640330889592141</v>
      </c>
      <c r="W313" s="43">
        <f t="shared" si="57"/>
        <v>0.54211744186046507</v>
      </c>
      <c r="X313" s="43">
        <f t="shared" si="60"/>
        <v>-0.26590661968510043</v>
      </c>
      <c r="Y313" s="43">
        <f t="shared" si="58"/>
        <v>3.2861156215366374</v>
      </c>
      <c r="Z313" s="43">
        <f t="shared" si="61"/>
        <v>0.51668283996086817</v>
      </c>
      <c r="AA313" s="43">
        <f t="shared" si="62"/>
        <v>2.5533693666537829</v>
      </c>
      <c r="AB313" s="43">
        <f t="shared" si="63"/>
        <v>0.58683425557051849</v>
      </c>
    </row>
    <row r="314" spans="1:28">
      <c r="A314" s="48" t="s">
        <v>51</v>
      </c>
      <c r="B314" s="50">
        <v>200</v>
      </c>
      <c r="C314" s="50">
        <v>400</v>
      </c>
      <c r="D314" s="50">
        <v>4.47</v>
      </c>
      <c r="E314" s="50">
        <v>128.22554738811309</v>
      </c>
      <c r="F314" s="50">
        <v>4105.4670874264275</v>
      </c>
      <c r="G314" s="57" t="s">
        <v>93</v>
      </c>
      <c r="H314" s="50">
        <v>0.29799999999999999</v>
      </c>
      <c r="I314" s="50">
        <v>17.2</v>
      </c>
      <c r="J314" s="50">
        <v>1526</v>
      </c>
      <c r="K314" s="50">
        <v>3338</v>
      </c>
      <c r="L314" s="50">
        <v>0.65</v>
      </c>
      <c r="M314" s="50">
        <v>301.12</v>
      </c>
      <c r="N314" s="51">
        <v>905.41</v>
      </c>
      <c r="O314" s="43">
        <f t="shared" si="59"/>
        <v>0.35</v>
      </c>
      <c r="P314" s="43">
        <f t="shared" si="52"/>
        <v>575.52354738811312</v>
      </c>
      <c r="Q314" s="43">
        <f t="shared" si="53"/>
        <v>1.2912331276368934E-5</v>
      </c>
      <c r="R314" s="43">
        <v>35</v>
      </c>
      <c r="S314" s="43">
        <f t="shared" si="54"/>
        <v>0.5</v>
      </c>
      <c r="T314" s="43">
        <f t="shared" si="55"/>
        <v>32.622563948386265</v>
      </c>
      <c r="U314" s="43" t="str" cm="1">
        <f t="array" ref="U314">_xlfn.IFS(T314&lt;3,"Group I",T314&lt;5,"Group II",T314&lt;10,"Group III",T314&lt;20,"Group IV",T314&lt;50,"Group V",T314&lt;100,"Group VI",T314&lt;200,"Group VII",T314&lt;500,"Group VIII",T314&lt;1000,"Group IX",TRUE,"Group X")</f>
        <v>Group V</v>
      </c>
      <c r="V314" s="43">
        <f t="shared" si="56"/>
        <v>1.5135180911272235</v>
      </c>
      <c r="W314" s="43">
        <f t="shared" si="57"/>
        <v>1.0842348837209301</v>
      </c>
      <c r="X314" s="43">
        <f t="shared" si="60"/>
        <v>3.512337597888078E-2</v>
      </c>
      <c r="Y314" s="43">
        <f t="shared" si="58"/>
        <v>3.0068079171094579</v>
      </c>
      <c r="Z314" s="43">
        <f t="shared" si="61"/>
        <v>0.47810568509954088</v>
      </c>
      <c r="AA314" s="43">
        <f t="shared" si="62"/>
        <v>1.8626701926132712</v>
      </c>
      <c r="AB314" s="43">
        <f t="shared" si="63"/>
        <v>0.52926970906279902</v>
      </c>
    </row>
    <row r="315" spans="1:28">
      <c r="A315" s="48" t="s">
        <v>51</v>
      </c>
      <c r="B315" s="50">
        <v>200</v>
      </c>
      <c r="C315" s="50">
        <v>600</v>
      </c>
      <c r="D315" s="50">
        <v>4.47</v>
      </c>
      <c r="E315" s="50">
        <v>128.22554738811309</v>
      </c>
      <c r="F315" s="50">
        <v>4105.4670874264275</v>
      </c>
      <c r="G315" s="57" t="s">
        <v>93</v>
      </c>
      <c r="H315" s="50">
        <v>0.29799999999999999</v>
      </c>
      <c r="I315" s="50">
        <v>17.2</v>
      </c>
      <c r="J315" s="50">
        <v>1526</v>
      </c>
      <c r="K315" s="50">
        <v>3338</v>
      </c>
      <c r="L315" s="50">
        <v>0.65</v>
      </c>
      <c r="M315" s="50">
        <v>189.17</v>
      </c>
      <c r="N315" s="51">
        <v>608.11</v>
      </c>
      <c r="O315" s="43">
        <f t="shared" si="59"/>
        <v>0.35</v>
      </c>
      <c r="P315" s="43">
        <f t="shared" si="52"/>
        <v>575.52354738811312</v>
      </c>
      <c r="Q315" s="43">
        <f t="shared" si="53"/>
        <v>1.2912331276368934E-5</v>
      </c>
      <c r="R315" s="43">
        <v>35</v>
      </c>
      <c r="S315" s="43">
        <f t="shared" si="54"/>
        <v>0.33333333333333331</v>
      </c>
      <c r="T315" s="43">
        <f t="shared" si="55"/>
        <v>26.636211924953486</v>
      </c>
      <c r="U315" s="43" t="str" cm="1">
        <f t="array" ref="U315">_xlfn.IFS(T315&lt;3,"Group I",T315&lt;5,"Group II",T315&lt;10,"Group III",T315&lt;20,"Group IV",T315&lt;50,"Group V",T315&lt;100,"Group VI",T315&lt;200,"Group VII",T315&lt;500,"Group VIII",T315&lt;1000,"Group IX",TRUE,"Group X")</f>
        <v>Group V</v>
      </c>
      <c r="V315" s="43">
        <f t="shared" si="56"/>
        <v>1.4254724615993828</v>
      </c>
      <c r="W315" s="43">
        <f t="shared" si="57"/>
        <v>1.626352325581395</v>
      </c>
      <c r="X315" s="43">
        <f t="shared" si="60"/>
        <v>0.21121463503456195</v>
      </c>
      <c r="Y315" s="43">
        <f t="shared" si="58"/>
        <v>3.2146217687794052</v>
      </c>
      <c r="Z315" s="43">
        <f t="shared" si="61"/>
        <v>0.5071298813363796</v>
      </c>
      <c r="AA315" s="43">
        <f t="shared" si="62"/>
        <v>1.5488492835977474</v>
      </c>
      <c r="AB315" s="43">
        <f t="shared" si="63"/>
        <v>0.498251077209933</v>
      </c>
    </row>
    <row r="316" spans="1:28">
      <c r="A316" s="48" t="s">
        <v>51</v>
      </c>
      <c r="B316" s="50">
        <v>200</v>
      </c>
      <c r="C316" s="50">
        <v>800</v>
      </c>
      <c r="D316" s="50">
        <v>4.47</v>
      </c>
      <c r="E316" s="50">
        <v>128.22554738811309</v>
      </c>
      <c r="F316" s="50">
        <v>4105.4670874264275</v>
      </c>
      <c r="G316" s="57" t="s">
        <v>93</v>
      </c>
      <c r="H316" s="50">
        <v>0.29799999999999999</v>
      </c>
      <c r="I316" s="50">
        <v>17.2</v>
      </c>
      <c r="J316" s="50">
        <v>1526</v>
      </c>
      <c r="K316" s="50">
        <v>3338</v>
      </c>
      <c r="L316" s="50">
        <v>0.65</v>
      </c>
      <c r="M316" s="50">
        <v>164.34</v>
      </c>
      <c r="N316" s="51">
        <v>363.45</v>
      </c>
      <c r="O316" s="43">
        <f t="shared" si="59"/>
        <v>0.35</v>
      </c>
      <c r="P316" s="43">
        <f t="shared" si="52"/>
        <v>575.52354738811312</v>
      </c>
      <c r="Q316" s="43">
        <f t="shared" si="53"/>
        <v>1.2912331276368934E-5</v>
      </c>
      <c r="R316" s="43">
        <v>35</v>
      </c>
      <c r="S316" s="43">
        <f t="shared" si="54"/>
        <v>0.25</v>
      </c>
      <c r="T316" s="43">
        <f t="shared" si="55"/>
        <v>23.067636187595724</v>
      </c>
      <c r="U316" s="43" t="str" cm="1">
        <f t="array" ref="U316">_xlfn.IFS(T316&lt;3,"Group I",T316&lt;5,"Group II",T316&lt;10,"Group III",T316&lt;20,"Group IV",T316&lt;50,"Group V",T316&lt;100,"Group VI",T316&lt;200,"Group VII",T316&lt;500,"Group VIII",T316&lt;1000,"Group IX",TRUE,"Group X")</f>
        <v>Group V</v>
      </c>
      <c r="V316" s="43">
        <f t="shared" si="56"/>
        <v>1.3630030932952328</v>
      </c>
      <c r="W316" s="43">
        <f t="shared" si="57"/>
        <v>2.1684697674418603</v>
      </c>
      <c r="X316" s="43">
        <f t="shared" si="60"/>
        <v>0.33615337164286196</v>
      </c>
      <c r="Y316" s="43">
        <f t="shared" si="58"/>
        <v>2.2115735669952534</v>
      </c>
      <c r="Z316" s="43">
        <f t="shared" si="61"/>
        <v>0.34470139055558235</v>
      </c>
      <c r="AA316" s="43">
        <f t="shared" si="62"/>
        <v>1.3588085968920476</v>
      </c>
      <c r="AB316" s="43">
        <f t="shared" si="63"/>
        <v>0.47735186259548146</v>
      </c>
    </row>
    <row r="317" spans="1:28">
      <c r="A317" s="48" t="s">
        <v>51</v>
      </c>
      <c r="B317" s="50">
        <v>200</v>
      </c>
      <c r="C317" s="50">
        <v>1200</v>
      </c>
      <c r="D317" s="50">
        <v>4.47</v>
      </c>
      <c r="E317" s="50">
        <v>128.22554738811309</v>
      </c>
      <c r="F317" s="50">
        <v>4105.4670874264275</v>
      </c>
      <c r="G317" s="57" t="s">
        <v>93</v>
      </c>
      <c r="H317" s="50">
        <v>0.29799999999999999</v>
      </c>
      <c r="I317" s="50">
        <v>17.2</v>
      </c>
      <c r="J317" s="50">
        <v>1526</v>
      </c>
      <c r="K317" s="50">
        <v>3338</v>
      </c>
      <c r="L317" s="50">
        <v>0.65</v>
      </c>
      <c r="M317" s="50">
        <v>138.02000000000001</v>
      </c>
      <c r="N317" s="51">
        <v>308.08</v>
      </c>
      <c r="O317" s="43">
        <f t="shared" si="59"/>
        <v>0.35</v>
      </c>
      <c r="P317" s="43">
        <f t="shared" si="52"/>
        <v>575.52354738811312</v>
      </c>
      <c r="Q317" s="43">
        <f t="shared" si="53"/>
        <v>1.2912331276368934E-5</v>
      </c>
      <c r="R317" s="43">
        <v>35</v>
      </c>
      <c r="S317" s="43">
        <f t="shared" si="54"/>
        <v>0.16666666666666666</v>
      </c>
      <c r="T317" s="43">
        <f t="shared" si="55"/>
        <v>18.834646077256593</v>
      </c>
      <c r="U317" s="43" t="str" cm="1">
        <f t="array" ref="U317">_xlfn.IFS(T317&lt;3,"Group I",T317&lt;5,"Group II",T317&lt;10,"Group III",T317&lt;20,"Group IV",T317&lt;50,"Group V",T317&lt;100,"Group VI",T317&lt;200,"Group VII",T317&lt;500,"Group VIII",T317&lt;1000,"Group IX",TRUE,"Group X")</f>
        <v>Group IV</v>
      </c>
      <c r="V317" s="43">
        <f t="shared" si="56"/>
        <v>1.2749574637673922</v>
      </c>
      <c r="W317" s="43">
        <f t="shared" si="57"/>
        <v>3.25270465116279</v>
      </c>
      <c r="X317" s="43">
        <f t="shared" si="60"/>
        <v>0.5122446306985432</v>
      </c>
      <c r="Y317" s="43">
        <f t="shared" si="58"/>
        <v>2.2321402695261554</v>
      </c>
      <c r="Z317" s="43">
        <f t="shared" si="61"/>
        <v>0.34872148254469482</v>
      </c>
      <c r="AA317" s="43">
        <f t="shared" si="62"/>
        <v>1.129877812072587</v>
      </c>
      <c r="AB317" s="43">
        <f t="shared" si="63"/>
        <v>0.44937595270192621</v>
      </c>
    </row>
    <row r="318" spans="1:28">
      <c r="A318" s="48" t="s">
        <v>51</v>
      </c>
      <c r="B318" s="50">
        <v>200</v>
      </c>
      <c r="C318" s="50">
        <v>1600</v>
      </c>
      <c r="D318" s="50">
        <v>4.47</v>
      </c>
      <c r="E318" s="50">
        <v>128.22554738811309</v>
      </c>
      <c r="F318" s="50">
        <v>4105.4670874264275</v>
      </c>
      <c r="G318" s="57" t="s">
        <v>93</v>
      </c>
      <c r="H318" s="50">
        <v>0.29799999999999999</v>
      </c>
      <c r="I318" s="50">
        <v>17.2</v>
      </c>
      <c r="J318" s="50">
        <v>1526</v>
      </c>
      <c r="K318" s="50">
        <v>3338</v>
      </c>
      <c r="L318" s="50">
        <v>0.65</v>
      </c>
      <c r="M318" s="50">
        <v>130.6</v>
      </c>
      <c r="N318" s="51">
        <v>186.57</v>
      </c>
      <c r="O318" s="43">
        <f t="shared" si="59"/>
        <v>0.35</v>
      </c>
      <c r="P318" s="43">
        <f t="shared" si="52"/>
        <v>575.52354738811312</v>
      </c>
      <c r="Q318" s="43">
        <f t="shared" si="53"/>
        <v>1.2912331276368934E-5</v>
      </c>
      <c r="R318" s="43">
        <v>35</v>
      </c>
      <c r="S318" s="43">
        <f t="shared" si="54"/>
        <v>0.125</v>
      </c>
      <c r="T318" s="43">
        <f t="shared" si="55"/>
        <v>16.311281974193133</v>
      </c>
      <c r="U318" s="43" t="str" cm="1">
        <f t="array" ref="U318">_xlfn.IFS(T318&lt;3,"Group I",T318&lt;5,"Group II",T318&lt;10,"Group III",T318&lt;20,"Group IV",T318&lt;50,"Group V",T318&lt;100,"Group VI",T318&lt;200,"Group VII",T318&lt;500,"Group VIII",T318&lt;1000,"Group IX",TRUE,"Group X")</f>
        <v>Group IV</v>
      </c>
      <c r="V318" s="43">
        <f t="shared" si="56"/>
        <v>1.2124880954632422</v>
      </c>
      <c r="W318" s="43">
        <f t="shared" si="57"/>
        <v>4.3369395348837205</v>
      </c>
      <c r="X318" s="43">
        <f t="shared" si="60"/>
        <v>0.63718336730684322</v>
      </c>
      <c r="Y318" s="43">
        <f t="shared" si="58"/>
        <v>1.4285604900459419</v>
      </c>
      <c r="Z318" s="43">
        <f t="shared" si="61"/>
        <v>0.15489863459413061</v>
      </c>
      <c r="AA318" s="43">
        <f t="shared" si="62"/>
        <v>0.9912440808414632</v>
      </c>
      <c r="AB318" s="43">
        <f t="shared" si="63"/>
        <v>0.43052681236352186</v>
      </c>
    </row>
    <row r="319" spans="1:28">
      <c r="A319" s="48" t="s">
        <v>51</v>
      </c>
      <c r="B319" s="50">
        <v>200</v>
      </c>
      <c r="C319" s="50">
        <v>2000</v>
      </c>
      <c r="D319" s="50">
        <v>4.47</v>
      </c>
      <c r="E319" s="50">
        <v>128.22554738811309</v>
      </c>
      <c r="F319" s="50">
        <v>4105.4670874264275</v>
      </c>
      <c r="G319" s="57" t="s">
        <v>93</v>
      </c>
      <c r="H319" s="50">
        <v>0.29799999999999999</v>
      </c>
      <c r="I319" s="50">
        <v>17.2</v>
      </c>
      <c r="J319" s="50">
        <v>1526</v>
      </c>
      <c r="K319" s="50">
        <v>3338</v>
      </c>
      <c r="L319" s="50">
        <v>0.65</v>
      </c>
      <c r="M319" s="50">
        <v>128.19</v>
      </c>
      <c r="N319" s="51">
        <v>105.85</v>
      </c>
      <c r="O319" s="43">
        <f t="shared" si="59"/>
        <v>0.35</v>
      </c>
      <c r="P319" s="43">
        <f t="shared" si="52"/>
        <v>575.52354738811312</v>
      </c>
      <c r="Q319" s="43">
        <f t="shared" si="53"/>
        <v>1.2912331276368934E-5</v>
      </c>
      <c r="R319" s="43">
        <v>35</v>
      </c>
      <c r="S319" s="43">
        <f t="shared" si="54"/>
        <v>0.1</v>
      </c>
      <c r="T319" s="43">
        <f t="shared" si="55"/>
        <v>14.589254117785126</v>
      </c>
      <c r="U319" s="43" t="str" cm="1">
        <f t="array" ref="U319">_xlfn.IFS(T319&lt;3,"Group I",T319&lt;5,"Group II",T319&lt;10,"Group III",T319&lt;20,"Group IV",T319&lt;50,"Group V",T319&lt;100,"Group VI",T319&lt;200,"Group VII",T319&lt;500,"Group VIII",T319&lt;1000,"Group IX",TRUE,"Group X")</f>
        <v>Group IV</v>
      </c>
      <c r="V319" s="43">
        <f t="shared" si="56"/>
        <v>1.1640330889592141</v>
      </c>
      <c r="W319" s="43">
        <f t="shared" si="57"/>
        <v>5.4211744186046502</v>
      </c>
      <c r="X319" s="43">
        <f t="shared" si="60"/>
        <v>0.73409338031489957</v>
      </c>
      <c r="Y319" s="43">
        <f t="shared" si="58"/>
        <v>0.8257274358374288</v>
      </c>
      <c r="Z319" s="43">
        <f t="shared" si="61"/>
        <v>-8.3163285181428168E-2</v>
      </c>
      <c r="AA319" s="43">
        <f t="shared" si="62"/>
        <v>0.89553722659018065</v>
      </c>
      <c r="AB319" s="43">
        <f t="shared" si="63"/>
        <v>0.41645248433642412</v>
      </c>
    </row>
    <row r="320" spans="1:28">
      <c r="A320" s="48" t="s">
        <v>51</v>
      </c>
      <c r="B320" s="50">
        <v>200</v>
      </c>
      <c r="C320" s="50">
        <v>2400</v>
      </c>
      <c r="D320" s="50">
        <v>4.47</v>
      </c>
      <c r="E320" s="50">
        <v>128.22554738811309</v>
      </c>
      <c r="F320" s="50">
        <v>4105.4670874264275</v>
      </c>
      <c r="G320" s="57" t="s">
        <v>93</v>
      </c>
      <c r="H320" s="50">
        <v>0.29799999999999999</v>
      </c>
      <c r="I320" s="50">
        <v>17.2</v>
      </c>
      <c r="J320" s="50">
        <v>1526</v>
      </c>
      <c r="K320" s="50">
        <v>3338</v>
      </c>
      <c r="L320" s="50">
        <v>0.65</v>
      </c>
      <c r="M320" s="50">
        <v>125.55</v>
      </c>
      <c r="N320" s="51">
        <v>97.44</v>
      </c>
      <c r="O320" s="43">
        <f t="shared" si="59"/>
        <v>0.35</v>
      </c>
      <c r="P320" s="43">
        <f t="shared" si="52"/>
        <v>575.52354738811312</v>
      </c>
      <c r="Q320" s="43">
        <f t="shared" si="53"/>
        <v>1.2912331276368934E-5</v>
      </c>
      <c r="R320" s="43">
        <v>35</v>
      </c>
      <c r="S320" s="43">
        <f t="shared" si="54"/>
        <v>8.3333333333333329E-2</v>
      </c>
      <c r="T320" s="43">
        <f t="shared" si="55"/>
        <v>13.318105962476743</v>
      </c>
      <c r="U320" s="43" t="str" cm="1">
        <f t="array" ref="U320">_xlfn.IFS(T320&lt;3,"Group I",T320&lt;5,"Group II",T320&lt;10,"Group III",T320&lt;20,"Group IV",T320&lt;50,"Group V",T320&lt;100,"Group VI",T320&lt;200,"Group VII",T320&lt;500,"Group VIII",T320&lt;1000,"Group IX",TRUE,"Group X")</f>
        <v>Group IV</v>
      </c>
      <c r="V320" s="43">
        <f t="shared" si="56"/>
        <v>1.1244424659354015</v>
      </c>
      <c r="W320" s="43">
        <f t="shared" si="57"/>
        <v>6.5054093023255799</v>
      </c>
      <c r="X320" s="43">
        <f t="shared" si="60"/>
        <v>0.81327462636252434</v>
      </c>
      <c r="Y320" s="43">
        <f t="shared" si="58"/>
        <v>0.77610513739545994</v>
      </c>
      <c r="Z320" s="43">
        <f t="shared" si="61"/>
        <v>-0.11007944176014112</v>
      </c>
      <c r="AA320" s="43">
        <f t="shared" si="62"/>
        <v>0.82424021738805231</v>
      </c>
      <c r="AB320" s="43">
        <f t="shared" si="63"/>
        <v>0.40529515359518026</v>
      </c>
    </row>
    <row r="321" spans="1:28">
      <c r="A321" s="48" t="s">
        <v>51</v>
      </c>
      <c r="B321" s="50">
        <v>350</v>
      </c>
      <c r="C321" s="50">
        <v>400</v>
      </c>
      <c r="D321" s="50">
        <v>4.47</v>
      </c>
      <c r="E321" s="50">
        <v>128.22554738811309</v>
      </c>
      <c r="F321" s="50">
        <v>4105.4670874264275</v>
      </c>
      <c r="G321" s="57" t="s">
        <v>93</v>
      </c>
      <c r="H321" s="50">
        <v>0.29799999999999999</v>
      </c>
      <c r="I321" s="50">
        <v>17.2</v>
      </c>
      <c r="J321" s="50">
        <v>1526</v>
      </c>
      <c r="K321" s="50">
        <v>3338</v>
      </c>
      <c r="L321" s="50">
        <v>0.65</v>
      </c>
      <c r="M321" s="50">
        <v>227.38</v>
      </c>
      <c r="N321" s="51">
        <v>888.05</v>
      </c>
      <c r="O321" s="43">
        <f t="shared" si="59"/>
        <v>0.35</v>
      </c>
      <c r="P321" s="43">
        <f t="shared" si="52"/>
        <v>575.52354738811312</v>
      </c>
      <c r="Q321" s="43">
        <f t="shared" si="53"/>
        <v>1.2912331276368934E-5</v>
      </c>
      <c r="R321" s="43">
        <v>35</v>
      </c>
      <c r="S321" s="43">
        <f t="shared" si="54"/>
        <v>0.875</v>
      </c>
      <c r="T321" s="43">
        <f t="shared" si="55"/>
        <v>57.089486909675955</v>
      </c>
      <c r="U321" s="43" t="str" cm="1">
        <f t="array" ref="U321">_xlfn.IFS(T321&lt;3,"Group I",T321&lt;5,"Group II",T321&lt;10,"Group III",T321&lt;20,"Group IV",T321&lt;50,"Group V",T321&lt;100,"Group VI",T321&lt;200,"Group VII",T321&lt;500,"Group VIII",T321&lt;1000,"Group IX",TRUE,"Group X")</f>
        <v>Group VI</v>
      </c>
      <c r="V321" s="43">
        <f t="shared" si="56"/>
        <v>1.7565561398135177</v>
      </c>
      <c r="W321" s="43">
        <f t="shared" si="57"/>
        <v>1.0842348837209301</v>
      </c>
      <c r="X321" s="43">
        <f t="shared" si="60"/>
        <v>3.512337597888078E-2</v>
      </c>
      <c r="Y321" s="43">
        <f t="shared" si="58"/>
        <v>3.9055765678599701</v>
      </c>
      <c r="Z321" s="43">
        <f t="shared" si="61"/>
        <v>0.59168515646075126</v>
      </c>
      <c r="AA321" s="43">
        <f t="shared" si="62"/>
        <v>3.2596728370732242</v>
      </c>
      <c r="AB321" s="43">
        <f t="shared" si="63"/>
        <v>0.62528509151425782</v>
      </c>
    </row>
    <row r="322" spans="1:28">
      <c r="A322" s="48" t="s">
        <v>51</v>
      </c>
      <c r="B322" s="50">
        <v>350</v>
      </c>
      <c r="C322" s="50">
        <v>600</v>
      </c>
      <c r="D322" s="50">
        <v>4.47</v>
      </c>
      <c r="E322" s="50">
        <v>128.22554738811309</v>
      </c>
      <c r="F322" s="50">
        <v>4105.4670874264275</v>
      </c>
      <c r="G322" s="57" t="s">
        <v>93</v>
      </c>
      <c r="H322" s="50">
        <v>0.29799999999999999</v>
      </c>
      <c r="I322" s="50">
        <v>17.2</v>
      </c>
      <c r="J322" s="50">
        <v>1526</v>
      </c>
      <c r="K322" s="50">
        <v>3338</v>
      </c>
      <c r="L322" s="50">
        <v>0.65</v>
      </c>
      <c r="M322" s="50">
        <v>270.07</v>
      </c>
      <c r="N322" s="51">
        <v>423.38</v>
      </c>
      <c r="O322" s="43">
        <f t="shared" si="59"/>
        <v>0.35</v>
      </c>
      <c r="P322" s="43">
        <f t="shared" si="52"/>
        <v>575.52354738811312</v>
      </c>
      <c r="Q322" s="43">
        <f t="shared" si="53"/>
        <v>1.2912331276368934E-5</v>
      </c>
      <c r="R322" s="43">
        <v>35</v>
      </c>
      <c r="S322" s="43">
        <f t="shared" si="54"/>
        <v>0.58333333333333337</v>
      </c>
      <c r="T322" s="43">
        <f t="shared" si="55"/>
        <v>46.613370868668596</v>
      </c>
      <c r="U322" s="43" t="str" cm="1">
        <f t="array" ref="U322">_xlfn.IFS(T322&lt;3,"Group I",T322&lt;5,"Group II",T322&lt;10,"Group III",T322&lt;20,"Group IV",T322&lt;50,"Group V",T322&lt;100,"Group VI",T322&lt;200,"Group VII",T322&lt;500,"Group VIII",T322&lt;1000,"Group IX",TRUE,"Group X")</f>
        <v>Group V</v>
      </c>
      <c r="V322" s="43">
        <f t="shared" si="56"/>
        <v>1.6685105102856772</v>
      </c>
      <c r="W322" s="43">
        <f t="shared" si="57"/>
        <v>1.626352325581395</v>
      </c>
      <c r="X322" s="43">
        <f t="shared" si="60"/>
        <v>0.21121463503456195</v>
      </c>
      <c r="Y322" s="43">
        <f t="shared" si="58"/>
        <v>1.5676676417225164</v>
      </c>
      <c r="Z322" s="43">
        <f t="shared" si="61"/>
        <v>0.19525399414840944</v>
      </c>
      <c r="AA322" s="43">
        <f t="shared" si="62"/>
        <v>2.7104862462960577</v>
      </c>
      <c r="AB322" s="43">
        <f t="shared" si="63"/>
        <v>0.58863933657182832</v>
      </c>
    </row>
    <row r="323" spans="1:28">
      <c r="A323" s="48" t="s">
        <v>51</v>
      </c>
      <c r="B323" s="50">
        <v>350</v>
      </c>
      <c r="C323" s="50">
        <v>800</v>
      </c>
      <c r="D323" s="50">
        <v>4.47</v>
      </c>
      <c r="E323" s="50">
        <v>128.22554738811309</v>
      </c>
      <c r="F323" s="50">
        <v>4105.4670874264275</v>
      </c>
      <c r="G323" s="57" t="s">
        <v>93</v>
      </c>
      <c r="H323" s="50">
        <v>0.29799999999999999</v>
      </c>
      <c r="I323" s="50">
        <v>17.2</v>
      </c>
      <c r="J323" s="50">
        <v>1526</v>
      </c>
      <c r="K323" s="50">
        <v>3338</v>
      </c>
      <c r="L323" s="50">
        <v>0.65</v>
      </c>
      <c r="M323" s="50">
        <v>273.48</v>
      </c>
      <c r="N323" s="51">
        <v>258.89</v>
      </c>
      <c r="O323" s="43">
        <f t="shared" si="59"/>
        <v>0.35</v>
      </c>
      <c r="P323" s="43">
        <f t="shared" si="52"/>
        <v>575.52354738811312</v>
      </c>
      <c r="Q323" s="43">
        <f t="shared" si="53"/>
        <v>1.2912331276368934E-5</v>
      </c>
      <c r="R323" s="43">
        <v>35</v>
      </c>
      <c r="S323" s="43">
        <f t="shared" si="54"/>
        <v>0.4375</v>
      </c>
      <c r="T323" s="43">
        <f t="shared" si="55"/>
        <v>40.36836332829251</v>
      </c>
      <c r="U323" s="43" t="str" cm="1">
        <f t="array" ref="U323">_xlfn.IFS(T323&lt;3,"Group I",T323&lt;5,"Group II",T323&lt;10,"Group III",T323&lt;20,"Group IV",T323&lt;50,"Group V",T323&lt;100,"Group VI",T323&lt;200,"Group VII",T323&lt;500,"Group VIII",T323&lt;1000,"Group IX",TRUE,"Group X")</f>
        <v>Group V</v>
      </c>
      <c r="V323" s="43">
        <f t="shared" si="56"/>
        <v>1.6060411419815273</v>
      </c>
      <c r="W323" s="43">
        <f t="shared" si="57"/>
        <v>2.1684697674418603</v>
      </c>
      <c r="X323" s="43">
        <f t="shared" si="60"/>
        <v>0.33615337164286196</v>
      </c>
      <c r="Y323" s="43">
        <f t="shared" si="58"/>
        <v>0.94665057773877426</v>
      </c>
      <c r="Z323" s="43">
        <f t="shared" si="61"/>
        <v>-2.381029572049112E-2</v>
      </c>
      <c r="AA323" s="43">
        <f t="shared" si="62"/>
        <v>2.3779150445610826</v>
      </c>
      <c r="AB323" s="43">
        <f t="shared" si="63"/>
        <v>0.56394877314262049</v>
      </c>
    </row>
    <row r="324" spans="1:28">
      <c r="A324" s="48" t="s">
        <v>51</v>
      </c>
      <c r="B324" s="50">
        <v>350</v>
      </c>
      <c r="C324" s="50">
        <v>1000</v>
      </c>
      <c r="D324" s="50">
        <v>4.47</v>
      </c>
      <c r="E324" s="50">
        <v>128.22554738811309</v>
      </c>
      <c r="F324" s="50">
        <v>4105.4670874264275</v>
      </c>
      <c r="G324" s="57" t="s">
        <v>93</v>
      </c>
      <c r="H324" s="50">
        <v>0.29799999999999999</v>
      </c>
      <c r="I324" s="50">
        <v>17.2</v>
      </c>
      <c r="J324" s="50">
        <v>1526</v>
      </c>
      <c r="K324" s="50">
        <v>3338</v>
      </c>
      <c r="L324" s="50">
        <v>0.65</v>
      </c>
      <c r="M324" s="50">
        <v>167.75</v>
      </c>
      <c r="N324" s="51">
        <v>381.34</v>
      </c>
      <c r="O324" s="43">
        <f t="shared" si="59"/>
        <v>0.35</v>
      </c>
      <c r="P324" s="43">
        <f t="shared" ref="P324:P387" si="64">H324*(J324-25)+E324</f>
        <v>575.52354738811312</v>
      </c>
      <c r="Q324" s="43">
        <f t="shared" ref="Q324:Q387" si="65">I324/(D324*H324*10^6)</f>
        <v>1.2912331276368934E-5</v>
      </c>
      <c r="R324" s="43">
        <v>35</v>
      </c>
      <c r="S324" s="43">
        <f t="shared" ref="S324:S387" si="66">B324/C324</f>
        <v>0.35</v>
      </c>
      <c r="T324" s="43">
        <f t="shared" ref="T324:T387" si="67">(O324*B324)/(D324*P324*1000000*SQRT(PI()*(R324*0.000001)^3*Q324*(C324/1000)))</f>
        <v>36.10656181698868</v>
      </c>
      <c r="U324" s="43" t="str" cm="1">
        <f t="array" ref="U324">_xlfn.IFS(T324&lt;3,"Group I",T324&lt;5,"Group II",T324&lt;10,"Group III",T324&lt;20,"Group IV",T324&lt;50,"Group V",T324&lt;100,"Group VI",T324&lt;200,"Group VII",T324&lt;500,"Group VIII",T324&lt;1000,"Group IX",TRUE,"Group X")</f>
        <v>Group V</v>
      </c>
      <c r="V324" s="43">
        <f t="shared" ref="V324:V387" si="68">LOG(T324)</f>
        <v>1.5575861354774989</v>
      </c>
      <c r="W324" s="43">
        <f t="shared" ref="W324:W387" si="69">(C324/1000)*(R324/1000000)/Q324</f>
        <v>2.7105872093023251</v>
      </c>
      <c r="X324" s="43">
        <f t="shared" si="60"/>
        <v>0.43306338465091837</v>
      </c>
      <c r="Y324" s="43">
        <f t="shared" ref="Y324:Y387" si="70">N324/M324</f>
        <v>2.2732637853949327</v>
      </c>
      <c r="Z324" s="43">
        <f t="shared" si="61"/>
        <v>0.35664983339081791</v>
      </c>
      <c r="AA324" s="43">
        <f t="shared" si="62"/>
        <v>2.1483219776359852</v>
      </c>
      <c r="AB324" s="43">
        <f t="shared" si="63"/>
        <v>0.54551275523211074</v>
      </c>
    </row>
    <row r="325" spans="1:28">
      <c r="A325" s="48" t="s">
        <v>51</v>
      </c>
      <c r="B325" s="50">
        <v>350</v>
      </c>
      <c r="C325" s="50">
        <v>1200</v>
      </c>
      <c r="D325" s="50">
        <v>4.47</v>
      </c>
      <c r="E325" s="50">
        <v>128.22554738811309</v>
      </c>
      <c r="F325" s="50">
        <v>4105.4670874264275</v>
      </c>
      <c r="G325" s="57" t="s">
        <v>93</v>
      </c>
      <c r="H325" s="50">
        <v>0.29799999999999999</v>
      </c>
      <c r="I325" s="50">
        <v>17.2</v>
      </c>
      <c r="J325" s="50">
        <v>1526</v>
      </c>
      <c r="K325" s="50">
        <v>3338</v>
      </c>
      <c r="L325" s="50">
        <v>0.65</v>
      </c>
      <c r="M325" s="50">
        <v>195.16</v>
      </c>
      <c r="N325" s="51">
        <v>290.16000000000003</v>
      </c>
      <c r="O325" s="43">
        <f t="shared" si="59"/>
        <v>0.35</v>
      </c>
      <c r="P325" s="43">
        <f t="shared" si="64"/>
        <v>575.52354738811312</v>
      </c>
      <c r="Q325" s="43">
        <f t="shared" si="65"/>
        <v>1.2912331276368934E-5</v>
      </c>
      <c r="R325" s="43">
        <v>35</v>
      </c>
      <c r="S325" s="43">
        <f t="shared" si="66"/>
        <v>0.29166666666666669</v>
      </c>
      <c r="T325" s="43">
        <f t="shared" si="67"/>
        <v>32.960630635199031</v>
      </c>
      <c r="U325" s="43" t="str" cm="1">
        <f t="array" ref="U325">_xlfn.IFS(T325&lt;3,"Group I",T325&lt;5,"Group II",T325&lt;10,"Group III",T325&lt;20,"Group IV",T325&lt;50,"Group V",T325&lt;100,"Group VI",T325&lt;200,"Group VII",T325&lt;500,"Group VIII",T325&lt;1000,"Group IX",TRUE,"Group X")</f>
        <v>Group V</v>
      </c>
      <c r="V325" s="43">
        <f t="shared" si="68"/>
        <v>1.5179955124536866</v>
      </c>
      <c r="W325" s="43">
        <f t="shared" si="69"/>
        <v>3.25270465116279</v>
      </c>
      <c r="X325" s="43">
        <f t="shared" si="60"/>
        <v>0.5122446306985432</v>
      </c>
      <c r="Y325" s="43">
        <f t="shared" si="70"/>
        <v>1.4867800778848126</v>
      </c>
      <c r="Z325" s="43">
        <f t="shared" si="61"/>
        <v>0.1722467331321493</v>
      </c>
      <c r="AA325" s="43">
        <f t="shared" si="62"/>
        <v>1.9772861711270266</v>
      </c>
      <c r="AB325" s="43">
        <f t="shared" si="63"/>
        <v>0.53089772359557219</v>
      </c>
    </row>
    <row r="326" spans="1:28">
      <c r="A326" s="48" t="s">
        <v>51</v>
      </c>
      <c r="B326" s="50">
        <v>350</v>
      </c>
      <c r="C326" s="50">
        <v>1600</v>
      </c>
      <c r="D326" s="50">
        <v>4.47</v>
      </c>
      <c r="E326" s="50">
        <v>128.22554738811309</v>
      </c>
      <c r="F326" s="50">
        <v>4105.4670874264275</v>
      </c>
      <c r="G326" s="57" t="s">
        <v>93</v>
      </c>
      <c r="H326" s="50">
        <v>0.29799999999999999</v>
      </c>
      <c r="I326" s="50">
        <v>17.2</v>
      </c>
      <c r="J326" s="50">
        <v>1526</v>
      </c>
      <c r="K326" s="50">
        <v>3338</v>
      </c>
      <c r="L326" s="50">
        <v>0.65</v>
      </c>
      <c r="M326" s="50">
        <v>190.58</v>
      </c>
      <c r="N326" s="51">
        <v>239.05</v>
      </c>
      <c r="O326" s="43">
        <f t="shared" si="59"/>
        <v>0.35</v>
      </c>
      <c r="P326" s="43">
        <f t="shared" si="64"/>
        <v>575.52354738811312</v>
      </c>
      <c r="Q326" s="43">
        <f t="shared" si="65"/>
        <v>1.2912331276368934E-5</v>
      </c>
      <c r="R326" s="43">
        <v>35</v>
      </c>
      <c r="S326" s="43">
        <f t="shared" si="66"/>
        <v>0.21875</v>
      </c>
      <c r="T326" s="43">
        <f t="shared" si="67"/>
        <v>28.544743454837977</v>
      </c>
      <c r="U326" s="43" t="str" cm="1">
        <f t="array" ref="U326">_xlfn.IFS(T326&lt;3,"Group I",T326&lt;5,"Group II",T326&lt;10,"Group III",T326&lt;20,"Group IV",T326&lt;50,"Group V",T326&lt;100,"Group VI",T326&lt;200,"Group VII",T326&lt;500,"Group VIII",T326&lt;1000,"Group IX",TRUE,"Group X")</f>
        <v>Group V</v>
      </c>
      <c r="V326" s="43">
        <f t="shared" si="68"/>
        <v>1.4555261441495366</v>
      </c>
      <c r="W326" s="43">
        <f t="shared" si="69"/>
        <v>4.3369395348837205</v>
      </c>
      <c r="X326" s="43">
        <f t="shared" si="60"/>
        <v>0.63718336730684322</v>
      </c>
      <c r="Y326" s="43">
        <f t="shared" si="70"/>
        <v>1.2543288907545387</v>
      </c>
      <c r="Z326" s="43">
        <f t="shared" si="61"/>
        <v>9.8411425419862253E-2</v>
      </c>
      <c r="AA326" s="43">
        <f t="shared" si="62"/>
        <v>1.7346771414725606</v>
      </c>
      <c r="AB326" s="43">
        <f t="shared" si="63"/>
        <v>0.50862914060348219</v>
      </c>
    </row>
    <row r="327" spans="1:28">
      <c r="A327" s="48" t="s">
        <v>51</v>
      </c>
      <c r="B327" s="50">
        <v>350</v>
      </c>
      <c r="C327" s="50">
        <v>2000</v>
      </c>
      <c r="D327" s="50">
        <v>4.47</v>
      </c>
      <c r="E327" s="50">
        <v>128.22554738811309</v>
      </c>
      <c r="F327" s="50">
        <v>4105.4670874264275</v>
      </c>
      <c r="G327" s="57" t="s">
        <v>93</v>
      </c>
      <c r="H327" s="50">
        <v>0.29799999999999999</v>
      </c>
      <c r="I327" s="50">
        <v>17.2</v>
      </c>
      <c r="J327" s="50">
        <v>1526</v>
      </c>
      <c r="K327" s="50">
        <v>3338</v>
      </c>
      <c r="L327" s="50">
        <v>0.65</v>
      </c>
      <c r="M327" s="50">
        <v>164.6</v>
      </c>
      <c r="N327" s="51">
        <v>178.97</v>
      </c>
      <c r="O327" s="43">
        <f t="shared" si="59"/>
        <v>0.35</v>
      </c>
      <c r="P327" s="43">
        <f t="shared" si="64"/>
        <v>575.52354738811312</v>
      </c>
      <c r="Q327" s="43">
        <f t="shared" si="65"/>
        <v>1.2912331276368934E-5</v>
      </c>
      <c r="R327" s="43">
        <v>35</v>
      </c>
      <c r="S327" s="43">
        <f t="shared" si="66"/>
        <v>0.17499999999999999</v>
      </c>
      <c r="T327" s="43">
        <f t="shared" si="67"/>
        <v>25.531194706123969</v>
      </c>
      <c r="U327" s="43" t="str" cm="1">
        <f t="array" ref="U327">_xlfn.IFS(T327&lt;3,"Group I",T327&lt;5,"Group II",T327&lt;10,"Group III",T327&lt;20,"Group IV",T327&lt;50,"Group V",T327&lt;100,"Group VI",T327&lt;200,"Group VII",T327&lt;500,"Group VIII",T327&lt;1000,"Group IX",TRUE,"Group X")</f>
        <v>Group V</v>
      </c>
      <c r="V327" s="43">
        <f t="shared" si="68"/>
        <v>1.4070711376455085</v>
      </c>
      <c r="W327" s="43">
        <f t="shared" si="69"/>
        <v>5.4211744186046502</v>
      </c>
      <c r="X327" s="43">
        <f t="shared" si="60"/>
        <v>0.73409338031489957</v>
      </c>
      <c r="Y327" s="43">
        <f t="shared" si="70"/>
        <v>1.0873025516403403</v>
      </c>
      <c r="Z327" s="43">
        <f t="shared" si="61"/>
        <v>3.6350407218832821E-2</v>
      </c>
      <c r="AA327" s="43">
        <f t="shared" si="62"/>
        <v>1.567190146532816</v>
      </c>
      <c r="AB327" s="43">
        <f t="shared" si="63"/>
        <v>0.49200157371700981</v>
      </c>
    </row>
    <row r="328" spans="1:28">
      <c r="A328" s="48" t="s">
        <v>51</v>
      </c>
      <c r="B328" s="50">
        <v>350</v>
      </c>
      <c r="C328" s="50">
        <v>2400</v>
      </c>
      <c r="D328" s="50">
        <v>4.47</v>
      </c>
      <c r="E328" s="50">
        <v>128.22554738811309</v>
      </c>
      <c r="F328" s="50">
        <v>4105.4670874264275</v>
      </c>
      <c r="G328" s="57" t="s">
        <v>93</v>
      </c>
      <c r="H328" s="50">
        <v>0.29799999999999999</v>
      </c>
      <c r="I328" s="50">
        <v>17.2</v>
      </c>
      <c r="J328" s="50">
        <v>1526</v>
      </c>
      <c r="K328" s="50">
        <v>3338</v>
      </c>
      <c r="L328" s="50">
        <v>0.65</v>
      </c>
      <c r="M328" s="50">
        <v>178.52</v>
      </c>
      <c r="N328" s="51">
        <v>83.79</v>
      </c>
      <c r="O328" s="43">
        <f t="shared" si="59"/>
        <v>0.35</v>
      </c>
      <c r="P328" s="43">
        <f t="shared" si="64"/>
        <v>575.52354738811312</v>
      </c>
      <c r="Q328" s="43">
        <f t="shared" si="65"/>
        <v>1.2912331276368934E-5</v>
      </c>
      <c r="R328" s="43">
        <v>35</v>
      </c>
      <c r="S328" s="43">
        <f t="shared" si="66"/>
        <v>0.14583333333333334</v>
      </c>
      <c r="T328" s="43">
        <f t="shared" si="67"/>
        <v>23.306685434334298</v>
      </c>
      <c r="U328" s="43" t="str" cm="1">
        <f t="array" ref="U328">_xlfn.IFS(T328&lt;3,"Group I",T328&lt;5,"Group II",T328&lt;10,"Group III",T328&lt;20,"Group IV",T328&lt;50,"Group V",T328&lt;100,"Group VI",T328&lt;200,"Group VII",T328&lt;500,"Group VIII",T328&lt;1000,"Group IX",TRUE,"Group X")</f>
        <v>Group V</v>
      </c>
      <c r="V328" s="43">
        <f t="shared" si="68"/>
        <v>1.367480514621696</v>
      </c>
      <c r="W328" s="43">
        <f t="shared" si="69"/>
        <v>6.5054093023255799</v>
      </c>
      <c r="X328" s="43">
        <f t="shared" si="60"/>
        <v>0.81327462636252434</v>
      </c>
      <c r="Y328" s="43">
        <f t="shared" si="70"/>
        <v>0.46935917544252748</v>
      </c>
      <c r="Z328" s="43">
        <f t="shared" si="61"/>
        <v>-0.32849468774782431</v>
      </c>
      <c r="AA328" s="43">
        <f t="shared" si="62"/>
        <v>1.4424203804290914</v>
      </c>
      <c r="AB328" s="43">
        <f t="shared" si="63"/>
        <v>0.47882017970534968</v>
      </c>
    </row>
    <row r="329" spans="1:28">
      <c r="A329" s="48" t="s">
        <v>51</v>
      </c>
      <c r="B329" s="50">
        <v>100</v>
      </c>
      <c r="C329" s="50">
        <v>300</v>
      </c>
      <c r="D329" s="50">
        <v>4.47</v>
      </c>
      <c r="E329" s="50">
        <v>128.22554738811309</v>
      </c>
      <c r="F329" s="50">
        <v>4105.4670874264275</v>
      </c>
      <c r="G329" s="57" t="s">
        <v>93</v>
      </c>
      <c r="H329" s="50">
        <v>0.29799999999999999</v>
      </c>
      <c r="I329" s="50">
        <v>17.2</v>
      </c>
      <c r="J329" s="50">
        <v>1526</v>
      </c>
      <c r="K329" s="50">
        <v>3338</v>
      </c>
      <c r="L329" s="50">
        <v>0.65</v>
      </c>
      <c r="M329" s="50">
        <v>159.97</v>
      </c>
      <c r="N329" s="51">
        <v>332.55</v>
      </c>
      <c r="O329" s="43">
        <f t="shared" si="59"/>
        <v>0.35</v>
      </c>
      <c r="P329" s="43">
        <f t="shared" si="64"/>
        <v>575.52354738811312</v>
      </c>
      <c r="Q329" s="43">
        <f t="shared" si="65"/>
        <v>1.2912331276368934E-5</v>
      </c>
      <c r="R329" s="43">
        <v>35</v>
      </c>
      <c r="S329" s="43">
        <f t="shared" si="66"/>
        <v>0.33333333333333331</v>
      </c>
      <c r="T329" s="43">
        <f t="shared" si="67"/>
        <v>18.834646077256593</v>
      </c>
      <c r="U329" s="43" t="str" cm="1">
        <f t="array" ref="U329">_xlfn.IFS(T329&lt;3,"Group I",T329&lt;5,"Group II",T329&lt;10,"Group III",T329&lt;20,"Group IV",T329&lt;50,"Group V",T329&lt;100,"Group VI",T329&lt;200,"Group VII",T329&lt;500,"Group VIII",T329&lt;1000,"Group IX",TRUE,"Group X")</f>
        <v>Group IV</v>
      </c>
      <c r="V329" s="43">
        <f t="shared" si="68"/>
        <v>1.2749574637673922</v>
      </c>
      <c r="W329" s="43">
        <f t="shared" si="69"/>
        <v>0.81317616279069749</v>
      </c>
      <c r="X329" s="43">
        <f t="shared" si="60"/>
        <v>-8.9815360629419236E-2</v>
      </c>
      <c r="Y329" s="43">
        <f t="shared" si="70"/>
        <v>2.0788272801150218</v>
      </c>
      <c r="Z329" s="43">
        <f t="shared" si="61"/>
        <v>0.31781840736463862</v>
      </c>
      <c r="AA329" s="43">
        <f t="shared" si="62"/>
        <v>1.0615900576456048</v>
      </c>
      <c r="AB329" s="43">
        <f t="shared" si="63"/>
        <v>0.44937595270192621</v>
      </c>
    </row>
    <row r="330" spans="1:28">
      <c r="A330" s="48" t="s">
        <v>51</v>
      </c>
      <c r="B330" s="50">
        <v>150</v>
      </c>
      <c r="C330" s="50">
        <v>300</v>
      </c>
      <c r="D330" s="50">
        <v>4.47</v>
      </c>
      <c r="E330" s="50">
        <v>128.22554738811309</v>
      </c>
      <c r="F330" s="50">
        <v>4105.4670874264275</v>
      </c>
      <c r="G330" s="57" t="s">
        <v>93</v>
      </c>
      <c r="H330" s="50">
        <v>0.29799999999999999</v>
      </c>
      <c r="I330" s="50">
        <v>17.2</v>
      </c>
      <c r="J330" s="50">
        <v>1526</v>
      </c>
      <c r="K330" s="50">
        <v>3338</v>
      </c>
      <c r="L330" s="50">
        <v>0.65</v>
      </c>
      <c r="M330" s="50">
        <v>263.95999999999998</v>
      </c>
      <c r="N330" s="51">
        <v>505.7</v>
      </c>
      <c r="O330" s="43">
        <f t="shared" si="59"/>
        <v>0.35</v>
      </c>
      <c r="P330" s="43">
        <f t="shared" si="64"/>
        <v>575.52354738811312</v>
      </c>
      <c r="Q330" s="43">
        <f t="shared" si="65"/>
        <v>1.2912331276368934E-5</v>
      </c>
      <c r="R330" s="43">
        <v>35</v>
      </c>
      <c r="S330" s="43">
        <f t="shared" si="66"/>
        <v>0.5</v>
      </c>
      <c r="T330" s="43">
        <f t="shared" si="67"/>
        <v>28.251969115884886</v>
      </c>
      <c r="U330" s="43" t="str" cm="1">
        <f t="array" ref="U330">_xlfn.IFS(T330&lt;3,"Group I",T330&lt;5,"Group II",T330&lt;10,"Group III",T330&lt;20,"Group IV",T330&lt;50,"Group V",T330&lt;100,"Group VI",T330&lt;200,"Group VII",T330&lt;500,"Group VIII",T330&lt;1000,"Group IX",TRUE,"Group X")</f>
        <v>Group V</v>
      </c>
      <c r="V330" s="43">
        <f t="shared" si="68"/>
        <v>1.4510487228230735</v>
      </c>
      <c r="W330" s="43">
        <f t="shared" si="69"/>
        <v>0.81317616279069749</v>
      </c>
      <c r="X330" s="43">
        <f t="shared" si="60"/>
        <v>-8.9815360629419236E-2</v>
      </c>
      <c r="Y330" s="43">
        <f t="shared" si="70"/>
        <v>1.9158205788755873</v>
      </c>
      <c r="Z330" s="43">
        <f t="shared" si="61"/>
        <v>0.28235483394245953</v>
      </c>
      <c r="AA330" s="43">
        <f t="shared" si="62"/>
        <v>1.5923850864684068</v>
      </c>
      <c r="AB330" s="43">
        <f t="shared" si="63"/>
        <v>0.50706941337940137</v>
      </c>
    </row>
    <row r="331" spans="1:28">
      <c r="A331" s="48" t="s">
        <v>51</v>
      </c>
      <c r="B331" s="50">
        <v>200</v>
      </c>
      <c r="C331" s="50">
        <v>300</v>
      </c>
      <c r="D331" s="50">
        <v>4.47</v>
      </c>
      <c r="E331" s="50">
        <v>128.22554738811309</v>
      </c>
      <c r="F331" s="50">
        <v>4105.4670874264275</v>
      </c>
      <c r="G331" s="57" t="s">
        <v>93</v>
      </c>
      <c r="H331" s="50">
        <v>0.29799999999999999</v>
      </c>
      <c r="I331" s="50">
        <v>17.2</v>
      </c>
      <c r="J331" s="50">
        <v>1526</v>
      </c>
      <c r="K331" s="50">
        <v>3338</v>
      </c>
      <c r="L331" s="50">
        <v>0.65</v>
      </c>
      <c r="M331" s="50">
        <v>253.76</v>
      </c>
      <c r="N331" s="51">
        <v>675.58</v>
      </c>
      <c r="O331" s="43">
        <f t="shared" si="59"/>
        <v>0.35</v>
      </c>
      <c r="P331" s="43">
        <f t="shared" si="64"/>
        <v>575.52354738811312</v>
      </c>
      <c r="Q331" s="43">
        <f t="shared" si="65"/>
        <v>1.2912331276368934E-5</v>
      </c>
      <c r="R331" s="43">
        <v>35</v>
      </c>
      <c r="S331" s="43">
        <f t="shared" si="66"/>
        <v>0.66666666666666663</v>
      </c>
      <c r="T331" s="43">
        <f t="shared" si="67"/>
        <v>37.669292154513187</v>
      </c>
      <c r="U331" s="43" t="str" cm="1">
        <f t="array" ref="U331">_xlfn.IFS(T331&lt;3,"Group I",T331&lt;5,"Group II",T331&lt;10,"Group III",T331&lt;20,"Group IV",T331&lt;50,"Group V",T331&lt;100,"Group VI",T331&lt;200,"Group VII",T331&lt;500,"Group VIII",T331&lt;1000,"Group IX",TRUE,"Group X")</f>
        <v>Group V</v>
      </c>
      <c r="V331" s="43">
        <f t="shared" si="68"/>
        <v>1.5759874594313734</v>
      </c>
      <c r="W331" s="43">
        <f t="shared" si="69"/>
        <v>0.81317616279069749</v>
      </c>
      <c r="X331" s="43">
        <f t="shared" si="60"/>
        <v>-8.9815360629419236E-2</v>
      </c>
      <c r="Y331" s="43">
        <f t="shared" si="70"/>
        <v>2.6622793190416143</v>
      </c>
      <c r="Z331" s="43">
        <f t="shared" si="61"/>
        <v>0.42525361851456051</v>
      </c>
      <c r="AA331" s="43">
        <f t="shared" si="62"/>
        <v>2.1231801152912095</v>
      </c>
      <c r="AB331" s="43">
        <f t="shared" si="63"/>
        <v>0.55244196857486749</v>
      </c>
    </row>
    <row r="332" spans="1:28">
      <c r="A332" s="48" t="s">
        <v>51</v>
      </c>
      <c r="B332" s="50">
        <v>250</v>
      </c>
      <c r="C332" s="50">
        <v>300</v>
      </c>
      <c r="D332" s="50">
        <v>4.47</v>
      </c>
      <c r="E332" s="50">
        <v>128.22554738811309</v>
      </c>
      <c r="F332" s="50">
        <v>4105.4670874264275</v>
      </c>
      <c r="G332" s="57" t="s">
        <v>93</v>
      </c>
      <c r="H332" s="50">
        <v>0.29799999999999999</v>
      </c>
      <c r="I332" s="50">
        <v>17.2</v>
      </c>
      <c r="J332" s="50">
        <v>1526</v>
      </c>
      <c r="K332" s="50">
        <v>3338</v>
      </c>
      <c r="L332" s="50">
        <v>0.65</v>
      </c>
      <c r="M332" s="50">
        <v>228.93</v>
      </c>
      <c r="N332" s="51">
        <v>928.11</v>
      </c>
      <c r="O332" s="43">
        <f t="shared" si="59"/>
        <v>0.35</v>
      </c>
      <c r="P332" s="43">
        <f t="shared" si="64"/>
        <v>575.52354738811312</v>
      </c>
      <c r="Q332" s="43">
        <f t="shared" si="65"/>
        <v>1.2912331276368934E-5</v>
      </c>
      <c r="R332" s="43">
        <v>35</v>
      </c>
      <c r="S332" s="43">
        <f t="shared" si="66"/>
        <v>0.83333333333333337</v>
      </c>
      <c r="T332" s="43">
        <f t="shared" si="67"/>
        <v>47.086615193141476</v>
      </c>
      <c r="U332" s="43" t="str" cm="1">
        <f t="array" ref="U332">_xlfn.IFS(T332&lt;3,"Group I",T332&lt;5,"Group II",T332&lt;10,"Group III",T332&lt;20,"Group IV",T332&lt;50,"Group V",T332&lt;100,"Group VI",T332&lt;200,"Group VII",T332&lt;500,"Group VIII",T332&lt;1000,"Group IX",TRUE,"Group X")</f>
        <v>Group V</v>
      </c>
      <c r="V332" s="43">
        <f t="shared" si="68"/>
        <v>1.6728974724394299</v>
      </c>
      <c r="W332" s="43">
        <f t="shared" si="69"/>
        <v>0.81317616279069749</v>
      </c>
      <c r="X332" s="43">
        <f t="shared" si="60"/>
        <v>-8.9815360629419236E-2</v>
      </c>
      <c r="Y332" s="43">
        <f t="shared" si="70"/>
        <v>4.0541213471366797</v>
      </c>
      <c r="Z332" s="43">
        <f t="shared" si="61"/>
        <v>0.60789674376575609</v>
      </c>
      <c r="AA332" s="43">
        <f t="shared" si="62"/>
        <v>2.6539751441140114</v>
      </c>
      <c r="AB332" s="43">
        <f t="shared" si="63"/>
        <v>0.59041333390477502</v>
      </c>
    </row>
    <row r="333" spans="1:28">
      <c r="A333" s="48" t="s">
        <v>51</v>
      </c>
      <c r="B333" s="50">
        <v>300</v>
      </c>
      <c r="C333" s="50">
        <v>300</v>
      </c>
      <c r="D333" s="50">
        <v>4.47</v>
      </c>
      <c r="E333" s="50">
        <v>128.22554738811309</v>
      </c>
      <c r="F333" s="50">
        <v>4105.4670874264275</v>
      </c>
      <c r="G333" s="57" t="s">
        <v>93</v>
      </c>
      <c r="H333" s="50">
        <v>0.29799999999999999</v>
      </c>
      <c r="I333" s="50">
        <v>17.2</v>
      </c>
      <c r="J333" s="50">
        <v>1526</v>
      </c>
      <c r="K333" s="50">
        <v>3338</v>
      </c>
      <c r="L333" s="50">
        <v>0.65</v>
      </c>
      <c r="M333" s="50">
        <v>282</v>
      </c>
      <c r="N333" s="51">
        <v>1028.77</v>
      </c>
      <c r="O333" s="43">
        <f t="shared" si="59"/>
        <v>0.35</v>
      </c>
      <c r="P333" s="43">
        <f t="shared" si="64"/>
        <v>575.52354738811312</v>
      </c>
      <c r="Q333" s="43">
        <f t="shared" si="65"/>
        <v>1.2912331276368934E-5</v>
      </c>
      <c r="R333" s="43">
        <v>35</v>
      </c>
      <c r="S333" s="43">
        <f t="shared" si="66"/>
        <v>1</v>
      </c>
      <c r="T333" s="43">
        <f t="shared" si="67"/>
        <v>56.503938231769773</v>
      </c>
      <c r="U333" s="43" t="str" cm="1">
        <f t="array" ref="U333">_xlfn.IFS(T333&lt;3,"Group I",T333&lt;5,"Group II",T333&lt;10,"Group III",T333&lt;20,"Group IV",T333&lt;50,"Group V",T333&lt;100,"Group VI",T333&lt;200,"Group VII",T333&lt;500,"Group VIII",T333&lt;1000,"Group IX",TRUE,"Group X")</f>
        <v>Group VI</v>
      </c>
      <c r="V333" s="43">
        <f t="shared" si="68"/>
        <v>1.7520787184870545</v>
      </c>
      <c r="W333" s="43">
        <f t="shared" si="69"/>
        <v>0.81317616279069749</v>
      </c>
      <c r="X333" s="43">
        <f t="shared" si="60"/>
        <v>-8.9815360629419236E-2</v>
      </c>
      <c r="Y333" s="43">
        <f t="shared" si="70"/>
        <v>3.6481205673758863</v>
      </c>
      <c r="Z333" s="43">
        <f t="shared" si="61"/>
        <v>0.56206918296799568</v>
      </c>
      <c r="AA333" s="43">
        <f t="shared" si="62"/>
        <v>3.1847701729368136</v>
      </c>
      <c r="AB333" s="43">
        <f t="shared" si="63"/>
        <v>0.62336763515521121</v>
      </c>
    </row>
    <row r="334" spans="1:28">
      <c r="A334" s="48" t="s">
        <v>51</v>
      </c>
      <c r="B334" s="50">
        <v>100</v>
      </c>
      <c r="C334" s="50">
        <v>600</v>
      </c>
      <c r="D334" s="50">
        <v>4.47</v>
      </c>
      <c r="E334" s="50">
        <v>128.22554738811309</v>
      </c>
      <c r="F334" s="50">
        <v>4105.4670874264275</v>
      </c>
      <c r="G334" s="57" t="s">
        <v>93</v>
      </c>
      <c r="H334" s="50">
        <v>0.29799999999999999</v>
      </c>
      <c r="I334" s="50">
        <v>17.2</v>
      </c>
      <c r="J334" s="50">
        <v>1526</v>
      </c>
      <c r="K334" s="50">
        <v>3338</v>
      </c>
      <c r="L334" s="50">
        <v>0.65</v>
      </c>
      <c r="M334" s="50">
        <v>147.94999999999999</v>
      </c>
      <c r="N334" s="51">
        <v>190.2</v>
      </c>
      <c r="O334" s="43">
        <f t="shared" si="59"/>
        <v>0.35</v>
      </c>
      <c r="P334" s="43">
        <f t="shared" si="64"/>
        <v>575.52354738811312</v>
      </c>
      <c r="Q334" s="43">
        <f t="shared" si="65"/>
        <v>1.2912331276368934E-5</v>
      </c>
      <c r="R334" s="43">
        <v>35</v>
      </c>
      <c r="S334" s="43">
        <f t="shared" si="66"/>
        <v>0.16666666666666666</v>
      </c>
      <c r="T334" s="43">
        <f t="shared" si="67"/>
        <v>13.318105962476743</v>
      </c>
      <c r="U334" s="43" t="str" cm="1">
        <f t="array" ref="U334">_xlfn.IFS(T334&lt;3,"Group I",T334&lt;5,"Group II",T334&lt;10,"Group III",T334&lt;20,"Group IV",T334&lt;50,"Group V",T334&lt;100,"Group VI",T334&lt;200,"Group VII",T334&lt;500,"Group VIII",T334&lt;1000,"Group IX",TRUE,"Group X")</f>
        <v>Group IV</v>
      </c>
      <c r="V334" s="43">
        <f t="shared" si="68"/>
        <v>1.1244424659354015</v>
      </c>
      <c r="W334" s="43">
        <f t="shared" si="69"/>
        <v>1.626352325581395</v>
      </c>
      <c r="X334" s="43">
        <f t="shared" si="60"/>
        <v>0.21121463503456195</v>
      </c>
      <c r="Y334" s="43">
        <f t="shared" si="70"/>
        <v>1.2855694491382224</v>
      </c>
      <c r="Z334" s="43">
        <f t="shared" si="61"/>
        <v>0.1090955431047433</v>
      </c>
      <c r="AA334" s="43">
        <f t="shared" si="62"/>
        <v>0.77442464179887371</v>
      </c>
      <c r="AB334" s="43">
        <f t="shared" si="63"/>
        <v>0.40529515359518026</v>
      </c>
    </row>
    <row r="335" spans="1:28">
      <c r="A335" s="48" t="s">
        <v>51</v>
      </c>
      <c r="B335" s="50">
        <v>150</v>
      </c>
      <c r="C335" s="50">
        <v>600</v>
      </c>
      <c r="D335" s="50">
        <v>4.47</v>
      </c>
      <c r="E335" s="50">
        <v>128.22554738811309</v>
      </c>
      <c r="F335" s="50">
        <v>4105.4670874264275</v>
      </c>
      <c r="G335" s="57" t="s">
        <v>93</v>
      </c>
      <c r="H335" s="50">
        <v>0.29799999999999999</v>
      </c>
      <c r="I335" s="50">
        <v>17.2</v>
      </c>
      <c r="J335" s="50">
        <v>1526</v>
      </c>
      <c r="K335" s="50">
        <v>3338</v>
      </c>
      <c r="L335" s="50">
        <v>0.65</v>
      </c>
      <c r="M335" s="50">
        <v>165.13</v>
      </c>
      <c r="N335" s="51">
        <v>216.54</v>
      </c>
      <c r="O335" s="43">
        <f t="shared" si="59"/>
        <v>0.35</v>
      </c>
      <c r="P335" s="43">
        <f t="shared" si="64"/>
        <v>575.52354738811312</v>
      </c>
      <c r="Q335" s="43">
        <f t="shared" si="65"/>
        <v>1.2912331276368934E-5</v>
      </c>
      <c r="R335" s="43">
        <v>35</v>
      </c>
      <c r="S335" s="43">
        <f t="shared" si="66"/>
        <v>0.25</v>
      </c>
      <c r="T335" s="43">
        <f t="shared" si="67"/>
        <v>19.977158943715114</v>
      </c>
      <c r="U335" s="43" t="str" cm="1">
        <f t="array" ref="U335">_xlfn.IFS(T335&lt;3,"Group I",T335&lt;5,"Group II",T335&lt;10,"Group III",T335&lt;20,"Group IV",T335&lt;50,"Group V",T335&lt;100,"Group VI",T335&lt;200,"Group VII",T335&lt;500,"Group VIII",T335&lt;1000,"Group IX",TRUE,"Group X")</f>
        <v>Group IV</v>
      </c>
      <c r="V335" s="43">
        <f t="shared" si="68"/>
        <v>1.3005337249910829</v>
      </c>
      <c r="W335" s="43">
        <f t="shared" si="69"/>
        <v>1.626352325581395</v>
      </c>
      <c r="X335" s="43">
        <f t="shared" si="60"/>
        <v>0.21121463503456195</v>
      </c>
      <c r="Y335" s="43">
        <f t="shared" si="70"/>
        <v>1.3113304669048629</v>
      </c>
      <c r="Z335" s="43">
        <f t="shared" si="61"/>
        <v>0.11771215154329855</v>
      </c>
      <c r="AA335" s="43">
        <f t="shared" si="62"/>
        <v>1.1616369626983105</v>
      </c>
      <c r="AB335" s="43">
        <f t="shared" si="63"/>
        <v>0.45732926860761586</v>
      </c>
    </row>
    <row r="336" spans="1:28">
      <c r="A336" s="48" t="s">
        <v>51</v>
      </c>
      <c r="B336" s="50">
        <v>200</v>
      </c>
      <c r="C336" s="50">
        <v>600</v>
      </c>
      <c r="D336" s="50">
        <v>4.47</v>
      </c>
      <c r="E336" s="50">
        <v>128.22554738811309</v>
      </c>
      <c r="F336" s="50">
        <v>4105.4670874264275</v>
      </c>
      <c r="G336" s="57" t="s">
        <v>93</v>
      </c>
      <c r="H336" s="50">
        <v>0.29799999999999999</v>
      </c>
      <c r="I336" s="50">
        <v>17.2</v>
      </c>
      <c r="J336" s="50">
        <v>1526</v>
      </c>
      <c r="K336" s="50">
        <v>3338</v>
      </c>
      <c r="L336" s="50">
        <v>0.65</v>
      </c>
      <c r="M336" s="50">
        <v>166.76</v>
      </c>
      <c r="N336" s="51">
        <v>326.81</v>
      </c>
      <c r="O336" s="43">
        <f t="shared" si="59"/>
        <v>0.35</v>
      </c>
      <c r="P336" s="43">
        <f t="shared" si="64"/>
        <v>575.52354738811312</v>
      </c>
      <c r="Q336" s="43">
        <f t="shared" si="65"/>
        <v>1.2912331276368934E-5</v>
      </c>
      <c r="R336" s="43">
        <v>35</v>
      </c>
      <c r="S336" s="43">
        <f t="shared" si="66"/>
        <v>0.33333333333333331</v>
      </c>
      <c r="T336" s="43">
        <f t="shared" si="67"/>
        <v>26.636211924953486</v>
      </c>
      <c r="U336" s="43" t="str" cm="1">
        <f t="array" ref="U336">_xlfn.IFS(T336&lt;3,"Group I",T336&lt;5,"Group II",T336&lt;10,"Group III",T336&lt;20,"Group IV",T336&lt;50,"Group V",T336&lt;100,"Group VI",T336&lt;200,"Group VII",T336&lt;500,"Group VIII",T336&lt;1000,"Group IX",TRUE,"Group X")</f>
        <v>Group V</v>
      </c>
      <c r="V336" s="43">
        <f t="shared" si="68"/>
        <v>1.4254724615993828</v>
      </c>
      <c r="W336" s="43">
        <f t="shared" si="69"/>
        <v>1.626352325581395</v>
      </c>
      <c r="X336" s="43">
        <f t="shared" si="60"/>
        <v>0.21121463503456195</v>
      </c>
      <c r="Y336" s="43">
        <f t="shared" si="70"/>
        <v>1.9597625329815305</v>
      </c>
      <c r="Z336" s="43">
        <f t="shared" si="61"/>
        <v>0.29220345050762936</v>
      </c>
      <c r="AA336" s="43">
        <f t="shared" si="62"/>
        <v>1.5488492835977474</v>
      </c>
      <c r="AB336" s="43">
        <f t="shared" si="63"/>
        <v>0.498251077209933</v>
      </c>
    </row>
    <row r="337" spans="1:28">
      <c r="A337" s="48" t="s">
        <v>51</v>
      </c>
      <c r="B337" s="50">
        <v>250</v>
      </c>
      <c r="C337" s="50">
        <v>600</v>
      </c>
      <c r="D337" s="50">
        <v>4.47</v>
      </c>
      <c r="E337" s="50">
        <v>128.22554738811309</v>
      </c>
      <c r="F337" s="50">
        <v>4105.4670874264275</v>
      </c>
      <c r="G337" s="57" t="s">
        <v>93</v>
      </c>
      <c r="H337" s="50">
        <v>0.29799999999999999</v>
      </c>
      <c r="I337" s="50">
        <v>17.2</v>
      </c>
      <c r="J337" s="50">
        <v>1526</v>
      </c>
      <c r="K337" s="50">
        <v>3338</v>
      </c>
      <c r="L337" s="50">
        <v>0.65</v>
      </c>
      <c r="M337" s="50">
        <v>180.25</v>
      </c>
      <c r="N337" s="51">
        <v>549.67999999999995</v>
      </c>
      <c r="O337" s="43">
        <f t="shared" si="59"/>
        <v>0.35</v>
      </c>
      <c r="P337" s="43">
        <f t="shared" si="64"/>
        <v>575.52354738811312</v>
      </c>
      <c r="Q337" s="43">
        <f t="shared" si="65"/>
        <v>1.2912331276368934E-5</v>
      </c>
      <c r="R337" s="43">
        <v>35</v>
      </c>
      <c r="S337" s="43">
        <f t="shared" si="66"/>
        <v>0.41666666666666669</v>
      </c>
      <c r="T337" s="43">
        <f t="shared" si="67"/>
        <v>33.295264906191861</v>
      </c>
      <c r="U337" s="43" t="str" cm="1">
        <f t="array" ref="U337">_xlfn.IFS(T337&lt;3,"Group I",T337&lt;5,"Group II",T337&lt;10,"Group III",T337&lt;20,"Group IV",T337&lt;50,"Group V",T337&lt;100,"Group VI",T337&lt;200,"Group VII",T337&lt;500,"Group VIII",T337&lt;1000,"Group IX",TRUE,"Group X")</f>
        <v>Group V</v>
      </c>
      <c r="V337" s="43">
        <f t="shared" si="68"/>
        <v>1.5223824746074393</v>
      </c>
      <c r="W337" s="43">
        <f t="shared" si="69"/>
        <v>1.626352325581395</v>
      </c>
      <c r="X337" s="43">
        <f t="shared" si="60"/>
        <v>0.21121463503456195</v>
      </c>
      <c r="Y337" s="43">
        <f t="shared" si="70"/>
        <v>3.0495423023578359</v>
      </c>
      <c r="Z337" s="43">
        <f t="shared" si="61"/>
        <v>0.48423466214138527</v>
      </c>
      <c r="AA337" s="43">
        <f t="shared" si="62"/>
        <v>1.9360616044971841</v>
      </c>
      <c r="AB337" s="43">
        <f t="shared" si="63"/>
        <v>0.53249770356159165</v>
      </c>
    </row>
    <row r="338" spans="1:28">
      <c r="A338" s="48" t="s">
        <v>51</v>
      </c>
      <c r="B338" s="50">
        <v>300</v>
      </c>
      <c r="C338" s="50">
        <v>600</v>
      </c>
      <c r="D338" s="50">
        <v>4.47</v>
      </c>
      <c r="E338" s="50">
        <v>128.22554738811309</v>
      </c>
      <c r="F338" s="50">
        <v>4105.4670874264275</v>
      </c>
      <c r="G338" s="57" t="s">
        <v>93</v>
      </c>
      <c r="H338" s="50">
        <v>0.29799999999999999</v>
      </c>
      <c r="I338" s="50">
        <v>17.2</v>
      </c>
      <c r="J338" s="50">
        <v>1526</v>
      </c>
      <c r="K338" s="50">
        <v>3338</v>
      </c>
      <c r="L338" s="50">
        <v>0.65</v>
      </c>
      <c r="M338" s="50">
        <v>233.76</v>
      </c>
      <c r="N338" s="51">
        <v>322.64</v>
      </c>
      <c r="O338" s="43">
        <f t="shared" si="59"/>
        <v>0.35</v>
      </c>
      <c r="P338" s="43">
        <f t="shared" si="64"/>
        <v>575.52354738811312</v>
      </c>
      <c r="Q338" s="43">
        <f t="shared" si="65"/>
        <v>1.2912331276368934E-5</v>
      </c>
      <c r="R338" s="43">
        <v>35</v>
      </c>
      <c r="S338" s="43">
        <f t="shared" si="66"/>
        <v>0.5</v>
      </c>
      <c r="T338" s="43">
        <f t="shared" si="67"/>
        <v>39.954317887430228</v>
      </c>
      <c r="U338" s="43" t="str" cm="1">
        <f t="array" ref="U338">_xlfn.IFS(T338&lt;3,"Group I",T338&lt;5,"Group II",T338&lt;10,"Group III",T338&lt;20,"Group IV",T338&lt;50,"Group V",T338&lt;100,"Group VI",T338&lt;200,"Group VII",T338&lt;500,"Group VIII",T338&lt;1000,"Group IX",TRUE,"Group X")</f>
        <v>Group V</v>
      </c>
      <c r="V338" s="43">
        <f t="shared" si="68"/>
        <v>1.6015637206550641</v>
      </c>
      <c r="W338" s="43">
        <f t="shared" si="69"/>
        <v>1.626352325581395</v>
      </c>
      <c r="X338" s="43">
        <f t="shared" si="60"/>
        <v>0.21121463503456195</v>
      </c>
      <c r="Y338" s="43">
        <f t="shared" si="70"/>
        <v>1.3802190280629705</v>
      </c>
      <c r="Z338" s="43">
        <f t="shared" si="61"/>
        <v>0.13994801040934063</v>
      </c>
      <c r="AA338" s="43">
        <f t="shared" si="62"/>
        <v>2.323273925396621</v>
      </c>
      <c r="AB338" s="43">
        <f t="shared" si="63"/>
        <v>0.56221940652903257</v>
      </c>
    </row>
    <row r="339" spans="1:28">
      <c r="A339" s="48" t="s">
        <v>51</v>
      </c>
      <c r="B339" s="50">
        <v>100</v>
      </c>
      <c r="C339" s="50">
        <v>900</v>
      </c>
      <c r="D339" s="50">
        <v>4.47</v>
      </c>
      <c r="E339" s="50">
        <v>128.22554738811309</v>
      </c>
      <c r="F339" s="50">
        <v>4105.4670874264275</v>
      </c>
      <c r="G339" s="57" t="s">
        <v>93</v>
      </c>
      <c r="H339" s="50">
        <v>0.29799999999999999</v>
      </c>
      <c r="I339" s="50">
        <v>17.2</v>
      </c>
      <c r="J339" s="50">
        <v>1526</v>
      </c>
      <c r="K339" s="50">
        <v>3338</v>
      </c>
      <c r="L339" s="50">
        <v>0.65</v>
      </c>
      <c r="M339" s="50">
        <v>112</v>
      </c>
      <c r="N339" s="51">
        <v>125</v>
      </c>
      <c r="O339" s="43">
        <f t="shared" si="59"/>
        <v>0.35</v>
      </c>
      <c r="P339" s="43">
        <f t="shared" si="64"/>
        <v>575.52354738811312</v>
      </c>
      <c r="Q339" s="43">
        <f t="shared" si="65"/>
        <v>1.2912331276368934E-5</v>
      </c>
      <c r="R339" s="43">
        <v>35</v>
      </c>
      <c r="S339" s="43">
        <f t="shared" si="66"/>
        <v>0.1111111111111111</v>
      </c>
      <c r="T339" s="43">
        <f t="shared" si="67"/>
        <v>10.874187982795423</v>
      </c>
      <c r="U339" s="43" t="str" cm="1">
        <f t="array" ref="U339">_xlfn.IFS(T339&lt;3,"Group I",T339&lt;5,"Group II",T339&lt;10,"Group III",T339&lt;20,"Group IV",T339&lt;50,"Group V",T339&lt;100,"Group VI",T339&lt;200,"Group VII",T339&lt;500,"Group VIII",T339&lt;1000,"Group IX",TRUE,"Group X")</f>
        <v>Group IV</v>
      </c>
      <c r="V339" s="43">
        <f t="shared" si="68"/>
        <v>1.0363968364075611</v>
      </c>
      <c r="W339" s="43">
        <f t="shared" si="69"/>
        <v>2.4395284883720927</v>
      </c>
      <c r="X339" s="43">
        <f t="shared" si="60"/>
        <v>0.38730589409024324</v>
      </c>
      <c r="Y339" s="43">
        <f t="shared" si="70"/>
        <v>1.1160714285714286</v>
      </c>
      <c r="Z339" s="43">
        <f t="shared" si="61"/>
        <v>4.7691990337874815E-2</v>
      </c>
      <c r="AA339" s="43">
        <f t="shared" si="62"/>
        <v>0.64395031198078634</v>
      </c>
      <c r="AB339" s="43">
        <f t="shared" si="63"/>
        <v>0.38154223339995347</v>
      </c>
    </row>
    <row r="340" spans="1:28">
      <c r="A340" s="48" t="s">
        <v>51</v>
      </c>
      <c r="B340" s="50">
        <v>150</v>
      </c>
      <c r="C340" s="50">
        <v>900</v>
      </c>
      <c r="D340" s="50">
        <v>4.47</v>
      </c>
      <c r="E340" s="50">
        <v>128.22554738811309</v>
      </c>
      <c r="F340" s="50">
        <v>4105.4670874264275</v>
      </c>
      <c r="G340" s="57" t="s">
        <v>93</v>
      </c>
      <c r="H340" s="50">
        <v>0.29799999999999999</v>
      </c>
      <c r="I340" s="50">
        <v>17.2</v>
      </c>
      <c r="J340" s="50">
        <v>1526</v>
      </c>
      <c r="K340" s="50">
        <v>3338</v>
      </c>
      <c r="L340" s="50">
        <v>0.65</v>
      </c>
      <c r="M340" s="50">
        <v>129.22999999999999</v>
      </c>
      <c r="N340" s="51">
        <v>177.13</v>
      </c>
      <c r="O340" s="43">
        <f t="shared" si="59"/>
        <v>0.35</v>
      </c>
      <c r="P340" s="43">
        <f t="shared" si="64"/>
        <v>575.52354738811312</v>
      </c>
      <c r="Q340" s="43">
        <f t="shared" si="65"/>
        <v>1.2912331276368934E-5</v>
      </c>
      <c r="R340" s="43">
        <v>35</v>
      </c>
      <c r="S340" s="43">
        <f t="shared" si="66"/>
        <v>0.16666666666666666</v>
      </c>
      <c r="T340" s="43">
        <f t="shared" si="67"/>
        <v>16.311281974193136</v>
      </c>
      <c r="U340" s="43" t="str" cm="1">
        <f t="array" ref="U340">_xlfn.IFS(T340&lt;3,"Group I",T340&lt;5,"Group II",T340&lt;10,"Group III",T340&lt;20,"Group IV",T340&lt;50,"Group V",T340&lt;100,"Group VI",T340&lt;200,"Group VII",T340&lt;500,"Group VIII",T340&lt;1000,"Group IX",TRUE,"Group X")</f>
        <v>Group IV</v>
      </c>
      <c r="V340" s="43">
        <f t="shared" si="68"/>
        <v>1.2124880954632422</v>
      </c>
      <c r="W340" s="43">
        <f t="shared" si="69"/>
        <v>2.4395284883720927</v>
      </c>
      <c r="X340" s="43">
        <f t="shared" si="60"/>
        <v>0.38730589409024324</v>
      </c>
      <c r="Y340" s="43">
        <f t="shared" si="70"/>
        <v>1.3706569681962393</v>
      </c>
      <c r="Z340" s="43">
        <f t="shared" si="61"/>
        <v>0.13692877830518502</v>
      </c>
      <c r="AA340" s="43">
        <f t="shared" si="62"/>
        <v>0.96592546797117962</v>
      </c>
      <c r="AB340" s="43">
        <f t="shared" si="63"/>
        <v>0.43052681236352186</v>
      </c>
    </row>
    <row r="341" spans="1:28">
      <c r="A341" s="48" t="s">
        <v>51</v>
      </c>
      <c r="B341" s="50">
        <v>200</v>
      </c>
      <c r="C341" s="50">
        <v>900</v>
      </c>
      <c r="D341" s="50">
        <v>4.47</v>
      </c>
      <c r="E341" s="50">
        <v>128.22554738811309</v>
      </c>
      <c r="F341" s="50">
        <v>4105.4670874264275</v>
      </c>
      <c r="G341" s="57" t="s">
        <v>93</v>
      </c>
      <c r="H341" s="50">
        <v>0.29799999999999999</v>
      </c>
      <c r="I341" s="50">
        <v>17.2</v>
      </c>
      <c r="J341" s="50">
        <v>1526</v>
      </c>
      <c r="K341" s="50">
        <v>3338</v>
      </c>
      <c r="L341" s="50">
        <v>0.65</v>
      </c>
      <c r="M341" s="50">
        <v>128.66</v>
      </c>
      <c r="N341" s="51">
        <v>282.67</v>
      </c>
      <c r="O341" s="43">
        <f t="shared" si="59"/>
        <v>0.35</v>
      </c>
      <c r="P341" s="43">
        <f t="shared" si="64"/>
        <v>575.52354738811312</v>
      </c>
      <c r="Q341" s="43">
        <f t="shared" si="65"/>
        <v>1.2912331276368934E-5</v>
      </c>
      <c r="R341" s="43">
        <v>35</v>
      </c>
      <c r="S341" s="43">
        <f t="shared" si="66"/>
        <v>0.22222222222222221</v>
      </c>
      <c r="T341" s="43">
        <f t="shared" si="67"/>
        <v>21.748375965590846</v>
      </c>
      <c r="U341" s="43" t="str" cm="1">
        <f t="array" ref="U341">_xlfn.IFS(T341&lt;3,"Group I",T341&lt;5,"Group II",T341&lt;10,"Group III",T341&lt;20,"Group IV",T341&lt;50,"Group V",T341&lt;100,"Group VI",T341&lt;200,"Group VII",T341&lt;500,"Group VIII",T341&lt;1000,"Group IX",TRUE,"Group X")</f>
        <v>Group V</v>
      </c>
      <c r="V341" s="43">
        <f t="shared" si="68"/>
        <v>1.3374268320715421</v>
      </c>
      <c r="W341" s="43">
        <f t="shared" si="69"/>
        <v>2.4395284883720927</v>
      </c>
      <c r="X341" s="43">
        <f t="shared" si="60"/>
        <v>0.38730589409024324</v>
      </c>
      <c r="Y341" s="43">
        <f t="shared" si="70"/>
        <v>2.1970309342452978</v>
      </c>
      <c r="Z341" s="43">
        <f t="shared" si="61"/>
        <v>0.34183617183969772</v>
      </c>
      <c r="AA341" s="43">
        <f t="shared" si="62"/>
        <v>1.2879006239615727</v>
      </c>
      <c r="AB341" s="43">
        <f t="shared" si="63"/>
        <v>0.46905033802227813</v>
      </c>
    </row>
    <row r="342" spans="1:28">
      <c r="A342" s="48" t="s">
        <v>51</v>
      </c>
      <c r="B342" s="50">
        <v>250</v>
      </c>
      <c r="C342" s="50">
        <v>900</v>
      </c>
      <c r="D342" s="50">
        <v>4.47</v>
      </c>
      <c r="E342" s="50">
        <v>128.22554738811309</v>
      </c>
      <c r="F342" s="50">
        <v>4105.4670874264275</v>
      </c>
      <c r="G342" s="57" t="s">
        <v>93</v>
      </c>
      <c r="H342" s="50">
        <v>0.29799999999999999</v>
      </c>
      <c r="I342" s="50">
        <v>17.2</v>
      </c>
      <c r="J342" s="50">
        <v>1526</v>
      </c>
      <c r="K342" s="50">
        <v>3338</v>
      </c>
      <c r="L342" s="50">
        <v>0.65</v>
      </c>
      <c r="M342" s="50">
        <v>153</v>
      </c>
      <c r="N342" s="51">
        <v>380.5</v>
      </c>
      <c r="O342" s="43">
        <f t="shared" si="59"/>
        <v>0.35</v>
      </c>
      <c r="P342" s="43">
        <f t="shared" si="64"/>
        <v>575.52354738811312</v>
      </c>
      <c r="Q342" s="43">
        <f t="shared" si="65"/>
        <v>1.2912331276368934E-5</v>
      </c>
      <c r="R342" s="43">
        <v>35</v>
      </c>
      <c r="S342" s="43">
        <f t="shared" si="66"/>
        <v>0.27777777777777779</v>
      </c>
      <c r="T342" s="43">
        <f t="shared" si="67"/>
        <v>27.185469956988559</v>
      </c>
      <c r="U342" s="43" t="str" cm="1">
        <f t="array" ref="U342">_xlfn.IFS(T342&lt;3,"Group I",T342&lt;5,"Group II",T342&lt;10,"Group III",T342&lt;20,"Group IV",T342&lt;50,"Group V",T342&lt;100,"Group VI",T342&lt;200,"Group VII",T342&lt;500,"Group VIII",T342&lt;1000,"Group IX",TRUE,"Group X")</f>
        <v>Group V</v>
      </c>
      <c r="V342" s="43">
        <f t="shared" si="68"/>
        <v>1.4343368450795986</v>
      </c>
      <c r="W342" s="43">
        <f t="shared" si="69"/>
        <v>2.4395284883720927</v>
      </c>
      <c r="X342" s="43">
        <f t="shared" si="60"/>
        <v>0.38730589409024324</v>
      </c>
      <c r="Y342" s="43">
        <f t="shared" si="70"/>
        <v>2.4869281045751634</v>
      </c>
      <c r="Z342" s="43">
        <f t="shared" si="61"/>
        <v>0.39566323028899286</v>
      </c>
      <c r="AA342" s="43">
        <f t="shared" si="62"/>
        <v>1.6098757799519658</v>
      </c>
      <c r="AB342" s="43">
        <f t="shared" si="63"/>
        <v>0.5012898903305617</v>
      </c>
    </row>
    <row r="343" spans="1:28" ht="18.600000000000001" thickBot="1">
      <c r="A343" s="53" t="s">
        <v>51</v>
      </c>
      <c r="B343" s="54">
        <v>300</v>
      </c>
      <c r="C343" s="54">
        <v>900</v>
      </c>
      <c r="D343" s="54">
        <v>4.47</v>
      </c>
      <c r="E343" s="54">
        <v>128.22554738811309</v>
      </c>
      <c r="F343" s="54">
        <v>4105.4670874264275</v>
      </c>
      <c r="G343" s="57" t="s">
        <v>93</v>
      </c>
      <c r="H343" s="54">
        <v>0.29799999999999999</v>
      </c>
      <c r="I343" s="54">
        <v>17.2</v>
      </c>
      <c r="J343" s="54">
        <v>1526</v>
      </c>
      <c r="K343" s="54">
        <v>3338</v>
      </c>
      <c r="L343" s="54">
        <v>0.65</v>
      </c>
      <c r="M343" s="54">
        <v>184.9</v>
      </c>
      <c r="N343" s="55">
        <v>418.79</v>
      </c>
      <c r="O343" s="43">
        <f t="shared" si="59"/>
        <v>0.35</v>
      </c>
      <c r="P343" s="43">
        <f t="shared" si="64"/>
        <v>575.52354738811312</v>
      </c>
      <c r="Q343" s="43">
        <f t="shared" si="65"/>
        <v>1.2912331276368934E-5</v>
      </c>
      <c r="R343" s="43">
        <v>35</v>
      </c>
      <c r="S343" s="43">
        <f t="shared" si="66"/>
        <v>0.33333333333333331</v>
      </c>
      <c r="T343" s="43">
        <f t="shared" si="67"/>
        <v>32.622563948386272</v>
      </c>
      <c r="U343" s="43" t="str" cm="1">
        <f t="array" ref="U343">_xlfn.IFS(T343&lt;3,"Group I",T343&lt;5,"Group II",T343&lt;10,"Group III",T343&lt;20,"Group IV",T343&lt;50,"Group V",T343&lt;100,"Group VI",T343&lt;200,"Group VII",T343&lt;500,"Group VIII",T343&lt;1000,"Group IX",TRUE,"Group X")</f>
        <v>Group V</v>
      </c>
      <c r="V343" s="43">
        <f t="shared" si="68"/>
        <v>1.5135180911272235</v>
      </c>
      <c r="W343" s="43">
        <f t="shared" si="69"/>
        <v>2.4395284883720927</v>
      </c>
      <c r="X343" s="43">
        <f t="shared" si="60"/>
        <v>0.38730589409024324</v>
      </c>
      <c r="Y343" s="43">
        <f t="shared" si="70"/>
        <v>2.2649540292049757</v>
      </c>
      <c r="Z343" s="43">
        <f t="shared" si="61"/>
        <v>0.35505939175052154</v>
      </c>
      <c r="AA343" s="43">
        <f t="shared" si="62"/>
        <v>1.9318509359423592</v>
      </c>
      <c r="AB343" s="43">
        <f t="shared" si="63"/>
        <v>0.52926970906279902</v>
      </c>
    </row>
    <row r="344" spans="1:28">
      <c r="A344" s="56" t="s">
        <v>52</v>
      </c>
      <c r="B344" s="57">
        <v>200</v>
      </c>
      <c r="C344" s="57">
        <v>200</v>
      </c>
      <c r="D344" s="57">
        <v>6.52</v>
      </c>
      <c r="E344" s="57">
        <v>153.4683855125844</v>
      </c>
      <c r="F344" s="57">
        <v>6357.9759712356399</v>
      </c>
      <c r="G344" s="57" t="s">
        <v>94</v>
      </c>
      <c r="H344" s="57">
        <v>0.27800000000000002</v>
      </c>
      <c r="I344" s="57">
        <v>22.6</v>
      </c>
      <c r="J344" s="57">
        <v>1855</v>
      </c>
      <c r="K344" s="57">
        <v>4377</v>
      </c>
      <c r="L344" s="57">
        <v>0.65</v>
      </c>
      <c r="M344" s="57">
        <v>571.01</v>
      </c>
      <c r="N344" s="58">
        <v>688.6</v>
      </c>
      <c r="O344" s="43">
        <f t="shared" si="59"/>
        <v>0.35</v>
      </c>
      <c r="P344" s="43">
        <f t="shared" si="64"/>
        <v>662.20838551258453</v>
      </c>
      <c r="Q344" s="43">
        <f t="shared" si="65"/>
        <v>1.2468552765149844E-5</v>
      </c>
      <c r="R344" s="43">
        <v>35</v>
      </c>
      <c r="S344" s="43">
        <f t="shared" si="66"/>
        <v>1</v>
      </c>
      <c r="T344" s="43">
        <f t="shared" si="67"/>
        <v>27.97407558070023</v>
      </c>
      <c r="U344" s="43" t="str" cm="1">
        <f t="array" ref="U344">_xlfn.IFS(T344&lt;3,"Group I",T344&lt;5,"Group II",T344&lt;10,"Group III",T344&lt;20,"Group IV",T344&lt;50,"Group V",T344&lt;100,"Group VI",T344&lt;200,"Group VII",T344&lt;500,"Group VIII",T344&lt;1000,"Group IX",TRUE,"Group X")</f>
        <v>Group V</v>
      </c>
      <c r="V344" s="43">
        <f t="shared" si="68"/>
        <v>1.446755743928388</v>
      </c>
      <c r="W344" s="43">
        <f t="shared" si="69"/>
        <v>0.56141238938053095</v>
      </c>
      <c r="X344" s="43">
        <f t="shared" si="60"/>
        <v>-0.25071800748314765</v>
      </c>
      <c r="Y344" s="43">
        <f t="shared" si="70"/>
        <v>1.205933346176074</v>
      </c>
      <c r="Z344" s="43">
        <f t="shared" si="61"/>
        <v>8.1323304331580415E-2</v>
      </c>
      <c r="AA344" s="43">
        <f t="shared" si="62"/>
        <v>1.5506698061485105</v>
      </c>
      <c r="AB344" s="43">
        <f t="shared" si="63"/>
        <v>0.50557842905480199</v>
      </c>
    </row>
    <row r="345" spans="1:28">
      <c r="A345" s="48" t="s">
        <v>52</v>
      </c>
      <c r="B345" s="50">
        <v>200</v>
      </c>
      <c r="C345" s="50">
        <v>400</v>
      </c>
      <c r="D345" s="50">
        <v>6.52</v>
      </c>
      <c r="E345" s="50">
        <v>153.4683855125844</v>
      </c>
      <c r="F345" s="50">
        <v>6357.9759712356399</v>
      </c>
      <c r="G345" s="57" t="s">
        <v>94</v>
      </c>
      <c r="H345" s="50">
        <v>0.27800000000000002</v>
      </c>
      <c r="I345" s="50">
        <v>22.6</v>
      </c>
      <c r="J345" s="50">
        <v>1855</v>
      </c>
      <c r="K345" s="50">
        <v>4377</v>
      </c>
      <c r="L345" s="50">
        <v>0.65</v>
      </c>
      <c r="M345" s="50">
        <v>334.42</v>
      </c>
      <c r="N345" s="51">
        <v>366.76</v>
      </c>
      <c r="O345" s="43">
        <f t="shared" si="59"/>
        <v>0.35</v>
      </c>
      <c r="P345" s="43">
        <f t="shared" si="64"/>
        <v>662.20838551258453</v>
      </c>
      <c r="Q345" s="43">
        <f t="shared" si="65"/>
        <v>1.2468552765149844E-5</v>
      </c>
      <c r="R345" s="43">
        <v>35</v>
      </c>
      <c r="S345" s="43">
        <f t="shared" si="66"/>
        <v>0.5</v>
      </c>
      <c r="T345" s="43">
        <f t="shared" si="67"/>
        <v>19.780658540538138</v>
      </c>
      <c r="U345" s="43" t="str" cm="1">
        <f t="array" ref="U345">_xlfn.IFS(T345&lt;3,"Group I",T345&lt;5,"Group II",T345&lt;10,"Group III",T345&lt;20,"Group IV",T345&lt;50,"Group V",T345&lt;100,"Group VI",T345&lt;200,"Group VII",T345&lt;500,"Group VIII",T345&lt;1000,"Group IX",TRUE,"Group X")</f>
        <v>Group IV</v>
      </c>
      <c r="V345" s="43">
        <f t="shared" si="68"/>
        <v>1.2962407460963974</v>
      </c>
      <c r="W345" s="43">
        <f t="shared" si="69"/>
        <v>1.1228247787610619</v>
      </c>
      <c r="X345" s="43">
        <f t="shared" si="60"/>
        <v>5.0311988180833565E-2</v>
      </c>
      <c r="Y345" s="43">
        <f t="shared" si="70"/>
        <v>1.0967047425393217</v>
      </c>
      <c r="Z345" s="43">
        <f t="shared" si="61"/>
        <v>4.0089721516934899E-2</v>
      </c>
      <c r="AA345" s="43">
        <f t="shared" si="62"/>
        <v>1.1312058741753803</v>
      </c>
      <c r="AB345" s="43">
        <f t="shared" si="63"/>
        <v>0.45598453995176952</v>
      </c>
    </row>
    <row r="346" spans="1:28">
      <c r="A346" s="48" t="s">
        <v>52</v>
      </c>
      <c r="B346" s="50">
        <v>200</v>
      </c>
      <c r="C346" s="50">
        <v>600</v>
      </c>
      <c r="D346" s="50">
        <v>6.52</v>
      </c>
      <c r="E346" s="50">
        <v>153.4683855125844</v>
      </c>
      <c r="F346" s="50">
        <v>6357.9759712356399</v>
      </c>
      <c r="G346" s="57" t="s">
        <v>94</v>
      </c>
      <c r="H346" s="50">
        <v>0.27800000000000002</v>
      </c>
      <c r="I346" s="50">
        <v>22.6</v>
      </c>
      <c r="J346" s="50">
        <v>1855</v>
      </c>
      <c r="K346" s="50">
        <v>4377</v>
      </c>
      <c r="L346" s="50">
        <v>0.65</v>
      </c>
      <c r="M346" s="50">
        <v>231.09</v>
      </c>
      <c r="N346" s="51">
        <v>227.77</v>
      </c>
      <c r="O346" s="43">
        <f t="shared" si="59"/>
        <v>0.35</v>
      </c>
      <c r="P346" s="43">
        <f t="shared" si="64"/>
        <v>662.20838551258453</v>
      </c>
      <c r="Q346" s="43">
        <f t="shared" si="65"/>
        <v>1.2468552765149844E-5</v>
      </c>
      <c r="R346" s="43">
        <v>35</v>
      </c>
      <c r="S346" s="43">
        <f t="shared" si="66"/>
        <v>0.33333333333333331</v>
      </c>
      <c r="T346" s="43">
        <f t="shared" si="67"/>
        <v>16.150840066848215</v>
      </c>
      <c r="U346" s="43" t="str" cm="1">
        <f t="array" ref="U346">_xlfn.IFS(T346&lt;3,"Group I",T346&lt;5,"Group II",T346&lt;10,"Group III",T346&lt;20,"Group IV",T346&lt;50,"Group V",T346&lt;100,"Group VI",T346&lt;200,"Group VII",T346&lt;500,"Group VIII",T346&lt;1000,"Group IX",TRUE,"Group X")</f>
        <v>Group IV</v>
      </c>
      <c r="V346" s="43">
        <f t="shared" si="68"/>
        <v>1.2081951165685569</v>
      </c>
      <c r="W346" s="43">
        <f t="shared" si="69"/>
        <v>1.6842371681415929</v>
      </c>
      <c r="X346" s="43">
        <f t="shared" si="60"/>
        <v>0.22640324723651481</v>
      </c>
      <c r="Y346" s="43">
        <f t="shared" si="70"/>
        <v>0.98563330304210484</v>
      </c>
      <c r="Z346" s="43">
        <f t="shared" si="61"/>
        <v>-6.2846307853040729E-3</v>
      </c>
      <c r="AA346" s="43">
        <f t="shared" si="62"/>
        <v>0.94062138040658838</v>
      </c>
      <c r="AB346" s="43">
        <f t="shared" si="63"/>
        <v>0.42926089351372232</v>
      </c>
    </row>
    <row r="347" spans="1:28">
      <c r="A347" s="48" t="s">
        <v>52</v>
      </c>
      <c r="B347" s="50">
        <v>200</v>
      </c>
      <c r="C347" s="50">
        <v>800</v>
      </c>
      <c r="D347" s="50">
        <v>6.52</v>
      </c>
      <c r="E347" s="50">
        <v>153.4683855125844</v>
      </c>
      <c r="F347" s="50">
        <v>6357.9759712356399</v>
      </c>
      <c r="G347" s="57" t="s">
        <v>94</v>
      </c>
      <c r="H347" s="50">
        <v>0.27800000000000002</v>
      </c>
      <c r="I347" s="50">
        <v>22.6</v>
      </c>
      <c r="J347" s="50">
        <v>1855</v>
      </c>
      <c r="K347" s="50">
        <v>4377</v>
      </c>
      <c r="L347" s="50">
        <v>0.65</v>
      </c>
      <c r="M347" s="50">
        <v>233.4</v>
      </c>
      <c r="N347" s="51">
        <v>174.93</v>
      </c>
      <c r="O347" s="43">
        <f t="shared" si="59"/>
        <v>0.35</v>
      </c>
      <c r="P347" s="43">
        <f t="shared" si="64"/>
        <v>662.20838551258453</v>
      </c>
      <c r="Q347" s="43">
        <f t="shared" si="65"/>
        <v>1.2468552765149844E-5</v>
      </c>
      <c r="R347" s="43">
        <v>35</v>
      </c>
      <c r="S347" s="43">
        <f t="shared" si="66"/>
        <v>0.25</v>
      </c>
      <c r="T347" s="43">
        <f t="shared" si="67"/>
        <v>13.987037790350115</v>
      </c>
      <c r="U347" s="43" t="str" cm="1">
        <f t="array" ref="U347">_xlfn.IFS(T347&lt;3,"Group I",T347&lt;5,"Group II",T347&lt;10,"Group III",T347&lt;20,"Group IV",T347&lt;50,"Group V",T347&lt;100,"Group VI",T347&lt;200,"Group VII",T347&lt;500,"Group VIII",T347&lt;1000,"Group IX",TRUE,"Group X")</f>
        <v>Group IV</v>
      </c>
      <c r="V347" s="43">
        <f t="shared" si="68"/>
        <v>1.145725748264407</v>
      </c>
      <c r="W347" s="43">
        <f t="shared" si="69"/>
        <v>2.2456495575221238</v>
      </c>
      <c r="X347" s="43">
        <f t="shared" si="60"/>
        <v>0.35134198384481474</v>
      </c>
      <c r="Y347" s="43">
        <f t="shared" si="70"/>
        <v>0.74948586118251925</v>
      </c>
      <c r="Z347" s="43">
        <f t="shared" si="61"/>
        <v>-0.12523655556864452</v>
      </c>
      <c r="AA347" s="43">
        <f t="shared" si="62"/>
        <v>0.8252090320551031</v>
      </c>
      <c r="AB347" s="43">
        <f t="shared" si="63"/>
        <v>0.41125548228737663</v>
      </c>
    </row>
    <row r="348" spans="1:28">
      <c r="A348" s="48" t="s">
        <v>52</v>
      </c>
      <c r="B348" s="50">
        <v>200</v>
      </c>
      <c r="C348" s="50">
        <v>1200</v>
      </c>
      <c r="D348" s="50">
        <v>6.52</v>
      </c>
      <c r="E348" s="50">
        <v>153.4683855125844</v>
      </c>
      <c r="F348" s="50">
        <v>6357.9759712356399</v>
      </c>
      <c r="G348" s="57" t="s">
        <v>94</v>
      </c>
      <c r="H348" s="50">
        <v>0.27800000000000002</v>
      </c>
      <c r="I348" s="50">
        <v>22.6</v>
      </c>
      <c r="J348" s="50">
        <v>1855</v>
      </c>
      <c r="K348" s="50">
        <v>4377</v>
      </c>
      <c r="L348" s="50">
        <v>0.65</v>
      </c>
      <c r="M348" s="50">
        <v>195.4</v>
      </c>
      <c r="N348" s="51">
        <v>83.99</v>
      </c>
      <c r="O348" s="43">
        <f t="shared" si="59"/>
        <v>0.35</v>
      </c>
      <c r="P348" s="43">
        <f t="shared" si="64"/>
        <v>662.20838551258453</v>
      </c>
      <c r="Q348" s="43">
        <f t="shared" si="65"/>
        <v>1.2468552765149844E-5</v>
      </c>
      <c r="R348" s="43">
        <v>35</v>
      </c>
      <c r="S348" s="43">
        <f t="shared" si="66"/>
        <v>0.16666666666666666</v>
      </c>
      <c r="T348" s="43">
        <f t="shared" si="67"/>
        <v>11.420368533127764</v>
      </c>
      <c r="U348" s="43" t="str" cm="1">
        <f t="array" ref="U348">_xlfn.IFS(T348&lt;3,"Group I",T348&lt;5,"Group II",T348&lt;10,"Group III",T348&lt;20,"Group IV",T348&lt;50,"Group V",T348&lt;100,"Group VI",T348&lt;200,"Group VII",T348&lt;500,"Group VIII",T348&lt;1000,"Group IX",TRUE,"Group X")</f>
        <v>Group IV</v>
      </c>
      <c r="V348" s="43">
        <f t="shared" si="68"/>
        <v>1.0576801187365663</v>
      </c>
      <c r="W348" s="43">
        <f t="shared" si="69"/>
        <v>3.3684743362831857</v>
      </c>
      <c r="X348" s="43">
        <f t="shared" si="60"/>
        <v>0.52743324290049598</v>
      </c>
      <c r="Y348" s="43">
        <f t="shared" si="70"/>
        <v>0.42983623336745136</v>
      </c>
      <c r="Z348" s="43">
        <f t="shared" si="61"/>
        <v>-0.36669697812263657</v>
      </c>
      <c r="AA348" s="43">
        <f t="shared" si="62"/>
        <v>0.68617859628910793</v>
      </c>
      <c r="AB348" s="43">
        <f t="shared" si="63"/>
        <v>0.38715324823900532</v>
      </c>
    </row>
    <row r="349" spans="1:28">
      <c r="A349" s="48" t="s">
        <v>52</v>
      </c>
      <c r="B349" s="50">
        <v>200</v>
      </c>
      <c r="C349" s="50">
        <v>1600</v>
      </c>
      <c r="D349" s="50">
        <v>6.52</v>
      </c>
      <c r="E349" s="50">
        <v>153.4683855125844</v>
      </c>
      <c r="F349" s="50">
        <v>6357.9759712356399</v>
      </c>
      <c r="G349" s="57" t="s">
        <v>94</v>
      </c>
      <c r="H349" s="50">
        <v>0.27800000000000002</v>
      </c>
      <c r="I349" s="50">
        <v>22.6</v>
      </c>
      <c r="J349" s="50">
        <v>1855</v>
      </c>
      <c r="K349" s="50">
        <v>4377</v>
      </c>
      <c r="L349" s="50">
        <v>0.65</v>
      </c>
      <c r="M349" s="50">
        <v>136.86000000000001</v>
      </c>
      <c r="N349" s="51">
        <v>66.02</v>
      </c>
      <c r="O349" s="43">
        <f t="shared" si="59"/>
        <v>0.35</v>
      </c>
      <c r="P349" s="43">
        <f t="shared" si="64"/>
        <v>662.20838551258453</v>
      </c>
      <c r="Q349" s="43">
        <f t="shared" si="65"/>
        <v>1.2468552765149844E-5</v>
      </c>
      <c r="R349" s="43">
        <v>35</v>
      </c>
      <c r="S349" s="43">
        <f t="shared" si="66"/>
        <v>0.125</v>
      </c>
      <c r="T349" s="43">
        <f t="shared" si="67"/>
        <v>9.8903292702690688</v>
      </c>
      <c r="U349" s="43" t="str" cm="1">
        <f t="array" ref="U349">_xlfn.IFS(T349&lt;3,"Group I",T349&lt;5,"Group II",T349&lt;10,"Group III",T349&lt;20,"Group IV",T349&lt;50,"Group V",T349&lt;100,"Group VI",T349&lt;200,"Group VII",T349&lt;500,"Group VIII",T349&lt;1000,"Group IX",TRUE,"Group X")</f>
        <v>Group III</v>
      </c>
      <c r="V349" s="43">
        <f t="shared" si="68"/>
        <v>0.99521075043241625</v>
      </c>
      <c r="W349" s="43">
        <f t="shared" si="69"/>
        <v>4.4912991150442476</v>
      </c>
      <c r="X349" s="43">
        <f t="shared" si="60"/>
        <v>0.652371979508796</v>
      </c>
      <c r="Y349" s="43">
        <f t="shared" si="70"/>
        <v>0.48239076428467037</v>
      </c>
      <c r="Z349" s="43">
        <f t="shared" si="61"/>
        <v>-0.31660101566599957</v>
      </c>
      <c r="AA349" s="43">
        <f t="shared" si="62"/>
        <v>0.60198586493526618</v>
      </c>
      <c r="AB349" s="43">
        <f t="shared" si="63"/>
        <v>0.37091404837828962</v>
      </c>
    </row>
    <row r="350" spans="1:28">
      <c r="A350" s="48" t="s">
        <v>52</v>
      </c>
      <c r="B350" s="50">
        <v>200</v>
      </c>
      <c r="C350" s="50">
        <v>2000</v>
      </c>
      <c r="D350" s="50">
        <v>6.52</v>
      </c>
      <c r="E350" s="50">
        <v>153.4683855125844</v>
      </c>
      <c r="F350" s="50">
        <v>6357.9759712356399</v>
      </c>
      <c r="G350" s="57" t="s">
        <v>94</v>
      </c>
      <c r="H350" s="50">
        <v>0.27800000000000002</v>
      </c>
      <c r="I350" s="50">
        <v>22.6</v>
      </c>
      <c r="J350" s="50">
        <v>1855</v>
      </c>
      <c r="K350" s="50">
        <v>4377</v>
      </c>
      <c r="L350" s="50">
        <v>0.65</v>
      </c>
      <c r="M350" s="50">
        <v>113.9</v>
      </c>
      <c r="N350" s="51">
        <v>36.880000000000003</v>
      </c>
      <c r="O350" s="43">
        <f t="shared" si="59"/>
        <v>0.35</v>
      </c>
      <c r="P350" s="43">
        <f t="shared" si="64"/>
        <v>662.20838551258453</v>
      </c>
      <c r="Q350" s="43">
        <f t="shared" si="65"/>
        <v>1.2468552765149844E-5</v>
      </c>
      <c r="R350" s="43">
        <v>35</v>
      </c>
      <c r="S350" s="43">
        <f t="shared" si="66"/>
        <v>0.1</v>
      </c>
      <c r="T350" s="43">
        <f t="shared" si="67"/>
        <v>8.8461794272710126</v>
      </c>
      <c r="U350" s="43" t="str" cm="1">
        <f t="array" ref="U350">_xlfn.IFS(T350&lt;3,"Group I",T350&lt;5,"Group II",T350&lt;10,"Group III",T350&lt;20,"Group IV",T350&lt;50,"Group V",T350&lt;100,"Group VI",T350&lt;200,"Group VII",T350&lt;500,"Group VIII",T350&lt;1000,"Group IX",TRUE,"Group X")</f>
        <v>Group III</v>
      </c>
      <c r="V350" s="43">
        <f t="shared" si="68"/>
        <v>0.94675574392838813</v>
      </c>
      <c r="W350" s="43">
        <f t="shared" si="69"/>
        <v>5.6141238938053091</v>
      </c>
      <c r="X350" s="43">
        <f t="shared" si="60"/>
        <v>0.74928199251685235</v>
      </c>
      <c r="Y350" s="43">
        <f t="shared" si="70"/>
        <v>0.32379280070237049</v>
      </c>
      <c r="Z350" s="43">
        <f t="shared" si="61"/>
        <v>-0.48973281169750865</v>
      </c>
      <c r="AA350" s="43">
        <f t="shared" si="62"/>
        <v>0.54386277038141684</v>
      </c>
      <c r="AB350" s="43">
        <f t="shared" si="63"/>
        <v>0.35878851789605121</v>
      </c>
    </row>
    <row r="351" spans="1:28">
      <c r="A351" s="48" t="s">
        <v>52</v>
      </c>
      <c r="B351" s="50">
        <v>200</v>
      </c>
      <c r="C351" s="50">
        <v>2400</v>
      </c>
      <c r="D351" s="50">
        <v>6.52</v>
      </c>
      <c r="E351" s="50">
        <v>153.4683855125844</v>
      </c>
      <c r="F351" s="50">
        <v>6357.9759712356399</v>
      </c>
      <c r="G351" s="57" t="s">
        <v>94</v>
      </c>
      <c r="H351" s="50">
        <v>0.27800000000000002</v>
      </c>
      <c r="I351" s="50">
        <v>22.6</v>
      </c>
      <c r="J351" s="50">
        <v>1855</v>
      </c>
      <c r="K351" s="50">
        <v>4377</v>
      </c>
      <c r="L351" s="50">
        <v>0.65</v>
      </c>
      <c r="M351" s="50">
        <v>98.63</v>
      </c>
      <c r="N351" s="51">
        <v>43.67</v>
      </c>
      <c r="O351" s="43">
        <f t="shared" si="59"/>
        <v>0.35</v>
      </c>
      <c r="P351" s="43">
        <f t="shared" si="64"/>
        <v>662.20838551258453</v>
      </c>
      <c r="Q351" s="43">
        <f t="shared" si="65"/>
        <v>1.2468552765149844E-5</v>
      </c>
      <c r="R351" s="43">
        <v>35</v>
      </c>
      <c r="S351" s="43">
        <f t="shared" si="66"/>
        <v>8.3333333333333329E-2</v>
      </c>
      <c r="T351" s="43">
        <f t="shared" si="67"/>
        <v>8.0754200334241073</v>
      </c>
      <c r="U351" s="43" t="str" cm="1">
        <f t="array" ref="U351">_xlfn.IFS(T351&lt;3,"Group I",T351&lt;5,"Group II",T351&lt;10,"Group III",T351&lt;20,"Group IV",T351&lt;50,"Group V",T351&lt;100,"Group VI",T351&lt;200,"Group VII",T351&lt;500,"Group VIII",T351&lt;1000,"Group IX",TRUE,"Group X")</f>
        <v>Group III</v>
      </c>
      <c r="V351" s="43">
        <f t="shared" si="68"/>
        <v>0.90716512090457568</v>
      </c>
      <c r="W351" s="43">
        <f t="shared" si="69"/>
        <v>6.7369486725663714</v>
      </c>
      <c r="X351" s="43">
        <f t="shared" si="60"/>
        <v>0.82846323856447723</v>
      </c>
      <c r="Y351" s="43">
        <f t="shared" si="70"/>
        <v>0.44276589273040662</v>
      </c>
      <c r="Z351" s="43">
        <f t="shared" si="61"/>
        <v>-0.35382584120227312</v>
      </c>
      <c r="AA351" s="43">
        <f t="shared" si="62"/>
        <v>0.50056385684298088</v>
      </c>
      <c r="AB351" s="43">
        <f t="shared" si="63"/>
        <v>0.34917608355866092</v>
      </c>
    </row>
    <row r="352" spans="1:28">
      <c r="A352" s="48" t="s">
        <v>52</v>
      </c>
      <c r="B352" s="50">
        <v>350</v>
      </c>
      <c r="C352" s="50">
        <v>400</v>
      </c>
      <c r="D352" s="50">
        <v>6.52</v>
      </c>
      <c r="E352" s="50">
        <v>153.4683855125844</v>
      </c>
      <c r="F352" s="50">
        <v>6357.9759712356399</v>
      </c>
      <c r="G352" s="57" t="s">
        <v>94</v>
      </c>
      <c r="H352" s="50">
        <v>0.27800000000000002</v>
      </c>
      <c r="I352" s="50">
        <v>22.6</v>
      </c>
      <c r="J352" s="50">
        <v>1855</v>
      </c>
      <c r="K352" s="50">
        <v>4377</v>
      </c>
      <c r="L352" s="50">
        <v>0.65</v>
      </c>
      <c r="M352" s="50">
        <v>338.12</v>
      </c>
      <c r="N352" s="51">
        <v>424.63</v>
      </c>
      <c r="O352" s="43">
        <f t="shared" si="59"/>
        <v>0.35</v>
      </c>
      <c r="P352" s="43">
        <f t="shared" si="64"/>
        <v>662.20838551258453</v>
      </c>
      <c r="Q352" s="43">
        <f t="shared" si="65"/>
        <v>1.2468552765149844E-5</v>
      </c>
      <c r="R352" s="43">
        <v>35</v>
      </c>
      <c r="S352" s="43">
        <f t="shared" si="66"/>
        <v>0.875</v>
      </c>
      <c r="T352" s="43">
        <f t="shared" si="67"/>
        <v>34.616152445941736</v>
      </c>
      <c r="U352" s="43" t="str" cm="1">
        <f t="array" ref="U352">_xlfn.IFS(T352&lt;3,"Group I",T352&lt;5,"Group II",T352&lt;10,"Group III",T352&lt;20,"Group IV",T352&lt;50,"Group V",T352&lt;100,"Group VI",T352&lt;200,"Group VII",T352&lt;500,"Group VIII",T352&lt;1000,"Group IX",TRUE,"Group X")</f>
        <v>Group V</v>
      </c>
      <c r="V352" s="43">
        <f t="shared" si="68"/>
        <v>1.5392787947826918</v>
      </c>
      <c r="W352" s="43">
        <f t="shared" si="69"/>
        <v>1.1228247787610619</v>
      </c>
      <c r="X352" s="43">
        <f t="shared" si="60"/>
        <v>5.0311988180833565E-2</v>
      </c>
      <c r="Y352" s="43">
        <f t="shared" si="70"/>
        <v>1.2558559091446824</v>
      </c>
      <c r="Z352" s="43">
        <f t="shared" si="61"/>
        <v>9.8939813403437576E-2</v>
      </c>
      <c r="AA352" s="43">
        <f t="shared" si="62"/>
        <v>1.9796102798069153</v>
      </c>
      <c r="AB352" s="43">
        <f t="shared" si="63"/>
        <v>0.53870518170726978</v>
      </c>
    </row>
    <row r="353" spans="1:28">
      <c r="A353" s="48" t="s">
        <v>52</v>
      </c>
      <c r="B353" s="50">
        <v>350</v>
      </c>
      <c r="C353" s="50">
        <v>600</v>
      </c>
      <c r="D353" s="50">
        <v>6.52</v>
      </c>
      <c r="E353" s="50">
        <v>153.4683855125844</v>
      </c>
      <c r="F353" s="50">
        <v>6357.9759712356399</v>
      </c>
      <c r="G353" s="57" t="s">
        <v>94</v>
      </c>
      <c r="H353" s="50">
        <v>0.27800000000000002</v>
      </c>
      <c r="I353" s="50">
        <v>22.6</v>
      </c>
      <c r="J353" s="50">
        <v>1855</v>
      </c>
      <c r="K353" s="50">
        <v>4377</v>
      </c>
      <c r="L353" s="50">
        <v>0.65</v>
      </c>
      <c r="M353" s="50">
        <v>252.71</v>
      </c>
      <c r="N353" s="51">
        <v>293.16000000000003</v>
      </c>
      <c r="O353" s="43">
        <f t="shared" si="59"/>
        <v>0.35</v>
      </c>
      <c r="P353" s="43">
        <f t="shared" si="64"/>
        <v>662.20838551258453</v>
      </c>
      <c r="Q353" s="43">
        <f t="shared" si="65"/>
        <v>1.2468552765149844E-5</v>
      </c>
      <c r="R353" s="43">
        <v>35</v>
      </c>
      <c r="S353" s="43">
        <f t="shared" si="66"/>
        <v>0.58333333333333337</v>
      </c>
      <c r="T353" s="43">
        <f t="shared" si="67"/>
        <v>28.263970116984371</v>
      </c>
      <c r="U353" s="43" t="str" cm="1">
        <f t="array" ref="U353">_xlfn.IFS(T353&lt;3,"Group I",T353&lt;5,"Group II",T353&lt;10,"Group III",T353&lt;20,"Group IV",T353&lt;50,"Group V",T353&lt;100,"Group VI",T353&lt;200,"Group VII",T353&lt;500,"Group VIII",T353&lt;1000,"Group IX",TRUE,"Group X")</f>
        <v>Group V</v>
      </c>
      <c r="V353" s="43">
        <f t="shared" si="68"/>
        <v>1.4512331652548511</v>
      </c>
      <c r="W353" s="43">
        <f t="shared" si="69"/>
        <v>1.6842371681415929</v>
      </c>
      <c r="X353" s="43">
        <f t="shared" si="60"/>
        <v>0.22640324723651481</v>
      </c>
      <c r="Y353" s="43">
        <f t="shared" si="70"/>
        <v>1.1600648965217049</v>
      </c>
      <c r="Z353" s="43">
        <f t="shared" si="61"/>
        <v>6.4482285272534051E-2</v>
      </c>
      <c r="AA353" s="43">
        <f t="shared" si="62"/>
        <v>1.6460874157115295</v>
      </c>
      <c r="AB353" s="43">
        <f t="shared" si="63"/>
        <v>0.50713357006488435</v>
      </c>
    </row>
    <row r="354" spans="1:28">
      <c r="A354" s="48" t="s">
        <v>52</v>
      </c>
      <c r="B354" s="50">
        <v>350</v>
      </c>
      <c r="C354" s="50">
        <v>800</v>
      </c>
      <c r="D354" s="50">
        <v>6.52</v>
      </c>
      <c r="E354" s="50">
        <v>153.4683855125844</v>
      </c>
      <c r="F354" s="50">
        <v>6357.9759712356399</v>
      </c>
      <c r="G354" s="57" t="s">
        <v>94</v>
      </c>
      <c r="H354" s="50">
        <v>0.27800000000000002</v>
      </c>
      <c r="I354" s="50">
        <v>22.6</v>
      </c>
      <c r="J354" s="50">
        <v>1855</v>
      </c>
      <c r="K354" s="50">
        <v>4377</v>
      </c>
      <c r="L354" s="50">
        <v>0.65</v>
      </c>
      <c r="M354" s="50">
        <v>233.01</v>
      </c>
      <c r="N354" s="51">
        <v>125.15</v>
      </c>
      <c r="O354" s="43">
        <f t="shared" si="59"/>
        <v>0.35</v>
      </c>
      <c r="P354" s="43">
        <f t="shared" si="64"/>
        <v>662.20838551258453</v>
      </c>
      <c r="Q354" s="43">
        <f t="shared" si="65"/>
        <v>1.2468552765149844E-5</v>
      </c>
      <c r="R354" s="43">
        <v>35</v>
      </c>
      <c r="S354" s="43">
        <f t="shared" si="66"/>
        <v>0.4375</v>
      </c>
      <c r="T354" s="43">
        <f t="shared" si="67"/>
        <v>24.477316133112698</v>
      </c>
      <c r="U354" s="43" t="str" cm="1">
        <f t="array" ref="U354">_xlfn.IFS(T354&lt;3,"Group I",T354&lt;5,"Group II",T354&lt;10,"Group III",T354&lt;20,"Group IV",T354&lt;50,"Group V",T354&lt;100,"Group VI",T354&lt;200,"Group VII",T354&lt;500,"Group VIII",T354&lt;1000,"Group IX",TRUE,"Group X")</f>
        <v>Group V</v>
      </c>
      <c r="V354" s="43">
        <f t="shared" si="68"/>
        <v>1.3887637969507012</v>
      </c>
      <c r="W354" s="43">
        <f t="shared" si="69"/>
        <v>2.2456495575221238</v>
      </c>
      <c r="X354" s="43">
        <f t="shared" si="60"/>
        <v>0.35134198384481474</v>
      </c>
      <c r="Y354" s="43">
        <f t="shared" si="70"/>
        <v>0.53710141195656846</v>
      </c>
      <c r="Z354" s="43">
        <f t="shared" si="61"/>
        <v>-0.26994370592995481</v>
      </c>
      <c r="AA354" s="43">
        <f t="shared" si="62"/>
        <v>1.4441158060964303</v>
      </c>
      <c r="AB354" s="43">
        <f t="shared" si="63"/>
        <v>0.48586177798301117</v>
      </c>
    </row>
    <row r="355" spans="1:28">
      <c r="A355" s="48" t="s">
        <v>52</v>
      </c>
      <c r="B355" s="50">
        <v>350</v>
      </c>
      <c r="C355" s="50">
        <v>1000</v>
      </c>
      <c r="D355" s="50">
        <v>6.52</v>
      </c>
      <c r="E355" s="50">
        <v>153.4683855125844</v>
      </c>
      <c r="F355" s="50">
        <v>6357.9759712356399</v>
      </c>
      <c r="G355" s="57" t="s">
        <v>94</v>
      </c>
      <c r="H355" s="50">
        <v>0.27800000000000002</v>
      </c>
      <c r="I355" s="50">
        <v>22.6</v>
      </c>
      <c r="J355" s="50">
        <v>1855</v>
      </c>
      <c r="K355" s="50">
        <v>4377</v>
      </c>
      <c r="L355" s="50">
        <v>0.65</v>
      </c>
      <c r="M355" s="50">
        <v>181.84</v>
      </c>
      <c r="N355" s="51">
        <v>153.55000000000001</v>
      </c>
      <c r="O355" s="43">
        <f t="shared" ref="O355:O417" si="71">1-L355</f>
        <v>0.35</v>
      </c>
      <c r="P355" s="43">
        <f t="shared" si="64"/>
        <v>662.20838551258453</v>
      </c>
      <c r="Q355" s="43">
        <f t="shared" si="65"/>
        <v>1.2468552765149844E-5</v>
      </c>
      <c r="R355" s="43">
        <v>35</v>
      </c>
      <c r="S355" s="43">
        <f t="shared" si="66"/>
        <v>0.35</v>
      </c>
      <c r="T355" s="43">
        <f t="shared" si="67"/>
        <v>21.893177112156913</v>
      </c>
      <c r="U355" s="43" t="str" cm="1">
        <f t="array" ref="U355">_xlfn.IFS(T355&lt;3,"Group I",T355&lt;5,"Group II",T355&lt;10,"Group III",T355&lt;20,"Group IV",T355&lt;50,"Group V",T355&lt;100,"Group VI",T355&lt;200,"Group VII",T355&lt;500,"Group VIII",T355&lt;1000,"Group IX",TRUE,"Group X")</f>
        <v>Group V</v>
      </c>
      <c r="V355" s="43">
        <f t="shared" si="68"/>
        <v>1.3403087904466731</v>
      </c>
      <c r="W355" s="43">
        <f t="shared" si="69"/>
        <v>2.8070619469026545</v>
      </c>
      <c r="X355" s="43">
        <f t="shared" ref="X355:X419" si="72">LOG(W355)</f>
        <v>0.44825199685287115</v>
      </c>
      <c r="Y355" s="43">
        <f t="shared" si="70"/>
        <v>0.84442366915970091</v>
      </c>
      <c r="Z355" s="43">
        <f t="shared" ref="Z355:Z419" si="73">LOG(Y355)</f>
        <v>-7.3439601937826671E-2</v>
      </c>
      <c r="AA355" s="43">
        <f t="shared" ref="AA355:AA419" si="74">(10^-0.7321)*W355^0.04497*T355*0.307</f>
        <v>1.3046831641797014</v>
      </c>
      <c r="AB355" s="43">
        <f t="shared" ref="AB355:AB419" si="75">(10^-0.7272)*T355^0.2979</f>
        <v>0.46997849767900113</v>
      </c>
    </row>
    <row r="356" spans="1:28">
      <c r="A356" s="48" t="s">
        <v>52</v>
      </c>
      <c r="B356" s="50">
        <v>350</v>
      </c>
      <c r="C356" s="50">
        <v>1200</v>
      </c>
      <c r="D356" s="50">
        <v>6.52</v>
      </c>
      <c r="E356" s="50">
        <v>153.4683855125844</v>
      </c>
      <c r="F356" s="50">
        <v>6357.9759712356399</v>
      </c>
      <c r="G356" s="57" t="s">
        <v>94</v>
      </c>
      <c r="H356" s="50">
        <v>0.27800000000000002</v>
      </c>
      <c r="I356" s="50">
        <v>22.6</v>
      </c>
      <c r="J356" s="50">
        <v>1855</v>
      </c>
      <c r="K356" s="50">
        <v>4377</v>
      </c>
      <c r="L356" s="50">
        <v>0.65</v>
      </c>
      <c r="M356" s="50">
        <v>178.43</v>
      </c>
      <c r="N356" s="51">
        <v>126.2</v>
      </c>
      <c r="O356" s="43">
        <f t="shared" si="71"/>
        <v>0.35</v>
      </c>
      <c r="P356" s="43">
        <f t="shared" si="64"/>
        <v>662.20838551258453</v>
      </c>
      <c r="Q356" s="43">
        <f t="shared" si="65"/>
        <v>1.2468552765149844E-5</v>
      </c>
      <c r="R356" s="43">
        <v>35</v>
      </c>
      <c r="S356" s="43">
        <f t="shared" si="66"/>
        <v>0.29166666666666669</v>
      </c>
      <c r="T356" s="43">
        <f t="shared" si="67"/>
        <v>19.985644932973585</v>
      </c>
      <c r="U356" s="43" t="str" cm="1">
        <f t="array" ref="U356">_xlfn.IFS(T356&lt;3,"Group I",T356&lt;5,"Group II",T356&lt;10,"Group III",T356&lt;20,"Group IV",T356&lt;50,"Group V",T356&lt;100,"Group VI",T356&lt;200,"Group VII",T356&lt;500,"Group VIII",T356&lt;1000,"Group IX",TRUE,"Group X")</f>
        <v>Group IV</v>
      </c>
      <c r="V356" s="43">
        <f t="shared" si="68"/>
        <v>1.3007181674228607</v>
      </c>
      <c r="W356" s="43">
        <f t="shared" si="69"/>
        <v>3.3684743362831857</v>
      </c>
      <c r="X356" s="43">
        <f t="shared" si="72"/>
        <v>0.52743324290049598</v>
      </c>
      <c r="Y356" s="43">
        <f t="shared" si="70"/>
        <v>0.70728016589138598</v>
      </c>
      <c r="Z356" s="43">
        <f t="shared" si="73"/>
        <v>-0.15040852057540885</v>
      </c>
      <c r="AA356" s="43">
        <f t="shared" si="74"/>
        <v>1.2008125435059387</v>
      </c>
      <c r="AB356" s="43">
        <f t="shared" si="75"/>
        <v>0.45738713194796726</v>
      </c>
    </row>
    <row r="357" spans="1:28">
      <c r="A357" s="48" t="s">
        <v>52</v>
      </c>
      <c r="B357" s="50">
        <v>350</v>
      </c>
      <c r="C357" s="50">
        <v>1600</v>
      </c>
      <c r="D357" s="50">
        <v>6.52</v>
      </c>
      <c r="E357" s="50">
        <v>153.4683855125844</v>
      </c>
      <c r="F357" s="50">
        <v>6357.9759712356399</v>
      </c>
      <c r="G357" s="57" t="s">
        <v>94</v>
      </c>
      <c r="H357" s="50">
        <v>0.27800000000000002</v>
      </c>
      <c r="I357" s="50">
        <v>22.6</v>
      </c>
      <c r="J357" s="50">
        <v>1855</v>
      </c>
      <c r="K357" s="50">
        <v>4377</v>
      </c>
      <c r="L357" s="50">
        <v>0.65</v>
      </c>
      <c r="M357" s="50">
        <v>158.57</v>
      </c>
      <c r="N357" s="51">
        <v>88.33</v>
      </c>
      <c r="O357" s="43">
        <f t="shared" si="71"/>
        <v>0.35</v>
      </c>
      <c r="P357" s="43">
        <f t="shared" si="64"/>
        <v>662.20838551258453</v>
      </c>
      <c r="Q357" s="43">
        <f t="shared" si="65"/>
        <v>1.2468552765149844E-5</v>
      </c>
      <c r="R357" s="43">
        <v>35</v>
      </c>
      <c r="S357" s="43">
        <f t="shared" si="66"/>
        <v>0.21875</v>
      </c>
      <c r="T357" s="43">
        <f t="shared" si="67"/>
        <v>17.308076222970868</v>
      </c>
      <c r="U357" s="43" t="str" cm="1">
        <f t="array" ref="U357">_xlfn.IFS(T357&lt;3,"Group I",T357&lt;5,"Group II",T357&lt;10,"Group III",T357&lt;20,"Group IV",T357&lt;50,"Group V",T357&lt;100,"Group VI",T357&lt;200,"Group VII",T357&lt;500,"Group VIII",T357&lt;1000,"Group IX",TRUE,"Group X")</f>
        <v>Group IV</v>
      </c>
      <c r="V357" s="43">
        <f t="shared" si="68"/>
        <v>1.2382487991187106</v>
      </c>
      <c r="W357" s="43">
        <f t="shared" si="69"/>
        <v>4.4912991150442476</v>
      </c>
      <c r="X357" s="43">
        <f t="shared" si="72"/>
        <v>0.652371979508796</v>
      </c>
      <c r="Y357" s="43">
        <f t="shared" si="70"/>
        <v>0.55704105442391372</v>
      </c>
      <c r="Z357" s="43">
        <f t="shared" si="73"/>
        <v>-0.25411279575497031</v>
      </c>
      <c r="AA357" s="43">
        <f t="shared" si="74"/>
        <v>1.0534752636367157</v>
      </c>
      <c r="AB357" s="43">
        <f t="shared" si="75"/>
        <v>0.43820196151944169</v>
      </c>
    </row>
    <row r="358" spans="1:28">
      <c r="A358" s="48" t="s">
        <v>52</v>
      </c>
      <c r="B358" s="50">
        <v>350</v>
      </c>
      <c r="C358" s="50">
        <v>2000</v>
      </c>
      <c r="D358" s="50">
        <v>6.52</v>
      </c>
      <c r="E358" s="50">
        <v>153.4683855125844</v>
      </c>
      <c r="F358" s="50">
        <v>6357.9759712356399</v>
      </c>
      <c r="G358" s="57" t="s">
        <v>94</v>
      </c>
      <c r="H358" s="50">
        <v>0.27800000000000002</v>
      </c>
      <c r="I358" s="50">
        <v>22.6</v>
      </c>
      <c r="J358" s="50">
        <v>1855</v>
      </c>
      <c r="K358" s="50">
        <v>4377</v>
      </c>
      <c r="L358" s="50">
        <v>0.65</v>
      </c>
      <c r="M358" s="50">
        <v>145.69</v>
      </c>
      <c r="N358" s="51">
        <v>68.44</v>
      </c>
      <c r="O358" s="43">
        <f t="shared" si="71"/>
        <v>0.35</v>
      </c>
      <c r="P358" s="43">
        <f t="shared" si="64"/>
        <v>662.20838551258453</v>
      </c>
      <c r="Q358" s="43">
        <f t="shared" si="65"/>
        <v>1.2468552765149844E-5</v>
      </c>
      <c r="R358" s="43">
        <v>35</v>
      </c>
      <c r="S358" s="43">
        <f t="shared" si="66"/>
        <v>0.17499999999999999</v>
      </c>
      <c r="T358" s="43">
        <f t="shared" si="67"/>
        <v>15.480813997724269</v>
      </c>
      <c r="U358" s="43" t="str" cm="1">
        <f t="array" ref="U358">_xlfn.IFS(T358&lt;3,"Group I",T358&lt;5,"Group II",T358&lt;10,"Group III",T358&lt;20,"Group IV",T358&lt;50,"Group V",T358&lt;100,"Group VI",T358&lt;200,"Group VII",T358&lt;500,"Group VIII",T358&lt;1000,"Group IX",TRUE,"Group X")</f>
        <v>Group IV</v>
      </c>
      <c r="V358" s="43">
        <f t="shared" si="68"/>
        <v>1.1897937926146824</v>
      </c>
      <c r="W358" s="43">
        <f t="shared" si="69"/>
        <v>5.6141238938053091</v>
      </c>
      <c r="X358" s="43">
        <f t="shared" si="72"/>
        <v>0.74928199251685235</v>
      </c>
      <c r="Y358" s="43">
        <f t="shared" si="70"/>
        <v>0.46976456860457133</v>
      </c>
      <c r="Z358" s="43">
        <f t="shared" si="73"/>
        <v>-0.32811974243240943</v>
      </c>
      <c r="AA358" s="43">
        <f t="shared" si="74"/>
        <v>0.95175984816747916</v>
      </c>
      <c r="AB358" s="43">
        <f t="shared" si="75"/>
        <v>0.42387672561907053</v>
      </c>
    </row>
    <row r="359" spans="1:28">
      <c r="A359" s="48" t="s">
        <v>52</v>
      </c>
      <c r="B359" s="50">
        <v>350</v>
      </c>
      <c r="C359" s="50">
        <v>2400</v>
      </c>
      <c r="D359" s="50">
        <v>6.52</v>
      </c>
      <c r="E359" s="50">
        <v>153.4683855125844</v>
      </c>
      <c r="F359" s="50">
        <v>6357.9759712356399</v>
      </c>
      <c r="G359" s="57" t="s">
        <v>94</v>
      </c>
      <c r="H359" s="50">
        <v>0.27800000000000002</v>
      </c>
      <c r="I359" s="50">
        <v>22.6</v>
      </c>
      <c r="J359" s="50">
        <v>1855</v>
      </c>
      <c r="K359" s="50">
        <v>4377</v>
      </c>
      <c r="L359" s="50">
        <v>0.65</v>
      </c>
      <c r="M359" s="50">
        <v>134.9</v>
      </c>
      <c r="N359" s="51">
        <v>58.87</v>
      </c>
      <c r="O359" s="43">
        <f t="shared" si="71"/>
        <v>0.35</v>
      </c>
      <c r="P359" s="43">
        <f t="shared" si="64"/>
        <v>662.20838551258453</v>
      </c>
      <c r="Q359" s="43">
        <f t="shared" si="65"/>
        <v>1.2468552765149844E-5</v>
      </c>
      <c r="R359" s="43">
        <v>35</v>
      </c>
      <c r="S359" s="43">
        <f t="shared" si="66"/>
        <v>0.14583333333333334</v>
      </c>
      <c r="T359" s="43">
        <f t="shared" si="67"/>
        <v>14.131985058492186</v>
      </c>
      <c r="U359" s="43" t="str" cm="1">
        <f t="array" ref="U359">_xlfn.IFS(T359&lt;3,"Group I",T359&lt;5,"Group II",T359&lt;10,"Group III",T359&lt;20,"Group IV",T359&lt;50,"Group V",T359&lt;100,"Group VI",T359&lt;200,"Group VII",T359&lt;500,"Group VIII",T359&lt;1000,"Group IX",TRUE,"Group X")</f>
        <v>Group IV</v>
      </c>
      <c r="V359" s="43">
        <f t="shared" si="68"/>
        <v>1.1502031695908701</v>
      </c>
      <c r="W359" s="43">
        <f t="shared" si="69"/>
        <v>6.7369486725663714</v>
      </c>
      <c r="X359" s="43">
        <f t="shared" si="72"/>
        <v>0.82846323856447723</v>
      </c>
      <c r="Y359" s="43">
        <f t="shared" si="70"/>
        <v>0.43639733135656039</v>
      </c>
      <c r="Z359" s="43">
        <f t="shared" si="73"/>
        <v>-0.36011791385973524</v>
      </c>
      <c r="AA359" s="43">
        <f t="shared" si="74"/>
        <v>0.87598674947521638</v>
      </c>
      <c r="AB359" s="43">
        <f t="shared" si="75"/>
        <v>0.41252048931570651</v>
      </c>
    </row>
    <row r="360" spans="1:28">
      <c r="A360" s="48" t="s">
        <v>52</v>
      </c>
      <c r="B360" s="50">
        <v>100</v>
      </c>
      <c r="C360" s="50">
        <v>300</v>
      </c>
      <c r="D360" s="50">
        <v>6.52</v>
      </c>
      <c r="E360" s="50">
        <v>153.4683855125844</v>
      </c>
      <c r="F360" s="50">
        <v>6357.9759712356399</v>
      </c>
      <c r="G360" s="57" t="s">
        <v>94</v>
      </c>
      <c r="H360" s="50">
        <v>0.27800000000000002</v>
      </c>
      <c r="I360" s="50">
        <v>22.6</v>
      </c>
      <c r="J360" s="50">
        <v>1855</v>
      </c>
      <c r="K360" s="50">
        <v>4377</v>
      </c>
      <c r="L360" s="50">
        <v>0.65</v>
      </c>
      <c r="M360" s="50">
        <v>231.98</v>
      </c>
      <c r="N360" s="51">
        <v>82</v>
      </c>
      <c r="O360" s="43">
        <f t="shared" si="71"/>
        <v>0.35</v>
      </c>
      <c r="P360" s="43">
        <f t="shared" si="64"/>
        <v>662.20838551258453</v>
      </c>
      <c r="Q360" s="43">
        <f t="shared" si="65"/>
        <v>1.2468552765149844E-5</v>
      </c>
      <c r="R360" s="43">
        <v>35</v>
      </c>
      <c r="S360" s="43">
        <f t="shared" si="66"/>
        <v>0.33333333333333331</v>
      </c>
      <c r="T360" s="43">
        <f t="shared" si="67"/>
        <v>11.420368533127764</v>
      </c>
      <c r="U360" s="43" t="str" cm="1">
        <f t="array" ref="U360">_xlfn.IFS(T360&lt;3,"Group I",T360&lt;5,"Group II",T360&lt;10,"Group III",T360&lt;20,"Group IV",T360&lt;50,"Group V",T360&lt;100,"Group VI",T360&lt;200,"Group VII",T360&lt;500,"Group VIII",T360&lt;1000,"Group IX",TRUE,"Group X")</f>
        <v>Group IV</v>
      </c>
      <c r="V360" s="43">
        <f t="shared" si="68"/>
        <v>1.0576801187365663</v>
      </c>
      <c r="W360" s="43">
        <f t="shared" si="69"/>
        <v>0.84211858407079643</v>
      </c>
      <c r="X360" s="43">
        <f t="shared" si="72"/>
        <v>-7.4626748427466388E-2</v>
      </c>
      <c r="Y360" s="43">
        <f t="shared" si="70"/>
        <v>0.35347874816794556</v>
      </c>
      <c r="Z360" s="43">
        <f t="shared" si="73"/>
        <v>-0.45163669171385801</v>
      </c>
      <c r="AA360" s="43">
        <f t="shared" si="74"/>
        <v>0.64470721329904035</v>
      </c>
      <c r="AB360" s="43">
        <f t="shared" si="75"/>
        <v>0.38715324823900532</v>
      </c>
    </row>
    <row r="361" spans="1:28">
      <c r="A361" s="48" t="s">
        <v>52</v>
      </c>
      <c r="B361" s="50">
        <v>150</v>
      </c>
      <c r="C361" s="50">
        <v>300</v>
      </c>
      <c r="D361" s="50">
        <v>6.52</v>
      </c>
      <c r="E361" s="50">
        <v>153.4683855125844</v>
      </c>
      <c r="F361" s="50">
        <v>6357.9759712356399</v>
      </c>
      <c r="G361" s="57" t="s">
        <v>94</v>
      </c>
      <c r="H361" s="50">
        <v>0.27800000000000002</v>
      </c>
      <c r="I361" s="50">
        <v>22.6</v>
      </c>
      <c r="J361" s="50">
        <v>1855</v>
      </c>
      <c r="K361" s="50">
        <v>4377</v>
      </c>
      <c r="L361" s="50">
        <v>0.65</v>
      </c>
      <c r="M361" s="50">
        <v>233</v>
      </c>
      <c r="N361" s="51">
        <v>196.5</v>
      </c>
      <c r="O361" s="43">
        <f t="shared" si="71"/>
        <v>0.35</v>
      </c>
      <c r="P361" s="43">
        <f t="shared" si="64"/>
        <v>662.20838551258453</v>
      </c>
      <c r="Q361" s="43">
        <f t="shared" si="65"/>
        <v>1.2468552765149844E-5</v>
      </c>
      <c r="R361" s="43">
        <v>35</v>
      </c>
      <c r="S361" s="43">
        <f t="shared" si="66"/>
        <v>0.5</v>
      </c>
      <c r="T361" s="43">
        <f t="shared" si="67"/>
        <v>17.130552799691646</v>
      </c>
      <c r="U361" s="43" t="str" cm="1">
        <f t="array" ref="U361">_xlfn.IFS(T361&lt;3,"Group I",T361&lt;5,"Group II",T361&lt;10,"Group III",T361&lt;20,"Group IV",T361&lt;50,"Group V",T361&lt;100,"Group VI",T361&lt;200,"Group VII",T361&lt;500,"Group VIII",T361&lt;1000,"Group IX",TRUE,"Group X")</f>
        <v>Group IV</v>
      </c>
      <c r="V361" s="43">
        <f t="shared" si="68"/>
        <v>1.2337713777922474</v>
      </c>
      <c r="W361" s="43">
        <f t="shared" si="69"/>
        <v>0.84211858407079643</v>
      </c>
      <c r="X361" s="43">
        <f t="shared" si="72"/>
        <v>-7.4626748427466388E-2</v>
      </c>
      <c r="Y361" s="43">
        <f t="shared" si="70"/>
        <v>0.8433476394849786</v>
      </c>
      <c r="Z361" s="43">
        <f t="shared" si="73"/>
        <v>-7.3993366314573442E-2</v>
      </c>
      <c r="AA361" s="43">
        <f t="shared" si="74"/>
        <v>0.9670608199485603</v>
      </c>
      <c r="AB361" s="43">
        <f t="shared" si="75"/>
        <v>0.43685820145053073</v>
      </c>
    </row>
    <row r="362" spans="1:28">
      <c r="A362" s="48" t="s">
        <v>52</v>
      </c>
      <c r="B362" s="50">
        <v>200</v>
      </c>
      <c r="C362" s="50">
        <v>300</v>
      </c>
      <c r="D362" s="50">
        <v>6.52</v>
      </c>
      <c r="E362" s="50">
        <v>153.4683855125844</v>
      </c>
      <c r="F362" s="50">
        <v>6357.9759712356399</v>
      </c>
      <c r="G362" s="57" t="s">
        <v>94</v>
      </c>
      <c r="H362" s="50">
        <v>0.27800000000000002</v>
      </c>
      <c r="I362" s="50">
        <v>22.6</v>
      </c>
      <c r="J362" s="50">
        <v>1855</v>
      </c>
      <c r="K362" s="50">
        <v>4377</v>
      </c>
      <c r="L362" s="50">
        <v>0.65</v>
      </c>
      <c r="M362" s="50">
        <v>247.19</v>
      </c>
      <c r="N362" s="51">
        <v>307</v>
      </c>
      <c r="O362" s="43">
        <f t="shared" si="71"/>
        <v>0.35</v>
      </c>
      <c r="P362" s="43">
        <f t="shared" si="64"/>
        <v>662.20838551258453</v>
      </c>
      <c r="Q362" s="43">
        <f t="shared" si="65"/>
        <v>1.2468552765149844E-5</v>
      </c>
      <c r="R362" s="43">
        <v>35</v>
      </c>
      <c r="S362" s="43">
        <f t="shared" si="66"/>
        <v>0.66666666666666663</v>
      </c>
      <c r="T362" s="43">
        <f t="shared" si="67"/>
        <v>22.840737066255528</v>
      </c>
      <c r="U362" s="43" t="str" cm="1">
        <f t="array" ref="U362">_xlfn.IFS(T362&lt;3,"Group I",T362&lt;5,"Group II",T362&lt;10,"Group III",T362&lt;20,"Group IV",T362&lt;50,"Group V",T362&lt;100,"Group VI",T362&lt;200,"Group VII",T362&lt;500,"Group VIII",T362&lt;1000,"Group IX",TRUE,"Group X")</f>
        <v>Group V</v>
      </c>
      <c r="V362" s="43">
        <f t="shared" si="68"/>
        <v>1.3587101144005473</v>
      </c>
      <c r="W362" s="43">
        <f t="shared" si="69"/>
        <v>0.84211858407079643</v>
      </c>
      <c r="X362" s="43">
        <f t="shared" si="72"/>
        <v>-7.4626748427466388E-2</v>
      </c>
      <c r="Y362" s="43">
        <f t="shared" si="70"/>
        <v>1.2419596261984709</v>
      </c>
      <c r="Z362" s="43">
        <f t="shared" si="73"/>
        <v>9.4107477962771302E-2</v>
      </c>
      <c r="AA362" s="43">
        <f t="shared" si="74"/>
        <v>1.2894144265980807</v>
      </c>
      <c r="AB362" s="43">
        <f t="shared" si="75"/>
        <v>0.47594825960609016</v>
      </c>
    </row>
    <row r="363" spans="1:28">
      <c r="A363" s="48" t="s">
        <v>52</v>
      </c>
      <c r="B363" s="50">
        <v>250</v>
      </c>
      <c r="C363" s="50">
        <v>300</v>
      </c>
      <c r="D363" s="50">
        <v>6.52</v>
      </c>
      <c r="E363" s="50">
        <v>153.4683855125844</v>
      </c>
      <c r="F363" s="50">
        <v>6357.9759712356399</v>
      </c>
      <c r="G363" s="57" t="s">
        <v>94</v>
      </c>
      <c r="H363" s="50">
        <v>0.27800000000000002</v>
      </c>
      <c r="I363" s="50">
        <v>22.6</v>
      </c>
      <c r="J363" s="50">
        <v>1855</v>
      </c>
      <c r="K363" s="50">
        <v>4377</v>
      </c>
      <c r="L363" s="50">
        <v>0.65</v>
      </c>
      <c r="M363" s="50">
        <v>289</v>
      </c>
      <c r="N363" s="51">
        <v>354</v>
      </c>
      <c r="O363" s="43">
        <f t="shared" si="71"/>
        <v>0.35</v>
      </c>
      <c r="P363" s="43">
        <f t="shared" si="64"/>
        <v>662.20838551258453</v>
      </c>
      <c r="Q363" s="43">
        <f t="shared" si="65"/>
        <v>1.2468552765149844E-5</v>
      </c>
      <c r="R363" s="43">
        <v>35</v>
      </c>
      <c r="S363" s="43">
        <f t="shared" si="66"/>
        <v>0.83333333333333337</v>
      </c>
      <c r="T363" s="43">
        <f t="shared" si="67"/>
        <v>28.55092133281941</v>
      </c>
      <c r="U363" s="43" t="str" cm="1">
        <f t="array" ref="U363">_xlfn.IFS(T363&lt;3,"Group I",T363&lt;5,"Group II",T363&lt;10,"Group III",T363&lt;20,"Group IV",T363&lt;50,"Group V",T363&lt;100,"Group VI",T363&lt;200,"Group VII",T363&lt;500,"Group VIII",T363&lt;1000,"Group IX",TRUE,"Group X")</f>
        <v>Group V</v>
      </c>
      <c r="V363" s="43">
        <f t="shared" si="68"/>
        <v>1.4556201274086038</v>
      </c>
      <c r="W363" s="43">
        <f t="shared" si="69"/>
        <v>0.84211858407079643</v>
      </c>
      <c r="X363" s="43">
        <f t="shared" si="72"/>
        <v>-7.4626748427466388E-2</v>
      </c>
      <c r="Y363" s="43">
        <f t="shared" si="70"/>
        <v>1.2249134948096885</v>
      </c>
      <c r="Z363" s="43">
        <f t="shared" si="73"/>
        <v>8.8105419269239926E-2</v>
      </c>
      <c r="AA363" s="43">
        <f t="shared" si="74"/>
        <v>1.6117680332476005</v>
      </c>
      <c r="AB363" s="43">
        <f t="shared" si="75"/>
        <v>0.508661931397279</v>
      </c>
    </row>
    <row r="364" spans="1:28">
      <c r="A364" s="48" t="s">
        <v>52</v>
      </c>
      <c r="B364" s="50">
        <v>300</v>
      </c>
      <c r="C364" s="50">
        <v>300</v>
      </c>
      <c r="D364" s="50">
        <v>6.52</v>
      </c>
      <c r="E364" s="50">
        <v>153.4683855125844</v>
      </c>
      <c r="F364" s="50">
        <v>6357.9759712356399</v>
      </c>
      <c r="G364" s="57" t="s">
        <v>94</v>
      </c>
      <c r="H364" s="50">
        <v>0.27800000000000002</v>
      </c>
      <c r="I364" s="50">
        <v>22.6</v>
      </c>
      <c r="J364" s="50">
        <v>1855</v>
      </c>
      <c r="K364" s="50">
        <v>4377</v>
      </c>
      <c r="L364" s="50">
        <v>0.65</v>
      </c>
      <c r="M364" s="50">
        <v>293.55</v>
      </c>
      <c r="N364" s="51">
        <v>462.91</v>
      </c>
      <c r="O364" s="43">
        <f t="shared" si="71"/>
        <v>0.35</v>
      </c>
      <c r="P364" s="43">
        <f t="shared" si="64"/>
        <v>662.20838551258453</v>
      </c>
      <c r="Q364" s="43">
        <f t="shared" si="65"/>
        <v>1.2468552765149844E-5</v>
      </c>
      <c r="R364" s="43">
        <v>35</v>
      </c>
      <c r="S364" s="43">
        <f t="shared" si="66"/>
        <v>1</v>
      </c>
      <c r="T364" s="43">
        <f t="shared" si="67"/>
        <v>34.261105599383292</v>
      </c>
      <c r="U364" s="43" t="str" cm="1">
        <f t="array" ref="U364">_xlfn.IFS(T364&lt;3,"Group I",T364&lt;5,"Group II",T364&lt;10,"Group III",T364&lt;20,"Group IV",T364&lt;50,"Group V",T364&lt;100,"Group VI",T364&lt;200,"Group VII",T364&lt;500,"Group VIII",T364&lt;1000,"Group IX",TRUE,"Group X")</f>
        <v>Group V</v>
      </c>
      <c r="V364" s="43">
        <f t="shared" si="68"/>
        <v>1.5348013734562287</v>
      </c>
      <c r="W364" s="43">
        <f t="shared" si="69"/>
        <v>0.84211858407079643</v>
      </c>
      <c r="X364" s="43">
        <f t="shared" si="72"/>
        <v>-7.4626748427466388E-2</v>
      </c>
      <c r="Y364" s="43">
        <f t="shared" si="70"/>
        <v>1.5769374893544541</v>
      </c>
      <c r="Z364" s="43">
        <f t="shared" si="73"/>
        <v>0.19781447800455609</v>
      </c>
      <c r="AA364" s="43">
        <f t="shared" si="74"/>
        <v>1.9341216398971206</v>
      </c>
      <c r="AB364" s="43">
        <f t="shared" si="75"/>
        <v>0.53705322535914313</v>
      </c>
    </row>
    <row r="365" spans="1:28">
      <c r="A365" s="48" t="s">
        <v>52</v>
      </c>
      <c r="B365" s="50">
        <v>100</v>
      </c>
      <c r="C365" s="50">
        <v>600</v>
      </c>
      <c r="D365" s="50">
        <v>6.52</v>
      </c>
      <c r="E365" s="50">
        <v>153.4683855125844</v>
      </c>
      <c r="F365" s="50">
        <v>6357.9759712356399</v>
      </c>
      <c r="G365" s="57" t="s">
        <v>94</v>
      </c>
      <c r="H365" s="50">
        <v>0.27800000000000002</v>
      </c>
      <c r="I365" s="50">
        <v>22.6</v>
      </c>
      <c r="J365" s="50">
        <v>1855</v>
      </c>
      <c r="K365" s="50">
        <v>4377</v>
      </c>
      <c r="L365" s="50">
        <v>0.65</v>
      </c>
      <c r="M365" s="50">
        <v>136.44999999999999</v>
      </c>
      <c r="N365" s="51">
        <v>39.770000000000003</v>
      </c>
      <c r="O365" s="43">
        <f t="shared" si="71"/>
        <v>0.35</v>
      </c>
      <c r="P365" s="43">
        <f t="shared" si="64"/>
        <v>662.20838551258453</v>
      </c>
      <c r="Q365" s="43">
        <f t="shared" si="65"/>
        <v>1.2468552765149844E-5</v>
      </c>
      <c r="R365" s="43">
        <v>35</v>
      </c>
      <c r="S365" s="43">
        <f t="shared" si="66"/>
        <v>0.16666666666666666</v>
      </c>
      <c r="T365" s="43">
        <f t="shared" si="67"/>
        <v>8.0754200334241073</v>
      </c>
      <c r="U365" s="43" t="str" cm="1">
        <f t="array" ref="U365">_xlfn.IFS(T365&lt;3,"Group I",T365&lt;5,"Group II",T365&lt;10,"Group III",T365&lt;20,"Group IV",T365&lt;50,"Group V",T365&lt;100,"Group VI",T365&lt;200,"Group VII",T365&lt;500,"Group VIII",T365&lt;1000,"Group IX",TRUE,"Group X")</f>
        <v>Group III</v>
      </c>
      <c r="V365" s="43">
        <f t="shared" si="68"/>
        <v>0.90716512090457568</v>
      </c>
      <c r="W365" s="43">
        <f t="shared" si="69"/>
        <v>1.6842371681415929</v>
      </c>
      <c r="X365" s="43">
        <f t="shared" si="72"/>
        <v>0.22640324723651481</v>
      </c>
      <c r="Y365" s="43">
        <f t="shared" si="70"/>
        <v>0.29146207401978752</v>
      </c>
      <c r="Z365" s="43">
        <f t="shared" si="73"/>
        <v>-0.53541794901993489</v>
      </c>
      <c r="AA365" s="43">
        <f t="shared" si="74"/>
        <v>0.47031069020329419</v>
      </c>
      <c r="AB365" s="43">
        <f t="shared" si="75"/>
        <v>0.34917608355866092</v>
      </c>
    </row>
    <row r="366" spans="1:28">
      <c r="A366" s="48" t="s">
        <v>52</v>
      </c>
      <c r="B366" s="50">
        <v>150</v>
      </c>
      <c r="C366" s="50">
        <v>600</v>
      </c>
      <c r="D366" s="50">
        <v>6.52</v>
      </c>
      <c r="E366" s="50">
        <v>153.4683855125844</v>
      </c>
      <c r="F366" s="50">
        <v>6357.9759712356399</v>
      </c>
      <c r="G366" s="57" t="s">
        <v>94</v>
      </c>
      <c r="H366" s="50">
        <v>0.27800000000000002</v>
      </c>
      <c r="I366" s="50">
        <v>22.6</v>
      </c>
      <c r="J366" s="50">
        <v>1855</v>
      </c>
      <c r="K366" s="50">
        <v>4377</v>
      </c>
      <c r="L366" s="50">
        <v>0.65</v>
      </c>
      <c r="M366" s="50">
        <v>137.79</v>
      </c>
      <c r="N366" s="51">
        <v>122.11</v>
      </c>
      <c r="O366" s="43">
        <f t="shared" si="71"/>
        <v>0.35</v>
      </c>
      <c r="P366" s="43">
        <f t="shared" si="64"/>
        <v>662.20838551258453</v>
      </c>
      <c r="Q366" s="43">
        <f t="shared" si="65"/>
        <v>1.2468552765149844E-5</v>
      </c>
      <c r="R366" s="43">
        <v>35</v>
      </c>
      <c r="S366" s="43">
        <f t="shared" si="66"/>
        <v>0.25</v>
      </c>
      <c r="T366" s="43">
        <f t="shared" si="67"/>
        <v>12.113130050136162</v>
      </c>
      <c r="U366" s="43" t="str" cm="1">
        <f t="array" ref="U366">_xlfn.IFS(T366&lt;3,"Group I",T366&lt;5,"Group II",T366&lt;10,"Group III",T366&lt;20,"Group IV",T366&lt;50,"Group V",T366&lt;100,"Group VI",T366&lt;200,"Group VII",T366&lt;500,"Group VIII",T366&lt;1000,"Group IX",TRUE,"Group X")</f>
        <v>Group IV</v>
      </c>
      <c r="V366" s="43">
        <f t="shared" si="68"/>
        <v>1.083256379960257</v>
      </c>
      <c r="W366" s="43">
        <f t="shared" si="69"/>
        <v>1.6842371681415929</v>
      </c>
      <c r="X366" s="43">
        <f t="shared" si="72"/>
        <v>0.22640324723651481</v>
      </c>
      <c r="Y366" s="43">
        <f t="shared" si="70"/>
        <v>0.88620364322519785</v>
      </c>
      <c r="Z366" s="43">
        <f t="shared" si="73"/>
        <v>-5.2466468895529153E-2</v>
      </c>
      <c r="AA366" s="43">
        <f t="shared" si="74"/>
        <v>0.70546603530494145</v>
      </c>
      <c r="AB366" s="43">
        <f t="shared" si="75"/>
        <v>0.39400531067947403</v>
      </c>
    </row>
    <row r="367" spans="1:28">
      <c r="A367" s="48" t="s">
        <v>52</v>
      </c>
      <c r="B367" s="50">
        <v>200</v>
      </c>
      <c r="C367" s="50">
        <v>600</v>
      </c>
      <c r="D367" s="50">
        <v>6.52</v>
      </c>
      <c r="E367" s="50">
        <v>153.4683855125844</v>
      </c>
      <c r="F367" s="50">
        <v>6357.9759712356399</v>
      </c>
      <c r="G367" s="57" t="s">
        <v>94</v>
      </c>
      <c r="H367" s="50">
        <v>0.27800000000000002</v>
      </c>
      <c r="I367" s="50">
        <v>22.6</v>
      </c>
      <c r="J367" s="50">
        <v>1855</v>
      </c>
      <c r="K367" s="50">
        <v>4377</v>
      </c>
      <c r="L367" s="50">
        <v>0.65</v>
      </c>
      <c r="M367" s="50">
        <v>217.19</v>
      </c>
      <c r="N367" s="51">
        <v>188.78</v>
      </c>
      <c r="O367" s="43">
        <f t="shared" si="71"/>
        <v>0.35</v>
      </c>
      <c r="P367" s="43">
        <f t="shared" si="64"/>
        <v>662.20838551258453</v>
      </c>
      <c r="Q367" s="43">
        <f t="shared" si="65"/>
        <v>1.2468552765149844E-5</v>
      </c>
      <c r="R367" s="43">
        <v>35</v>
      </c>
      <c r="S367" s="43">
        <f t="shared" si="66"/>
        <v>0.33333333333333331</v>
      </c>
      <c r="T367" s="43">
        <f t="shared" si="67"/>
        <v>16.150840066848215</v>
      </c>
      <c r="U367" s="43" t="str" cm="1">
        <f t="array" ref="U367">_xlfn.IFS(T367&lt;3,"Group I",T367&lt;5,"Group II",T367&lt;10,"Group III",T367&lt;20,"Group IV",T367&lt;50,"Group V",T367&lt;100,"Group VI",T367&lt;200,"Group VII",T367&lt;500,"Group VIII",T367&lt;1000,"Group IX",TRUE,"Group X")</f>
        <v>Group IV</v>
      </c>
      <c r="V367" s="43">
        <f t="shared" si="68"/>
        <v>1.2081951165685569</v>
      </c>
      <c r="W367" s="43">
        <f t="shared" si="69"/>
        <v>1.6842371681415929</v>
      </c>
      <c r="X367" s="43">
        <f t="shared" si="72"/>
        <v>0.22640324723651481</v>
      </c>
      <c r="Y367" s="43">
        <f t="shared" si="70"/>
        <v>0.86919287260002764</v>
      </c>
      <c r="Z367" s="43">
        <f t="shared" si="73"/>
        <v>-6.0883843560865819E-2</v>
      </c>
      <c r="AA367" s="43">
        <f t="shared" si="74"/>
        <v>0.94062138040658838</v>
      </c>
      <c r="AB367" s="43">
        <f t="shared" si="75"/>
        <v>0.42926089351372232</v>
      </c>
    </row>
    <row r="368" spans="1:28">
      <c r="A368" s="48" t="s">
        <v>52</v>
      </c>
      <c r="B368" s="50">
        <v>250</v>
      </c>
      <c r="C368" s="50">
        <v>600</v>
      </c>
      <c r="D368" s="50">
        <v>6.52</v>
      </c>
      <c r="E368" s="50">
        <v>153.4683855125844</v>
      </c>
      <c r="F368" s="50">
        <v>6357.9759712356399</v>
      </c>
      <c r="G368" s="57" t="s">
        <v>94</v>
      </c>
      <c r="H368" s="50">
        <v>0.27800000000000002</v>
      </c>
      <c r="I368" s="50">
        <v>22.6</v>
      </c>
      <c r="J368" s="50">
        <v>1855</v>
      </c>
      <c r="K368" s="50">
        <v>4377</v>
      </c>
      <c r="L368" s="50">
        <v>0.65</v>
      </c>
      <c r="M368" s="50">
        <v>225.97</v>
      </c>
      <c r="N368" s="51">
        <v>190.62</v>
      </c>
      <c r="O368" s="43">
        <f t="shared" si="71"/>
        <v>0.35</v>
      </c>
      <c r="P368" s="43">
        <f t="shared" si="64"/>
        <v>662.20838551258453</v>
      </c>
      <c r="Q368" s="43">
        <f t="shared" si="65"/>
        <v>1.2468552765149844E-5</v>
      </c>
      <c r="R368" s="43">
        <v>35</v>
      </c>
      <c r="S368" s="43">
        <f t="shared" si="66"/>
        <v>0.41666666666666669</v>
      </c>
      <c r="T368" s="43">
        <f t="shared" si="67"/>
        <v>20.188550083560269</v>
      </c>
      <c r="U368" s="43" t="str" cm="1">
        <f t="array" ref="U368">_xlfn.IFS(T368&lt;3,"Group I",T368&lt;5,"Group II",T368&lt;10,"Group III",T368&lt;20,"Group IV",T368&lt;50,"Group V",T368&lt;100,"Group VI",T368&lt;200,"Group VII",T368&lt;500,"Group VIII",T368&lt;1000,"Group IX",TRUE,"Group X")</f>
        <v>Group V</v>
      </c>
      <c r="V368" s="43">
        <f t="shared" si="68"/>
        <v>1.3051051295766134</v>
      </c>
      <c r="W368" s="43">
        <f t="shared" si="69"/>
        <v>1.6842371681415929</v>
      </c>
      <c r="X368" s="43">
        <f t="shared" si="72"/>
        <v>0.22640324723651481</v>
      </c>
      <c r="Y368" s="43">
        <f t="shared" si="70"/>
        <v>0.84356330486347753</v>
      </c>
      <c r="Z368" s="43">
        <f t="shared" si="73"/>
        <v>-7.3882320399975818E-2</v>
      </c>
      <c r="AA368" s="43">
        <f t="shared" si="74"/>
        <v>1.1757767255082356</v>
      </c>
      <c r="AB368" s="43">
        <f t="shared" si="75"/>
        <v>0.45876557117516081</v>
      </c>
    </row>
    <row r="369" spans="1:28">
      <c r="A369" s="48" t="s">
        <v>52</v>
      </c>
      <c r="B369" s="50">
        <v>300</v>
      </c>
      <c r="C369" s="50">
        <v>600</v>
      </c>
      <c r="D369" s="50">
        <v>6.52</v>
      </c>
      <c r="E369" s="50">
        <v>153.4683855125844</v>
      </c>
      <c r="F369" s="50">
        <v>6357.9759712356399</v>
      </c>
      <c r="G369" s="57" t="s">
        <v>94</v>
      </c>
      <c r="H369" s="50">
        <v>0.27800000000000002</v>
      </c>
      <c r="I369" s="50">
        <v>22.6</v>
      </c>
      <c r="J369" s="50">
        <v>1855</v>
      </c>
      <c r="K369" s="50">
        <v>4377</v>
      </c>
      <c r="L369" s="50">
        <v>0.65</v>
      </c>
      <c r="M369" s="50">
        <v>267.27</v>
      </c>
      <c r="N369" s="51">
        <v>222.62</v>
      </c>
      <c r="O369" s="43">
        <f t="shared" si="71"/>
        <v>0.35</v>
      </c>
      <c r="P369" s="43">
        <f t="shared" si="64"/>
        <v>662.20838551258453</v>
      </c>
      <c r="Q369" s="43">
        <f t="shared" si="65"/>
        <v>1.2468552765149844E-5</v>
      </c>
      <c r="R369" s="43">
        <v>35</v>
      </c>
      <c r="S369" s="43">
        <f t="shared" si="66"/>
        <v>0.5</v>
      </c>
      <c r="T369" s="43">
        <f t="shared" si="67"/>
        <v>24.226260100272324</v>
      </c>
      <c r="U369" s="43" t="str" cm="1">
        <f t="array" ref="U369">_xlfn.IFS(T369&lt;3,"Group I",T369&lt;5,"Group II",T369&lt;10,"Group III",T369&lt;20,"Group IV",T369&lt;50,"Group V",T369&lt;100,"Group VI",T369&lt;200,"Group VII",T369&lt;500,"Group VIII",T369&lt;1000,"Group IX",TRUE,"Group X")</f>
        <v>Group V</v>
      </c>
      <c r="V369" s="43">
        <f t="shared" si="68"/>
        <v>1.3842863756242381</v>
      </c>
      <c r="W369" s="43">
        <f t="shared" si="69"/>
        <v>1.6842371681415929</v>
      </c>
      <c r="X369" s="43">
        <f t="shared" si="72"/>
        <v>0.22640324723651481</v>
      </c>
      <c r="Y369" s="43">
        <f t="shared" si="70"/>
        <v>0.83294047218168898</v>
      </c>
      <c r="Z369" s="43">
        <f t="shared" si="73"/>
        <v>-7.9386035240025313E-2</v>
      </c>
      <c r="AA369" s="43">
        <f t="shared" si="74"/>
        <v>1.4109320706098829</v>
      </c>
      <c r="AB369" s="43">
        <f t="shared" si="75"/>
        <v>0.48437186759100881</v>
      </c>
    </row>
    <row r="370" spans="1:28">
      <c r="A370" s="48" t="s">
        <v>52</v>
      </c>
      <c r="B370" s="50">
        <v>100</v>
      </c>
      <c r="C370" s="50">
        <v>900</v>
      </c>
      <c r="D370" s="50">
        <v>6.52</v>
      </c>
      <c r="E370" s="50">
        <v>153.4683855125844</v>
      </c>
      <c r="F370" s="50">
        <v>6357.9759712356399</v>
      </c>
      <c r="G370" s="57" t="s">
        <v>94</v>
      </c>
      <c r="H370" s="50">
        <v>0.27800000000000002</v>
      </c>
      <c r="I370" s="50">
        <v>22.6</v>
      </c>
      <c r="J370" s="50">
        <v>1855</v>
      </c>
      <c r="K370" s="50">
        <v>4377</v>
      </c>
      <c r="L370" s="50">
        <v>0.65</v>
      </c>
      <c r="M370" s="50">
        <v>132.78</v>
      </c>
      <c r="N370" s="51">
        <v>44.7</v>
      </c>
      <c r="O370" s="43">
        <f t="shared" si="71"/>
        <v>0.35</v>
      </c>
      <c r="P370" s="43">
        <f t="shared" si="64"/>
        <v>662.20838551258453</v>
      </c>
      <c r="Q370" s="43">
        <f t="shared" si="65"/>
        <v>1.2468552765149844E-5</v>
      </c>
      <c r="R370" s="43">
        <v>35</v>
      </c>
      <c r="S370" s="43">
        <f t="shared" si="66"/>
        <v>0.1111111111111111</v>
      </c>
      <c r="T370" s="43">
        <f t="shared" si="67"/>
        <v>6.5935528468460465</v>
      </c>
      <c r="U370" s="43" t="str" cm="1">
        <f t="array" ref="U370">_xlfn.IFS(T370&lt;3,"Group I",T370&lt;5,"Group II",T370&lt;10,"Group III",T370&lt;20,"Group IV",T370&lt;50,"Group V",T370&lt;100,"Group VI",T370&lt;200,"Group VII",T370&lt;500,"Group VIII",T370&lt;1000,"Group IX",TRUE,"Group X")</f>
        <v>Group III</v>
      </c>
      <c r="V370" s="43">
        <f t="shared" si="68"/>
        <v>0.81911949137673501</v>
      </c>
      <c r="W370" s="43">
        <f t="shared" si="69"/>
        <v>2.5263557522123894</v>
      </c>
      <c r="X370" s="43">
        <f t="shared" si="72"/>
        <v>0.40249450629219607</v>
      </c>
      <c r="Y370" s="43">
        <f t="shared" si="70"/>
        <v>0.33664708540442839</v>
      </c>
      <c r="Z370" s="43">
        <f t="shared" si="73"/>
        <v>-0.47282514117896507</v>
      </c>
      <c r="AA370" s="43">
        <f t="shared" si="74"/>
        <v>0.39107319077659897</v>
      </c>
      <c r="AB370" s="43">
        <f t="shared" si="75"/>
        <v>0.32871210422587333</v>
      </c>
    </row>
    <row r="371" spans="1:28">
      <c r="A371" s="48" t="s">
        <v>52</v>
      </c>
      <c r="B371" s="50">
        <v>150</v>
      </c>
      <c r="C371" s="50">
        <v>900</v>
      </c>
      <c r="D371" s="50">
        <v>6.52</v>
      </c>
      <c r="E371" s="50">
        <v>153.4683855125844</v>
      </c>
      <c r="F371" s="50">
        <v>6357.9759712356399</v>
      </c>
      <c r="G371" s="57" t="s">
        <v>94</v>
      </c>
      <c r="H371" s="50">
        <v>0.27800000000000002</v>
      </c>
      <c r="I371" s="50">
        <v>22.6</v>
      </c>
      <c r="J371" s="50">
        <v>1855</v>
      </c>
      <c r="K371" s="50">
        <v>4377</v>
      </c>
      <c r="L371" s="50">
        <v>0.65</v>
      </c>
      <c r="M371" s="50">
        <v>140</v>
      </c>
      <c r="N371" s="51">
        <v>82.28</v>
      </c>
      <c r="O371" s="43">
        <f t="shared" si="71"/>
        <v>0.35</v>
      </c>
      <c r="P371" s="43">
        <f t="shared" si="64"/>
        <v>662.20838551258453</v>
      </c>
      <c r="Q371" s="43">
        <f t="shared" si="65"/>
        <v>1.2468552765149844E-5</v>
      </c>
      <c r="R371" s="43">
        <v>35</v>
      </c>
      <c r="S371" s="43">
        <f t="shared" si="66"/>
        <v>0.16666666666666666</v>
      </c>
      <c r="T371" s="43">
        <f t="shared" si="67"/>
        <v>9.8903292702690688</v>
      </c>
      <c r="U371" s="43" t="str" cm="1">
        <f t="array" ref="U371">_xlfn.IFS(T371&lt;3,"Group I",T371&lt;5,"Group II",T371&lt;10,"Group III",T371&lt;20,"Group IV",T371&lt;50,"Group V",T371&lt;100,"Group VI",T371&lt;200,"Group VII",T371&lt;500,"Group VIII",T371&lt;1000,"Group IX",TRUE,"Group X")</f>
        <v>Group III</v>
      </c>
      <c r="V371" s="43">
        <f t="shared" si="68"/>
        <v>0.99521075043241625</v>
      </c>
      <c r="W371" s="43">
        <f t="shared" si="69"/>
        <v>2.5263557522123894</v>
      </c>
      <c r="X371" s="43">
        <f t="shared" si="72"/>
        <v>0.40249450629219607</v>
      </c>
      <c r="Y371" s="43">
        <f t="shared" si="70"/>
        <v>0.58771428571428574</v>
      </c>
      <c r="Z371" s="43">
        <f t="shared" si="73"/>
        <v>-0.23083375265555162</v>
      </c>
      <c r="AA371" s="43">
        <f t="shared" si="74"/>
        <v>0.58660978616489845</v>
      </c>
      <c r="AB371" s="43">
        <f t="shared" si="75"/>
        <v>0.37091404837828962</v>
      </c>
    </row>
    <row r="372" spans="1:28">
      <c r="A372" s="48" t="s">
        <v>52</v>
      </c>
      <c r="B372" s="50">
        <v>200</v>
      </c>
      <c r="C372" s="50">
        <v>900</v>
      </c>
      <c r="D372" s="50">
        <v>6.52</v>
      </c>
      <c r="E372" s="50">
        <v>153.4683855125844</v>
      </c>
      <c r="F372" s="50">
        <v>6357.9759712356399</v>
      </c>
      <c r="G372" s="57" t="s">
        <v>94</v>
      </c>
      <c r="H372" s="50">
        <v>0.27800000000000002</v>
      </c>
      <c r="I372" s="50">
        <v>22.6</v>
      </c>
      <c r="J372" s="50">
        <v>1855</v>
      </c>
      <c r="K372" s="50">
        <v>4377</v>
      </c>
      <c r="L372" s="50">
        <v>0.65</v>
      </c>
      <c r="M372" s="50">
        <v>129.94999999999999</v>
      </c>
      <c r="N372" s="51">
        <v>95.26</v>
      </c>
      <c r="O372" s="43">
        <f t="shared" si="71"/>
        <v>0.35</v>
      </c>
      <c r="P372" s="43">
        <f t="shared" si="64"/>
        <v>662.20838551258453</v>
      </c>
      <c r="Q372" s="43">
        <f t="shared" si="65"/>
        <v>1.2468552765149844E-5</v>
      </c>
      <c r="R372" s="43">
        <v>35</v>
      </c>
      <c r="S372" s="43">
        <f t="shared" si="66"/>
        <v>0.22222222222222221</v>
      </c>
      <c r="T372" s="43">
        <f t="shared" si="67"/>
        <v>13.187105693692093</v>
      </c>
      <c r="U372" s="43" t="str" cm="1">
        <f t="array" ref="U372">_xlfn.IFS(T372&lt;3,"Group I",T372&lt;5,"Group II",T372&lt;10,"Group III",T372&lt;20,"Group IV",T372&lt;50,"Group V",T372&lt;100,"Group VI",T372&lt;200,"Group VII",T372&lt;500,"Group VIII",T372&lt;1000,"Group IX",TRUE,"Group X")</f>
        <v>Group IV</v>
      </c>
      <c r="V372" s="43">
        <f t="shared" si="68"/>
        <v>1.1201494870407163</v>
      </c>
      <c r="W372" s="43">
        <f t="shared" si="69"/>
        <v>2.5263557522123894</v>
      </c>
      <c r="X372" s="43">
        <f t="shared" si="72"/>
        <v>0.40249450629219607</v>
      </c>
      <c r="Y372" s="43">
        <f t="shared" si="70"/>
        <v>0.7330511735282802</v>
      </c>
      <c r="Z372" s="43">
        <f t="shared" si="73"/>
        <v>-0.13486570666145967</v>
      </c>
      <c r="AA372" s="43">
        <f t="shared" si="74"/>
        <v>0.78214638155319793</v>
      </c>
      <c r="AB372" s="43">
        <f t="shared" si="75"/>
        <v>0.40410342578651753</v>
      </c>
    </row>
    <row r="373" spans="1:28">
      <c r="A373" s="48" t="s">
        <v>52</v>
      </c>
      <c r="B373" s="50">
        <v>250</v>
      </c>
      <c r="C373" s="50">
        <v>900</v>
      </c>
      <c r="D373" s="50">
        <v>6.52</v>
      </c>
      <c r="E373" s="50">
        <v>153.4683855125844</v>
      </c>
      <c r="F373" s="50">
        <v>6357.9759712356399</v>
      </c>
      <c r="G373" s="57" t="s">
        <v>94</v>
      </c>
      <c r="H373" s="50">
        <v>0.27800000000000002</v>
      </c>
      <c r="I373" s="50">
        <v>22.6</v>
      </c>
      <c r="J373" s="50">
        <v>1855</v>
      </c>
      <c r="K373" s="50">
        <v>4377</v>
      </c>
      <c r="L373" s="50">
        <v>0.65</v>
      </c>
      <c r="M373" s="50">
        <v>173</v>
      </c>
      <c r="N373" s="51">
        <v>156.91</v>
      </c>
      <c r="O373" s="43">
        <f t="shared" si="71"/>
        <v>0.35</v>
      </c>
      <c r="P373" s="43">
        <f t="shared" si="64"/>
        <v>662.20838551258453</v>
      </c>
      <c r="Q373" s="43">
        <f t="shared" si="65"/>
        <v>1.2468552765149844E-5</v>
      </c>
      <c r="R373" s="43">
        <v>35</v>
      </c>
      <c r="S373" s="43">
        <f t="shared" si="66"/>
        <v>0.27777777777777779</v>
      </c>
      <c r="T373" s="43">
        <f t="shared" si="67"/>
        <v>16.483882117115115</v>
      </c>
      <c r="U373" s="43" t="str" cm="1">
        <f t="array" ref="U373">_xlfn.IFS(T373&lt;3,"Group I",T373&lt;5,"Group II",T373&lt;10,"Group III",T373&lt;20,"Group IV",T373&lt;50,"Group V",T373&lt;100,"Group VI",T373&lt;200,"Group VII",T373&lt;500,"Group VIII",T373&lt;1000,"Group IX",TRUE,"Group X")</f>
        <v>Group IV</v>
      </c>
      <c r="V373" s="43">
        <f t="shared" si="68"/>
        <v>1.2170595000487727</v>
      </c>
      <c r="W373" s="43">
        <f t="shared" si="69"/>
        <v>2.5263557522123894</v>
      </c>
      <c r="X373" s="43">
        <f t="shared" si="72"/>
        <v>0.40249450629219607</v>
      </c>
      <c r="Y373" s="43">
        <f t="shared" si="70"/>
        <v>0.90699421965317917</v>
      </c>
      <c r="Z373" s="43">
        <f t="shared" si="73"/>
        <v>-4.2395480724609441E-2</v>
      </c>
      <c r="AA373" s="43">
        <f t="shared" si="74"/>
        <v>0.97768297694149742</v>
      </c>
      <c r="AB373" s="43">
        <f t="shared" si="75"/>
        <v>0.43187893830087409</v>
      </c>
    </row>
    <row r="374" spans="1:28" ht="18.600000000000001" thickBot="1">
      <c r="A374" s="53" t="s">
        <v>52</v>
      </c>
      <c r="B374" s="54">
        <v>300</v>
      </c>
      <c r="C374" s="54">
        <v>900</v>
      </c>
      <c r="D374" s="54">
        <v>6.52</v>
      </c>
      <c r="E374" s="54">
        <v>153.4683855125844</v>
      </c>
      <c r="F374" s="54">
        <v>6357.9759712356399</v>
      </c>
      <c r="G374" s="57" t="s">
        <v>94</v>
      </c>
      <c r="H374" s="54">
        <v>0.27800000000000002</v>
      </c>
      <c r="I374" s="54">
        <v>22.6</v>
      </c>
      <c r="J374" s="54">
        <v>1855</v>
      </c>
      <c r="K374" s="54">
        <v>4377</v>
      </c>
      <c r="L374" s="54">
        <v>0.65</v>
      </c>
      <c r="M374" s="54">
        <v>166.13</v>
      </c>
      <c r="N374" s="55">
        <v>198.48</v>
      </c>
      <c r="O374" s="43">
        <f t="shared" si="71"/>
        <v>0.35</v>
      </c>
      <c r="P374" s="43">
        <f t="shared" si="64"/>
        <v>662.20838551258453</v>
      </c>
      <c r="Q374" s="43">
        <f t="shared" si="65"/>
        <v>1.2468552765149844E-5</v>
      </c>
      <c r="R374" s="43">
        <v>35</v>
      </c>
      <c r="S374" s="43">
        <f t="shared" si="66"/>
        <v>0.33333333333333331</v>
      </c>
      <c r="T374" s="43">
        <f t="shared" si="67"/>
        <v>19.780658540538138</v>
      </c>
      <c r="U374" s="43" t="str" cm="1">
        <f t="array" ref="U374">_xlfn.IFS(T374&lt;3,"Group I",T374&lt;5,"Group II",T374&lt;10,"Group III",T374&lt;20,"Group IV",T374&lt;50,"Group V",T374&lt;100,"Group VI",T374&lt;200,"Group VII",T374&lt;500,"Group VIII",T374&lt;1000,"Group IX",TRUE,"Group X")</f>
        <v>Group IV</v>
      </c>
      <c r="V374" s="43">
        <f t="shared" si="68"/>
        <v>1.2962407460963974</v>
      </c>
      <c r="W374" s="43">
        <f t="shared" si="69"/>
        <v>2.5263557522123894</v>
      </c>
      <c r="X374" s="43">
        <f t="shared" si="72"/>
        <v>0.40249450629219607</v>
      </c>
      <c r="Y374" s="43">
        <f t="shared" si="70"/>
        <v>1.1947270210076446</v>
      </c>
      <c r="Z374" s="43">
        <f t="shared" si="73"/>
        <v>7.7268686193834521E-2</v>
      </c>
      <c r="AA374" s="43">
        <f t="shared" si="74"/>
        <v>1.1732195723297969</v>
      </c>
      <c r="AB374" s="43">
        <f t="shared" si="75"/>
        <v>0.45598453995176952</v>
      </c>
    </row>
    <row r="375" spans="1:28">
      <c r="A375" s="56" t="s">
        <v>53</v>
      </c>
      <c r="B375" s="57">
        <v>200</v>
      </c>
      <c r="C375" s="57">
        <v>200</v>
      </c>
      <c r="D375" s="57">
        <v>7.9</v>
      </c>
      <c r="E375" s="57">
        <v>63.593004769475357</v>
      </c>
      <c r="F375" s="57">
        <v>1939.5866454689983</v>
      </c>
      <c r="G375" s="57" t="s">
        <v>95</v>
      </c>
      <c r="H375" s="57">
        <v>0.23599999999999999</v>
      </c>
      <c r="I375" s="57">
        <v>10.6</v>
      </c>
      <c r="J375" s="57">
        <v>1313</v>
      </c>
      <c r="K375" s="57">
        <v>3273</v>
      </c>
      <c r="L375" s="57">
        <v>0.65</v>
      </c>
      <c r="M375" s="57">
        <v>538.12</v>
      </c>
      <c r="N375" s="58">
        <v>1246.1400000000001</v>
      </c>
      <c r="O375" s="43">
        <f t="shared" si="71"/>
        <v>0.35</v>
      </c>
      <c r="P375" s="43">
        <f t="shared" si="64"/>
        <v>367.56100476947529</v>
      </c>
      <c r="Q375" s="43">
        <f t="shared" si="65"/>
        <v>5.6854752199098904E-6</v>
      </c>
      <c r="R375" s="43">
        <v>35</v>
      </c>
      <c r="S375" s="43">
        <f t="shared" si="66"/>
        <v>1</v>
      </c>
      <c r="T375" s="43">
        <f t="shared" si="67"/>
        <v>61.597932061689662</v>
      </c>
      <c r="U375" s="43" t="str" cm="1">
        <f t="array" ref="U375">_xlfn.IFS(T375&lt;3,"Group I",T375&lt;5,"Group II",T375&lt;10,"Group III",T375&lt;20,"Group IV",T375&lt;50,"Group V",T375&lt;100,"Group VI",T375&lt;200,"Group VII",T375&lt;500,"Group VIII",T375&lt;1000,"Group IX",TRUE,"Group X")</f>
        <v>Group VI</v>
      </c>
      <c r="V375" s="43">
        <f t="shared" si="68"/>
        <v>1.7895661324684493</v>
      </c>
      <c r="W375" s="43">
        <f t="shared" si="69"/>
        <v>1.2312075471698114</v>
      </c>
      <c r="X375" s="43">
        <f t="shared" si="72"/>
        <v>9.0331269010034632E-2</v>
      </c>
      <c r="Y375" s="43">
        <f t="shared" si="70"/>
        <v>2.3157288337173867</v>
      </c>
      <c r="Z375" s="43">
        <f t="shared" si="73"/>
        <v>0.36468770319226945</v>
      </c>
      <c r="AA375" s="43">
        <f t="shared" si="74"/>
        <v>3.5372577364038729</v>
      </c>
      <c r="AB375" s="43">
        <f t="shared" si="75"/>
        <v>0.63960485383579491</v>
      </c>
    </row>
    <row r="376" spans="1:28">
      <c r="A376" s="48" t="s">
        <v>53</v>
      </c>
      <c r="B376" s="50">
        <v>200</v>
      </c>
      <c r="C376" s="50">
        <v>400</v>
      </c>
      <c r="D376" s="50">
        <v>7.9</v>
      </c>
      <c r="E376" s="50">
        <v>63.593004769475357</v>
      </c>
      <c r="F376" s="50">
        <v>1939.5866454689983</v>
      </c>
      <c r="G376" s="57" t="s">
        <v>95</v>
      </c>
      <c r="H376" s="50">
        <v>0.23599999999999999</v>
      </c>
      <c r="I376" s="50">
        <v>10.6</v>
      </c>
      <c r="J376" s="50">
        <v>1313</v>
      </c>
      <c r="K376" s="50">
        <v>3273</v>
      </c>
      <c r="L376" s="50">
        <v>0.65</v>
      </c>
      <c r="M376" s="50">
        <v>345.76</v>
      </c>
      <c r="N376" s="51">
        <v>1139.3</v>
      </c>
      <c r="O376" s="43">
        <f t="shared" si="71"/>
        <v>0.35</v>
      </c>
      <c r="P376" s="43">
        <f t="shared" si="64"/>
        <v>367.56100476947529</v>
      </c>
      <c r="Q376" s="43">
        <f t="shared" si="65"/>
        <v>5.6854752199098904E-6</v>
      </c>
      <c r="R376" s="43">
        <v>35</v>
      </c>
      <c r="S376" s="43">
        <f t="shared" si="66"/>
        <v>0.5</v>
      </c>
      <c r="T376" s="43">
        <f t="shared" si="67"/>
        <v>43.556315467889014</v>
      </c>
      <c r="U376" s="43" t="str" cm="1">
        <f t="array" ref="U376">_xlfn.IFS(T376&lt;3,"Group I",T376&lt;5,"Group II",T376&lt;10,"Group III",T376&lt;20,"Group IV",T376&lt;50,"Group V",T376&lt;100,"Group VI",T376&lt;200,"Group VII",T376&lt;500,"Group VIII",T376&lt;1000,"Group IX",TRUE,"Group X")</f>
        <v>Group V</v>
      </c>
      <c r="V376" s="43">
        <f t="shared" si="68"/>
        <v>1.6390511346364587</v>
      </c>
      <c r="W376" s="43">
        <f t="shared" si="69"/>
        <v>2.4624150943396228</v>
      </c>
      <c r="X376" s="43">
        <f t="shared" si="72"/>
        <v>0.39136126467401583</v>
      </c>
      <c r="Y376" s="43">
        <f t="shared" si="70"/>
        <v>3.2950601573345675</v>
      </c>
      <c r="Z376" s="43">
        <f t="shared" si="73"/>
        <v>0.51786334784048638</v>
      </c>
      <c r="AA376" s="43">
        <f t="shared" si="74"/>
        <v>2.5804118414034254</v>
      </c>
      <c r="AB376" s="43">
        <f t="shared" si="75"/>
        <v>0.57686386179980875</v>
      </c>
    </row>
    <row r="377" spans="1:28">
      <c r="A377" s="48" t="s">
        <v>53</v>
      </c>
      <c r="B377" s="50">
        <v>200</v>
      </c>
      <c r="C377" s="50">
        <v>600</v>
      </c>
      <c r="D377" s="50">
        <v>7.9</v>
      </c>
      <c r="E377" s="50">
        <v>63.593004769475357</v>
      </c>
      <c r="F377" s="50">
        <v>1939.5866454689983</v>
      </c>
      <c r="G377" s="57" t="s">
        <v>95</v>
      </c>
      <c r="H377" s="50">
        <v>0.23599999999999999</v>
      </c>
      <c r="I377" s="50">
        <v>10.6</v>
      </c>
      <c r="J377" s="50">
        <v>1313</v>
      </c>
      <c r="K377" s="50">
        <v>3273</v>
      </c>
      <c r="L377" s="50">
        <v>0.65</v>
      </c>
      <c r="M377" s="50">
        <v>227.5</v>
      </c>
      <c r="N377" s="51">
        <v>704.25</v>
      </c>
      <c r="O377" s="43">
        <f t="shared" si="71"/>
        <v>0.35</v>
      </c>
      <c r="P377" s="43">
        <f t="shared" si="64"/>
        <v>367.56100476947529</v>
      </c>
      <c r="Q377" s="43">
        <f t="shared" si="65"/>
        <v>5.6854752199098904E-6</v>
      </c>
      <c r="R377" s="43">
        <v>35</v>
      </c>
      <c r="S377" s="43">
        <f t="shared" si="66"/>
        <v>0.33333333333333331</v>
      </c>
      <c r="T377" s="43">
        <f t="shared" si="67"/>
        <v>35.563582657340802</v>
      </c>
      <c r="U377" s="43" t="str" cm="1">
        <f t="array" ref="U377">_xlfn.IFS(T377&lt;3,"Group I",T377&lt;5,"Group II",T377&lt;10,"Group III",T377&lt;20,"Group IV",T377&lt;50,"Group V",T377&lt;100,"Group VI",T377&lt;200,"Group VII",T377&lt;500,"Group VIII",T377&lt;1000,"Group IX",TRUE,"Group X")</f>
        <v>Group V</v>
      </c>
      <c r="V377" s="43">
        <f t="shared" si="68"/>
        <v>1.551005505108618</v>
      </c>
      <c r="W377" s="43">
        <f t="shared" si="69"/>
        <v>3.693622641509434</v>
      </c>
      <c r="X377" s="43">
        <f t="shared" si="72"/>
        <v>0.56745252372969701</v>
      </c>
      <c r="Y377" s="43">
        <f t="shared" si="70"/>
        <v>3.0956043956043957</v>
      </c>
      <c r="Z377" s="43">
        <f t="shared" si="73"/>
        <v>0.49074545466467978</v>
      </c>
      <c r="AA377" s="43">
        <f t="shared" si="74"/>
        <v>2.1456664995200412</v>
      </c>
      <c r="AB377" s="43">
        <f t="shared" si="75"/>
        <v>0.54305590443516827</v>
      </c>
    </row>
    <row r="378" spans="1:28">
      <c r="A378" s="48" t="s">
        <v>53</v>
      </c>
      <c r="B378" s="50">
        <v>200</v>
      </c>
      <c r="C378" s="50">
        <v>800</v>
      </c>
      <c r="D378" s="50">
        <v>7.9</v>
      </c>
      <c r="E378" s="50">
        <v>63.593004769475357</v>
      </c>
      <c r="F378" s="50">
        <v>1939.5866454689983</v>
      </c>
      <c r="G378" s="57" t="s">
        <v>95</v>
      </c>
      <c r="H378" s="50">
        <v>0.23599999999999999</v>
      </c>
      <c r="I378" s="50">
        <v>10.6</v>
      </c>
      <c r="J378" s="50">
        <v>1313</v>
      </c>
      <c r="K378" s="50">
        <v>3273</v>
      </c>
      <c r="L378" s="50">
        <v>0.65</v>
      </c>
      <c r="M378" s="50">
        <v>179.02</v>
      </c>
      <c r="N378" s="51">
        <v>461.53</v>
      </c>
      <c r="O378" s="43">
        <f t="shared" si="71"/>
        <v>0.35</v>
      </c>
      <c r="P378" s="43">
        <f t="shared" si="64"/>
        <v>367.56100476947529</v>
      </c>
      <c r="Q378" s="43">
        <f t="shared" si="65"/>
        <v>5.6854752199098904E-6</v>
      </c>
      <c r="R378" s="43">
        <v>35</v>
      </c>
      <c r="S378" s="43">
        <f t="shared" si="66"/>
        <v>0.25</v>
      </c>
      <c r="T378" s="43">
        <f t="shared" si="67"/>
        <v>30.798966030844831</v>
      </c>
      <c r="U378" s="43" t="str" cm="1">
        <f t="array" ref="U378">_xlfn.IFS(T378&lt;3,"Group I",T378&lt;5,"Group II",T378&lt;10,"Group III",T378&lt;20,"Group IV",T378&lt;50,"Group V",T378&lt;100,"Group VI",T378&lt;200,"Group VII",T378&lt;500,"Group VIII",T378&lt;1000,"Group IX",TRUE,"Group X")</f>
        <v>Group V</v>
      </c>
      <c r="V378" s="43">
        <f t="shared" si="68"/>
        <v>1.4885361368044681</v>
      </c>
      <c r="W378" s="43">
        <f t="shared" si="69"/>
        <v>4.9248301886792456</v>
      </c>
      <c r="X378" s="43">
        <f t="shared" si="72"/>
        <v>0.69239126033799703</v>
      </c>
      <c r="Y378" s="43">
        <f t="shared" si="70"/>
        <v>2.5780918333147129</v>
      </c>
      <c r="Z378" s="43">
        <f t="shared" si="73"/>
        <v>0.41129838314597317</v>
      </c>
      <c r="AA378" s="43">
        <f t="shared" si="74"/>
        <v>1.8823975427994564</v>
      </c>
      <c r="AB378" s="43">
        <f t="shared" si="75"/>
        <v>0.52027734476202236</v>
      </c>
    </row>
    <row r="379" spans="1:28">
      <c r="A379" s="48" t="s">
        <v>53</v>
      </c>
      <c r="B379" s="50">
        <v>200</v>
      </c>
      <c r="C379" s="50">
        <v>1200</v>
      </c>
      <c r="D379" s="50">
        <v>7.9</v>
      </c>
      <c r="E379" s="50">
        <v>63.593004769475357</v>
      </c>
      <c r="F379" s="50">
        <v>1939.5866454689983</v>
      </c>
      <c r="G379" s="57" t="s">
        <v>95</v>
      </c>
      <c r="H379" s="50">
        <v>0.23599999999999999</v>
      </c>
      <c r="I379" s="50">
        <v>10.6</v>
      </c>
      <c r="J379" s="50">
        <v>1313</v>
      </c>
      <c r="K379" s="50">
        <v>3273</v>
      </c>
      <c r="L379" s="50">
        <v>0.65</v>
      </c>
      <c r="M379" s="50">
        <v>171.14</v>
      </c>
      <c r="N379" s="51">
        <v>323.25</v>
      </c>
      <c r="O379" s="43">
        <f t="shared" si="71"/>
        <v>0.35</v>
      </c>
      <c r="P379" s="43">
        <f t="shared" si="64"/>
        <v>367.56100476947529</v>
      </c>
      <c r="Q379" s="43">
        <f t="shared" si="65"/>
        <v>5.6854752199098904E-6</v>
      </c>
      <c r="R379" s="43">
        <v>35</v>
      </c>
      <c r="S379" s="43">
        <f t="shared" si="66"/>
        <v>0.16666666666666666</v>
      </c>
      <c r="T379" s="43">
        <f t="shared" si="67"/>
        <v>25.147250460293986</v>
      </c>
      <c r="U379" s="43" t="str" cm="1">
        <f t="array" ref="U379">_xlfn.IFS(T379&lt;3,"Group I",T379&lt;5,"Group II",T379&lt;10,"Group III",T379&lt;20,"Group IV",T379&lt;50,"Group V",T379&lt;100,"Group VI",T379&lt;200,"Group VII",T379&lt;500,"Group VIII",T379&lt;1000,"Group IX",TRUE,"Group X")</f>
        <v>Group V</v>
      </c>
      <c r="V379" s="43">
        <f t="shared" si="68"/>
        <v>1.4004905072766274</v>
      </c>
      <c r="W379" s="43">
        <f t="shared" si="69"/>
        <v>7.387245283018868</v>
      </c>
      <c r="X379" s="43">
        <f t="shared" si="72"/>
        <v>0.86848251939367827</v>
      </c>
      <c r="Y379" s="43">
        <f t="shared" si="70"/>
        <v>1.8888044875540495</v>
      </c>
      <c r="Z379" s="43">
        <f t="shared" si="73"/>
        <v>0.27618700589915735</v>
      </c>
      <c r="AA379" s="43">
        <f t="shared" si="74"/>
        <v>1.5652529885178799</v>
      </c>
      <c r="AB379" s="43">
        <f t="shared" si="75"/>
        <v>0.48978572368070916</v>
      </c>
    </row>
    <row r="380" spans="1:28">
      <c r="A380" s="48" t="s">
        <v>53</v>
      </c>
      <c r="B380" s="50">
        <v>200</v>
      </c>
      <c r="C380" s="50">
        <v>1600</v>
      </c>
      <c r="D380" s="50">
        <v>7.9</v>
      </c>
      <c r="E380" s="50">
        <v>63.593004769475357</v>
      </c>
      <c r="F380" s="50">
        <v>1939.5866454689983</v>
      </c>
      <c r="G380" s="57" t="s">
        <v>95</v>
      </c>
      <c r="H380" s="50">
        <v>0.23599999999999999</v>
      </c>
      <c r="I380" s="50">
        <v>10.6</v>
      </c>
      <c r="J380" s="50">
        <v>1313</v>
      </c>
      <c r="K380" s="50">
        <v>3273</v>
      </c>
      <c r="L380" s="50">
        <v>0.65</v>
      </c>
      <c r="M380" s="50">
        <v>165.72</v>
      </c>
      <c r="N380" s="51">
        <v>222.51</v>
      </c>
      <c r="O380" s="43">
        <f t="shared" si="71"/>
        <v>0.35</v>
      </c>
      <c r="P380" s="43">
        <f t="shared" si="64"/>
        <v>367.56100476947529</v>
      </c>
      <c r="Q380" s="43">
        <f t="shared" si="65"/>
        <v>5.6854752199098904E-6</v>
      </c>
      <c r="R380" s="43">
        <v>35</v>
      </c>
      <c r="S380" s="43">
        <f t="shared" si="66"/>
        <v>0.125</v>
      </c>
      <c r="T380" s="43">
        <f t="shared" si="67"/>
        <v>21.778157733944507</v>
      </c>
      <c r="U380" s="43" t="str" cm="1">
        <f t="array" ref="U380">_xlfn.IFS(T380&lt;3,"Group I",T380&lt;5,"Group II",T380&lt;10,"Group III",T380&lt;20,"Group IV",T380&lt;50,"Group V",T380&lt;100,"Group VI",T380&lt;200,"Group VII",T380&lt;500,"Group VIII",T380&lt;1000,"Group IX",TRUE,"Group X")</f>
        <v>Group V</v>
      </c>
      <c r="V380" s="43">
        <f t="shared" si="68"/>
        <v>1.3380211389724774</v>
      </c>
      <c r="W380" s="43">
        <f t="shared" si="69"/>
        <v>9.8496603773584912</v>
      </c>
      <c r="X380" s="43">
        <f t="shared" si="72"/>
        <v>0.99342125600197817</v>
      </c>
      <c r="Y380" s="43">
        <f t="shared" si="70"/>
        <v>1.3426864590876175</v>
      </c>
      <c r="Z380" s="43">
        <f t="shared" si="73"/>
        <v>0.1279746091052007</v>
      </c>
      <c r="AA380" s="43">
        <f t="shared" si="74"/>
        <v>1.3731996002662306</v>
      </c>
      <c r="AB380" s="43">
        <f t="shared" si="75"/>
        <v>0.46924158956339401</v>
      </c>
    </row>
    <row r="381" spans="1:28">
      <c r="A381" s="48" t="s">
        <v>53</v>
      </c>
      <c r="B381" s="50">
        <v>200</v>
      </c>
      <c r="C381" s="50">
        <v>2000</v>
      </c>
      <c r="D381" s="50">
        <v>7.9</v>
      </c>
      <c r="E381" s="50">
        <v>63.593004769475357</v>
      </c>
      <c r="F381" s="50">
        <v>1939.5866454689983</v>
      </c>
      <c r="G381" s="57" t="s">
        <v>95</v>
      </c>
      <c r="H381" s="50">
        <v>0.23599999999999999</v>
      </c>
      <c r="I381" s="50">
        <v>10.6</v>
      </c>
      <c r="J381" s="50">
        <v>1313</v>
      </c>
      <c r="K381" s="50">
        <v>3273</v>
      </c>
      <c r="L381" s="50">
        <v>0.65</v>
      </c>
      <c r="M381" s="50">
        <v>155.28</v>
      </c>
      <c r="N381" s="51">
        <v>144.43</v>
      </c>
      <c r="O381" s="43">
        <f t="shared" si="71"/>
        <v>0.35</v>
      </c>
      <c r="P381" s="43">
        <f t="shared" si="64"/>
        <v>367.56100476947529</v>
      </c>
      <c r="Q381" s="43">
        <f t="shared" si="65"/>
        <v>5.6854752199098904E-6</v>
      </c>
      <c r="R381" s="43">
        <v>35</v>
      </c>
      <c r="S381" s="43">
        <f t="shared" si="66"/>
        <v>0.1</v>
      </c>
      <c r="T381" s="43">
        <f t="shared" si="67"/>
        <v>19.478976447125074</v>
      </c>
      <c r="U381" s="43" t="str" cm="1">
        <f t="array" ref="U381">_xlfn.IFS(T381&lt;3,"Group I",T381&lt;5,"Group II",T381&lt;10,"Group III",T381&lt;20,"Group IV",T381&lt;50,"Group V",T381&lt;100,"Group VI",T381&lt;200,"Group VII",T381&lt;500,"Group VIII",T381&lt;1000,"Group IX",TRUE,"Group X")</f>
        <v>Group IV</v>
      </c>
      <c r="V381" s="43">
        <f t="shared" si="68"/>
        <v>1.2895661324684491</v>
      </c>
      <c r="W381" s="43">
        <f t="shared" si="69"/>
        <v>12.312075471698112</v>
      </c>
      <c r="X381" s="43">
        <f t="shared" si="72"/>
        <v>1.0903312690100346</v>
      </c>
      <c r="Y381" s="43">
        <f t="shared" si="70"/>
        <v>0.93012622359608454</v>
      </c>
      <c r="Z381" s="43">
        <f t="shared" si="73"/>
        <v>-3.1458111132601996E-2</v>
      </c>
      <c r="AA381" s="43">
        <f t="shared" si="74"/>
        <v>1.2406140781524093</v>
      </c>
      <c r="AB381" s="43">
        <f t="shared" si="75"/>
        <v>0.45390163891266533</v>
      </c>
    </row>
    <row r="382" spans="1:28">
      <c r="A382" s="48" t="s">
        <v>53</v>
      </c>
      <c r="B382" s="50">
        <v>200</v>
      </c>
      <c r="C382" s="50">
        <v>2400</v>
      </c>
      <c r="D382" s="50">
        <v>7.9</v>
      </c>
      <c r="E382" s="50">
        <v>63.593004769475357</v>
      </c>
      <c r="F382" s="50">
        <v>1939.5866454689983</v>
      </c>
      <c r="G382" s="57" t="s">
        <v>95</v>
      </c>
      <c r="H382" s="50">
        <v>0.23599999999999999</v>
      </c>
      <c r="I382" s="50">
        <v>10.6</v>
      </c>
      <c r="J382" s="50">
        <v>1313</v>
      </c>
      <c r="K382" s="50">
        <v>3273</v>
      </c>
      <c r="L382" s="50">
        <v>0.65</v>
      </c>
      <c r="M382" s="50">
        <v>139.94</v>
      </c>
      <c r="N382" s="51">
        <v>57.57</v>
      </c>
      <c r="O382" s="43">
        <f t="shared" si="71"/>
        <v>0.35</v>
      </c>
      <c r="P382" s="43">
        <f t="shared" si="64"/>
        <v>367.56100476947529</v>
      </c>
      <c r="Q382" s="43">
        <f t="shared" si="65"/>
        <v>5.6854752199098904E-6</v>
      </c>
      <c r="R382" s="43">
        <v>35</v>
      </c>
      <c r="S382" s="43">
        <f t="shared" si="66"/>
        <v>8.3333333333333329E-2</v>
      </c>
      <c r="T382" s="43">
        <f t="shared" si="67"/>
        <v>17.781791328670401</v>
      </c>
      <c r="U382" s="43" t="str" cm="1">
        <f t="array" ref="U382">_xlfn.IFS(T382&lt;3,"Group I",T382&lt;5,"Group II",T382&lt;10,"Group III",T382&lt;20,"Group IV",T382&lt;50,"Group V",T382&lt;100,"Group VI",T382&lt;200,"Group VII",T382&lt;500,"Group VIII",T382&lt;1000,"Group IX",TRUE,"Group X")</f>
        <v>Group IV</v>
      </c>
      <c r="V382" s="43">
        <f t="shared" si="68"/>
        <v>1.2499755094446368</v>
      </c>
      <c r="W382" s="43">
        <f t="shared" si="69"/>
        <v>14.774490566037736</v>
      </c>
      <c r="X382" s="43">
        <f t="shared" si="72"/>
        <v>1.1695125150576595</v>
      </c>
      <c r="Y382" s="43">
        <f t="shared" si="70"/>
        <v>0.41139059596970129</v>
      </c>
      <c r="Z382" s="43">
        <f t="shared" si="73"/>
        <v>-0.38574564012098783</v>
      </c>
      <c r="AA382" s="43">
        <f t="shared" si="74"/>
        <v>1.1418442328349683</v>
      </c>
      <c r="AB382" s="43">
        <f t="shared" si="75"/>
        <v>0.44174099418170454</v>
      </c>
    </row>
    <row r="383" spans="1:28">
      <c r="A383" s="48" t="s">
        <v>53</v>
      </c>
      <c r="B383" s="50">
        <v>350</v>
      </c>
      <c r="C383" s="50">
        <v>400</v>
      </c>
      <c r="D383" s="50">
        <v>7.9</v>
      </c>
      <c r="E383" s="50">
        <v>63.593004769475357</v>
      </c>
      <c r="F383" s="50">
        <v>1939.5866454689983</v>
      </c>
      <c r="G383" s="57" t="s">
        <v>95</v>
      </c>
      <c r="H383" s="50">
        <v>0.23599999999999999</v>
      </c>
      <c r="I383" s="50">
        <v>10.6</v>
      </c>
      <c r="J383" s="50">
        <v>1313</v>
      </c>
      <c r="K383" s="50">
        <v>3273</v>
      </c>
      <c r="L383" s="50">
        <v>0.65</v>
      </c>
      <c r="M383" s="50">
        <v>294.58999999999997</v>
      </c>
      <c r="N383" s="51">
        <v>932.48</v>
      </c>
      <c r="O383" s="43">
        <f t="shared" si="71"/>
        <v>0.35</v>
      </c>
      <c r="P383" s="43">
        <f t="shared" si="64"/>
        <v>367.56100476947529</v>
      </c>
      <c r="Q383" s="43">
        <f t="shared" si="65"/>
        <v>5.6854752199098904E-6</v>
      </c>
      <c r="R383" s="43">
        <v>35</v>
      </c>
      <c r="S383" s="43">
        <f t="shared" si="66"/>
        <v>0.875</v>
      </c>
      <c r="T383" s="43">
        <f t="shared" si="67"/>
        <v>76.223552068805759</v>
      </c>
      <c r="U383" s="43" t="str" cm="1">
        <f t="array" ref="U383">_xlfn.IFS(T383&lt;3,"Group I",T383&lt;5,"Group II",T383&lt;10,"Group III",T383&lt;20,"Group IV",T383&lt;50,"Group V",T383&lt;100,"Group VI",T383&lt;200,"Group VII",T383&lt;500,"Group VIII",T383&lt;1000,"Group IX",TRUE,"Group X")</f>
        <v>Group VI</v>
      </c>
      <c r="V383" s="43">
        <f t="shared" si="68"/>
        <v>1.8820891833227531</v>
      </c>
      <c r="W383" s="43">
        <f t="shared" si="69"/>
        <v>2.4624150943396228</v>
      </c>
      <c r="X383" s="43">
        <f t="shared" si="72"/>
        <v>0.39136126467401583</v>
      </c>
      <c r="Y383" s="43">
        <f t="shared" si="70"/>
        <v>3.165348450388676</v>
      </c>
      <c r="Z383" s="43">
        <f t="shared" si="73"/>
        <v>0.5004215253332458</v>
      </c>
      <c r="AA383" s="43">
        <f t="shared" si="74"/>
        <v>4.5157207224559937</v>
      </c>
      <c r="AB383" s="43">
        <f t="shared" si="75"/>
        <v>0.68151335026422855</v>
      </c>
    </row>
    <row r="384" spans="1:28">
      <c r="A384" s="48" t="s">
        <v>53</v>
      </c>
      <c r="B384" s="50">
        <v>350</v>
      </c>
      <c r="C384" s="50">
        <v>600</v>
      </c>
      <c r="D384" s="50">
        <v>7.9</v>
      </c>
      <c r="E384" s="50">
        <v>63.593004769475357</v>
      </c>
      <c r="F384" s="50">
        <v>1939.5866454689983</v>
      </c>
      <c r="G384" s="57" t="s">
        <v>95</v>
      </c>
      <c r="H384" s="50">
        <v>0.23599999999999999</v>
      </c>
      <c r="I384" s="50">
        <v>10.6</v>
      </c>
      <c r="J384" s="50">
        <v>1313</v>
      </c>
      <c r="K384" s="50">
        <v>3273</v>
      </c>
      <c r="L384" s="50">
        <v>0.65</v>
      </c>
      <c r="M384" s="50">
        <v>302.89999999999998</v>
      </c>
      <c r="N384" s="51">
        <v>300.12</v>
      </c>
      <c r="O384" s="43">
        <f t="shared" si="71"/>
        <v>0.35</v>
      </c>
      <c r="P384" s="43">
        <f t="shared" si="64"/>
        <v>367.56100476947529</v>
      </c>
      <c r="Q384" s="43">
        <f t="shared" si="65"/>
        <v>5.6854752199098904E-6</v>
      </c>
      <c r="R384" s="43">
        <v>35</v>
      </c>
      <c r="S384" s="43">
        <f t="shared" si="66"/>
        <v>0.58333333333333337</v>
      </c>
      <c r="T384" s="43">
        <f t="shared" si="67"/>
        <v>62.236269650346401</v>
      </c>
      <c r="U384" s="43" t="str" cm="1">
        <f t="array" ref="U384">_xlfn.IFS(T384&lt;3,"Group I",T384&lt;5,"Group II",T384&lt;10,"Group III",T384&lt;20,"Group IV",T384&lt;50,"Group V",T384&lt;100,"Group VI",T384&lt;200,"Group VII",T384&lt;500,"Group VIII",T384&lt;1000,"Group IX",TRUE,"Group X")</f>
        <v>Group VI</v>
      </c>
      <c r="V384" s="43">
        <f t="shared" si="68"/>
        <v>1.7940435537949124</v>
      </c>
      <c r="W384" s="43">
        <f t="shared" si="69"/>
        <v>3.693622641509434</v>
      </c>
      <c r="X384" s="43">
        <f t="shared" si="72"/>
        <v>0.56745252372969701</v>
      </c>
      <c r="Y384" s="43">
        <f t="shared" si="70"/>
        <v>0.99082205348299779</v>
      </c>
      <c r="Z384" s="43">
        <f t="shared" si="73"/>
        <v>-4.0043355547283417E-3</v>
      </c>
      <c r="AA384" s="43">
        <f t="shared" si="74"/>
        <v>3.754916374160072</v>
      </c>
      <c r="AB384" s="43">
        <f t="shared" si="75"/>
        <v>0.64157225529377926</v>
      </c>
    </row>
    <row r="385" spans="1:28">
      <c r="A385" s="48" t="s">
        <v>53</v>
      </c>
      <c r="B385" s="50">
        <v>350</v>
      </c>
      <c r="C385" s="50">
        <v>800</v>
      </c>
      <c r="D385" s="50">
        <v>7.9</v>
      </c>
      <c r="E385" s="50">
        <v>63.593004769475357</v>
      </c>
      <c r="F385" s="50">
        <v>1939.5866454689983</v>
      </c>
      <c r="G385" s="57" t="s">
        <v>95</v>
      </c>
      <c r="H385" s="50">
        <v>0.23599999999999999</v>
      </c>
      <c r="I385" s="50">
        <v>10.6</v>
      </c>
      <c r="J385" s="50">
        <v>1313</v>
      </c>
      <c r="K385" s="50">
        <v>3273</v>
      </c>
      <c r="L385" s="50">
        <v>0.65</v>
      </c>
      <c r="M385" s="50">
        <v>342.3</v>
      </c>
      <c r="N385" s="51">
        <v>144.54</v>
      </c>
      <c r="O385" s="43">
        <f t="shared" si="71"/>
        <v>0.35</v>
      </c>
      <c r="P385" s="43">
        <f t="shared" si="64"/>
        <v>367.56100476947529</v>
      </c>
      <c r="Q385" s="43">
        <f t="shared" si="65"/>
        <v>5.6854752199098904E-6</v>
      </c>
      <c r="R385" s="43">
        <v>35</v>
      </c>
      <c r="S385" s="43">
        <f t="shared" si="66"/>
        <v>0.4375</v>
      </c>
      <c r="T385" s="43">
        <f t="shared" si="67"/>
        <v>53.898190553978445</v>
      </c>
      <c r="U385" s="43" t="str" cm="1">
        <f t="array" ref="U385">_xlfn.IFS(T385&lt;3,"Group I",T385&lt;5,"Group II",T385&lt;10,"Group III",T385&lt;20,"Group IV",T385&lt;50,"Group V",T385&lt;100,"Group VI",T385&lt;200,"Group VII",T385&lt;500,"Group VIII",T385&lt;1000,"Group IX",TRUE,"Group X")</f>
        <v>Group VI</v>
      </c>
      <c r="V385" s="43">
        <f t="shared" si="68"/>
        <v>1.7315741854907625</v>
      </c>
      <c r="W385" s="43">
        <f t="shared" si="69"/>
        <v>4.9248301886792456</v>
      </c>
      <c r="X385" s="43">
        <f t="shared" si="72"/>
        <v>0.69239126033799703</v>
      </c>
      <c r="Y385" s="43">
        <f t="shared" si="70"/>
        <v>0.42226117440841365</v>
      </c>
      <c r="Z385" s="43">
        <f t="shared" si="73"/>
        <v>-0.3744188487558901</v>
      </c>
      <c r="AA385" s="43">
        <f t="shared" si="74"/>
        <v>3.2941956998990478</v>
      </c>
      <c r="AB385" s="43">
        <f t="shared" si="75"/>
        <v>0.61466141281422948</v>
      </c>
    </row>
    <row r="386" spans="1:28">
      <c r="A386" s="48" t="s">
        <v>53</v>
      </c>
      <c r="B386" s="50">
        <v>350</v>
      </c>
      <c r="C386" s="50">
        <v>1000</v>
      </c>
      <c r="D386" s="50">
        <v>7.9</v>
      </c>
      <c r="E386" s="50">
        <v>63.593004769475357</v>
      </c>
      <c r="F386" s="50">
        <v>1939.5866454689983</v>
      </c>
      <c r="G386" s="57" t="s">
        <v>95</v>
      </c>
      <c r="H386" s="50">
        <v>0.23599999999999999</v>
      </c>
      <c r="I386" s="50">
        <v>10.6</v>
      </c>
      <c r="J386" s="50">
        <v>1313</v>
      </c>
      <c r="K386" s="50">
        <v>3273</v>
      </c>
      <c r="L386" s="50">
        <v>0.65</v>
      </c>
      <c r="M386" s="50">
        <v>222.3</v>
      </c>
      <c r="N386" s="51">
        <v>387.05</v>
      </c>
      <c r="O386" s="43">
        <f t="shared" si="71"/>
        <v>0.35</v>
      </c>
      <c r="P386" s="43">
        <f t="shared" si="64"/>
        <v>367.56100476947529</v>
      </c>
      <c r="Q386" s="43">
        <f t="shared" si="65"/>
        <v>5.6854752199098904E-6</v>
      </c>
      <c r="R386" s="43">
        <v>35</v>
      </c>
      <c r="S386" s="43">
        <f t="shared" si="66"/>
        <v>0.35</v>
      </c>
      <c r="T386" s="43">
        <f t="shared" si="67"/>
        <v>48.208007177173144</v>
      </c>
      <c r="U386" s="43" t="str" cm="1">
        <f t="array" ref="U386">_xlfn.IFS(T386&lt;3,"Group I",T386&lt;5,"Group II",T386&lt;10,"Group III",T386&lt;20,"Group IV",T386&lt;50,"Group V",T386&lt;100,"Group VI",T386&lt;200,"Group VII",T386&lt;500,"Group VIII",T386&lt;1000,"Group IX",TRUE,"Group X")</f>
        <v>Group V</v>
      </c>
      <c r="V386" s="43">
        <f t="shared" si="68"/>
        <v>1.6831191789867341</v>
      </c>
      <c r="W386" s="43">
        <f t="shared" si="69"/>
        <v>6.1560377358490559</v>
      </c>
      <c r="X386" s="43">
        <f t="shared" si="72"/>
        <v>0.78930127334605338</v>
      </c>
      <c r="Y386" s="43">
        <f t="shared" si="70"/>
        <v>1.7411156095366622</v>
      </c>
      <c r="Z386" s="43">
        <f t="shared" si="73"/>
        <v>0.24082760909370898</v>
      </c>
      <c r="AA386" s="43">
        <f t="shared" si="74"/>
        <v>2.9761336667237246</v>
      </c>
      <c r="AB386" s="43">
        <f t="shared" si="75"/>
        <v>0.59456755082673929</v>
      </c>
    </row>
    <row r="387" spans="1:28">
      <c r="A387" s="48" t="s">
        <v>53</v>
      </c>
      <c r="B387" s="50">
        <v>350</v>
      </c>
      <c r="C387" s="50">
        <v>1200</v>
      </c>
      <c r="D387" s="50">
        <v>7.9</v>
      </c>
      <c r="E387" s="50">
        <v>63.593004769475357</v>
      </c>
      <c r="F387" s="50">
        <v>1939.5866454689983</v>
      </c>
      <c r="G387" s="57" t="s">
        <v>95</v>
      </c>
      <c r="H387" s="50">
        <v>0.23599999999999999</v>
      </c>
      <c r="I387" s="50">
        <v>10.6</v>
      </c>
      <c r="J387" s="50">
        <v>1313</v>
      </c>
      <c r="K387" s="50">
        <v>3273</v>
      </c>
      <c r="L387" s="50">
        <v>0.65</v>
      </c>
      <c r="M387" s="50">
        <v>212.27</v>
      </c>
      <c r="N387" s="51">
        <v>222.74</v>
      </c>
      <c r="O387" s="43">
        <f t="shared" si="71"/>
        <v>0.35</v>
      </c>
      <c r="P387" s="43">
        <f t="shared" si="64"/>
        <v>367.56100476947529</v>
      </c>
      <c r="Q387" s="43">
        <f t="shared" si="65"/>
        <v>5.6854752199098904E-6</v>
      </c>
      <c r="R387" s="43">
        <v>35</v>
      </c>
      <c r="S387" s="43">
        <f t="shared" si="66"/>
        <v>0.29166666666666669</v>
      </c>
      <c r="T387" s="43">
        <f t="shared" si="67"/>
        <v>44.007688305514463</v>
      </c>
      <c r="U387" s="43" t="str" cm="1">
        <f t="array" ref="U387">_xlfn.IFS(T387&lt;3,"Group I",T387&lt;5,"Group II",T387&lt;10,"Group III",T387&lt;20,"Group IV",T387&lt;50,"Group V",T387&lt;100,"Group VI",T387&lt;200,"Group VII",T387&lt;500,"Group VIII",T387&lt;1000,"Group IX",TRUE,"Group X")</f>
        <v>Group V</v>
      </c>
      <c r="V387" s="43">
        <f t="shared" si="68"/>
        <v>1.6435285559629218</v>
      </c>
      <c r="W387" s="43">
        <f t="shared" si="69"/>
        <v>7.387245283018868</v>
      </c>
      <c r="X387" s="43">
        <f t="shared" si="72"/>
        <v>0.86848251939367827</v>
      </c>
      <c r="Y387" s="43">
        <f t="shared" si="70"/>
        <v>1.0493239741838225</v>
      </c>
      <c r="Z387" s="43">
        <f t="shared" si="73"/>
        <v>2.0909595417382503E-2</v>
      </c>
      <c r="AA387" s="43">
        <f t="shared" si="74"/>
        <v>2.7391927299062893</v>
      </c>
      <c r="AB387" s="43">
        <f t="shared" si="75"/>
        <v>0.57863827422954106</v>
      </c>
    </row>
    <row r="388" spans="1:28">
      <c r="A388" s="48" t="s">
        <v>53</v>
      </c>
      <c r="B388" s="50">
        <v>350</v>
      </c>
      <c r="C388" s="50">
        <v>1600</v>
      </c>
      <c r="D388" s="50">
        <v>7.9</v>
      </c>
      <c r="E388" s="50">
        <v>63.593004769475357</v>
      </c>
      <c r="F388" s="50">
        <v>1939.5866454689983</v>
      </c>
      <c r="G388" s="57" t="s">
        <v>95</v>
      </c>
      <c r="H388" s="50">
        <v>0.23599999999999999</v>
      </c>
      <c r="I388" s="50">
        <v>10.6</v>
      </c>
      <c r="J388" s="50">
        <v>1313</v>
      </c>
      <c r="K388" s="50">
        <v>3273</v>
      </c>
      <c r="L388" s="50">
        <v>0.65</v>
      </c>
      <c r="M388" s="50">
        <v>200.22</v>
      </c>
      <c r="N388" s="51">
        <v>207.54</v>
      </c>
      <c r="O388" s="43">
        <f t="shared" si="71"/>
        <v>0.35</v>
      </c>
      <c r="P388" s="43">
        <f t="shared" ref="P388:P451" si="76">H388*(J388-25)+E388</f>
        <v>367.56100476947529</v>
      </c>
      <c r="Q388" s="43">
        <f t="shared" ref="Q388:Q451" si="77">I388/(D388*H388*10^6)</f>
        <v>5.6854752199098904E-6</v>
      </c>
      <c r="R388" s="43">
        <v>35</v>
      </c>
      <c r="S388" s="43">
        <f t="shared" ref="S388:S451" si="78">B388/C388</f>
        <v>0.21875</v>
      </c>
      <c r="T388" s="43">
        <f t="shared" ref="T388:T451" si="79">(O388*B388)/(D388*P388*1000000*SQRT(PI()*(R388*0.000001)^3*Q388*(C388/1000)))</f>
        <v>38.11177603440288</v>
      </c>
      <c r="U388" s="43" t="str" cm="1">
        <f t="array" ref="U388">_xlfn.IFS(T388&lt;3,"Group I",T388&lt;5,"Group II",T388&lt;10,"Group III",T388&lt;20,"Group IV",T388&lt;50,"Group V",T388&lt;100,"Group VI",T388&lt;200,"Group VII",T388&lt;500,"Group VIII",T388&lt;1000,"Group IX",TRUE,"Group X")</f>
        <v>Group V</v>
      </c>
      <c r="V388" s="43">
        <f t="shared" ref="V388:V451" si="80">LOG(T388)</f>
        <v>1.5810591876587718</v>
      </c>
      <c r="W388" s="43">
        <f t="shared" ref="W388:W451" si="81">(C388/1000)*(R388/1000000)/Q388</f>
        <v>9.8496603773584912</v>
      </c>
      <c r="X388" s="43">
        <f t="shared" si="72"/>
        <v>0.99342125600197817</v>
      </c>
      <c r="Y388" s="43">
        <f t="shared" ref="Y388:Y451" si="82">N388/M388</f>
        <v>1.0365597842373389</v>
      </c>
      <c r="Z388" s="43">
        <f t="shared" si="73"/>
        <v>1.5594355359568678E-2</v>
      </c>
      <c r="AA388" s="43">
        <f t="shared" si="74"/>
        <v>2.4030993004659029</v>
      </c>
      <c r="AB388" s="43">
        <f t="shared" si="75"/>
        <v>0.55436720682919149</v>
      </c>
    </row>
    <row r="389" spans="1:28">
      <c r="A389" s="48" t="s">
        <v>53</v>
      </c>
      <c r="B389" s="50">
        <v>350</v>
      </c>
      <c r="C389" s="50">
        <v>2000</v>
      </c>
      <c r="D389" s="50">
        <v>7.9</v>
      </c>
      <c r="E389" s="50">
        <v>63.593004769475357</v>
      </c>
      <c r="F389" s="50">
        <v>1939.5866454689983</v>
      </c>
      <c r="G389" s="57" t="s">
        <v>95</v>
      </c>
      <c r="H389" s="50">
        <v>0.23599999999999999</v>
      </c>
      <c r="I389" s="50">
        <v>10.6</v>
      </c>
      <c r="J389" s="50">
        <v>1313</v>
      </c>
      <c r="K389" s="50">
        <v>3273</v>
      </c>
      <c r="L389" s="50">
        <v>0.65</v>
      </c>
      <c r="M389" s="50">
        <v>171.82</v>
      </c>
      <c r="N389" s="51">
        <v>133.19</v>
      </c>
      <c r="O389" s="43">
        <f t="shared" si="71"/>
        <v>0.35</v>
      </c>
      <c r="P389" s="43">
        <f t="shared" si="76"/>
        <v>367.56100476947529</v>
      </c>
      <c r="Q389" s="43">
        <f t="shared" si="77"/>
        <v>5.6854752199098904E-6</v>
      </c>
      <c r="R389" s="43">
        <v>35</v>
      </c>
      <c r="S389" s="43">
        <f t="shared" si="78"/>
        <v>0.17499999999999999</v>
      </c>
      <c r="T389" s="43">
        <f t="shared" si="79"/>
        <v>34.088208782468875</v>
      </c>
      <c r="U389" s="43" t="str" cm="1">
        <f t="array" ref="U389">_xlfn.IFS(T389&lt;3,"Group I",T389&lt;5,"Group II",T389&lt;10,"Group III",T389&lt;20,"Group IV",T389&lt;50,"Group V",T389&lt;100,"Group VI",T389&lt;200,"Group VII",T389&lt;500,"Group VIII",T389&lt;1000,"Group IX",TRUE,"Group X")</f>
        <v>Group V</v>
      </c>
      <c r="V389" s="43">
        <f t="shared" si="80"/>
        <v>1.5326041811547435</v>
      </c>
      <c r="W389" s="43">
        <f t="shared" si="81"/>
        <v>12.312075471698112</v>
      </c>
      <c r="X389" s="43">
        <f t="shared" si="72"/>
        <v>1.0903312690100346</v>
      </c>
      <c r="Y389" s="43">
        <f t="shared" si="82"/>
        <v>0.77517169130485397</v>
      </c>
      <c r="Z389" s="43">
        <f t="shared" si="73"/>
        <v>-0.11060209578001891</v>
      </c>
      <c r="AA389" s="43">
        <f t="shared" si="74"/>
        <v>2.1710746367667157</v>
      </c>
      <c r="AB389" s="43">
        <f t="shared" si="75"/>
        <v>0.53624441936899514</v>
      </c>
    </row>
    <row r="390" spans="1:28">
      <c r="A390" s="48" t="s">
        <v>53</v>
      </c>
      <c r="B390" s="50">
        <v>350</v>
      </c>
      <c r="C390" s="50">
        <v>2400</v>
      </c>
      <c r="D390" s="50">
        <v>7.9</v>
      </c>
      <c r="E390" s="50">
        <v>63.593004769475357</v>
      </c>
      <c r="F390" s="50">
        <v>1939.5866454689983</v>
      </c>
      <c r="G390" s="57" t="s">
        <v>95</v>
      </c>
      <c r="H390" s="50">
        <v>0.23599999999999999</v>
      </c>
      <c r="I390" s="50">
        <v>10.6</v>
      </c>
      <c r="J390" s="50">
        <v>1313</v>
      </c>
      <c r="K390" s="50">
        <v>3273</v>
      </c>
      <c r="L390" s="50">
        <v>0.65</v>
      </c>
      <c r="M390" s="50">
        <v>168.72</v>
      </c>
      <c r="N390" s="51">
        <v>111.32</v>
      </c>
      <c r="O390" s="43">
        <f t="shared" si="71"/>
        <v>0.35</v>
      </c>
      <c r="P390" s="43">
        <f t="shared" si="76"/>
        <v>367.56100476947529</v>
      </c>
      <c r="Q390" s="43">
        <f t="shared" si="77"/>
        <v>5.6854752199098904E-6</v>
      </c>
      <c r="R390" s="43">
        <v>35</v>
      </c>
      <c r="S390" s="43">
        <f t="shared" si="78"/>
        <v>0.14583333333333334</v>
      </c>
      <c r="T390" s="43">
        <f t="shared" si="79"/>
        <v>31.1181348251732</v>
      </c>
      <c r="U390" s="43" t="str" cm="1">
        <f t="array" ref="U390">_xlfn.IFS(T390&lt;3,"Group I",T390&lt;5,"Group II",T390&lt;10,"Group III",T390&lt;20,"Group IV",T390&lt;50,"Group V",T390&lt;100,"Group VI",T390&lt;200,"Group VII",T390&lt;500,"Group VIII",T390&lt;1000,"Group IX",TRUE,"Group X")</f>
        <v>Group V</v>
      </c>
      <c r="V390" s="43">
        <f t="shared" si="80"/>
        <v>1.4930135581309312</v>
      </c>
      <c r="W390" s="43">
        <f t="shared" si="81"/>
        <v>14.774490566037736</v>
      </c>
      <c r="X390" s="43">
        <f t="shared" si="72"/>
        <v>1.1695125150576595</v>
      </c>
      <c r="Y390" s="43">
        <f t="shared" si="82"/>
        <v>0.65979137031768609</v>
      </c>
      <c r="Z390" s="43">
        <f t="shared" si="73"/>
        <v>-0.18059336906942464</v>
      </c>
      <c r="AA390" s="43">
        <f t="shared" si="74"/>
        <v>1.9982274074611941</v>
      </c>
      <c r="AB390" s="43">
        <f t="shared" si="75"/>
        <v>0.52187769910658743</v>
      </c>
    </row>
    <row r="391" spans="1:28">
      <c r="A391" s="48" t="s">
        <v>53</v>
      </c>
      <c r="B391" s="50">
        <v>100</v>
      </c>
      <c r="C391" s="50">
        <v>300</v>
      </c>
      <c r="D391" s="50">
        <v>7.9</v>
      </c>
      <c r="E391" s="50">
        <v>63.593004769475357</v>
      </c>
      <c r="F391" s="50">
        <v>1939.5866454689983</v>
      </c>
      <c r="G391" s="57" t="s">
        <v>95</v>
      </c>
      <c r="H391" s="50">
        <v>0.23599999999999999</v>
      </c>
      <c r="I391" s="50">
        <v>10.6</v>
      </c>
      <c r="J391" s="50">
        <v>1313</v>
      </c>
      <c r="K391" s="50">
        <v>3273</v>
      </c>
      <c r="L391" s="50">
        <v>0.65</v>
      </c>
      <c r="M391" s="50">
        <v>269.64999999999998</v>
      </c>
      <c r="N391" s="51">
        <v>90.58</v>
      </c>
      <c r="O391" s="43">
        <f t="shared" si="71"/>
        <v>0.35</v>
      </c>
      <c r="P391" s="43">
        <f t="shared" si="76"/>
        <v>367.56100476947529</v>
      </c>
      <c r="Q391" s="43">
        <f t="shared" si="77"/>
        <v>5.6854752199098904E-6</v>
      </c>
      <c r="R391" s="43">
        <v>35</v>
      </c>
      <c r="S391" s="43">
        <f t="shared" si="78"/>
        <v>0.33333333333333331</v>
      </c>
      <c r="T391" s="43">
        <f t="shared" si="79"/>
        <v>25.147250460293986</v>
      </c>
      <c r="U391" s="43" t="str" cm="1">
        <f t="array" ref="U391">_xlfn.IFS(T391&lt;3,"Group I",T391&lt;5,"Group II",T391&lt;10,"Group III",T391&lt;20,"Group IV",T391&lt;50,"Group V",T391&lt;100,"Group VI",T391&lt;200,"Group VII",T391&lt;500,"Group VIII",T391&lt;1000,"Group IX",TRUE,"Group X")</f>
        <v>Group V</v>
      </c>
      <c r="V391" s="43">
        <f t="shared" si="80"/>
        <v>1.4004905072766274</v>
      </c>
      <c r="W391" s="43">
        <f t="shared" si="81"/>
        <v>1.846811320754717</v>
      </c>
      <c r="X391" s="43">
        <f t="shared" si="72"/>
        <v>0.26642252806571587</v>
      </c>
      <c r="Y391" s="43">
        <f t="shared" si="82"/>
        <v>0.33591692935286482</v>
      </c>
      <c r="Z391" s="43">
        <f t="shared" si="73"/>
        <v>-0.47376810827724281</v>
      </c>
      <c r="AA391" s="43">
        <f t="shared" si="74"/>
        <v>1.4706519524112058</v>
      </c>
      <c r="AB391" s="43">
        <f t="shared" si="75"/>
        <v>0.48978572368070916</v>
      </c>
    </row>
    <row r="392" spans="1:28">
      <c r="A392" s="48" t="s">
        <v>53</v>
      </c>
      <c r="B392" s="50">
        <v>150</v>
      </c>
      <c r="C392" s="50">
        <v>300</v>
      </c>
      <c r="D392" s="50">
        <v>7.9</v>
      </c>
      <c r="E392" s="50">
        <v>63.593004769475357</v>
      </c>
      <c r="F392" s="50">
        <v>1939.5866454689983</v>
      </c>
      <c r="G392" s="57" t="s">
        <v>95</v>
      </c>
      <c r="H392" s="50">
        <v>0.23599999999999999</v>
      </c>
      <c r="I392" s="50">
        <v>10.6</v>
      </c>
      <c r="J392" s="50">
        <v>1313</v>
      </c>
      <c r="K392" s="50">
        <v>3273</v>
      </c>
      <c r="L392" s="50">
        <v>0.65</v>
      </c>
      <c r="M392" s="50">
        <v>317.70999999999998</v>
      </c>
      <c r="N392" s="51">
        <v>110</v>
      </c>
      <c r="O392" s="43">
        <f t="shared" si="71"/>
        <v>0.35</v>
      </c>
      <c r="P392" s="43">
        <f t="shared" si="76"/>
        <v>367.56100476947529</v>
      </c>
      <c r="Q392" s="43">
        <f t="shared" si="77"/>
        <v>5.6854752199098904E-6</v>
      </c>
      <c r="R392" s="43">
        <v>35</v>
      </c>
      <c r="S392" s="43">
        <f t="shared" si="78"/>
        <v>0.5</v>
      </c>
      <c r="T392" s="43">
        <f t="shared" si="79"/>
        <v>37.720875690440977</v>
      </c>
      <c r="U392" s="43" t="str" cm="1">
        <f t="array" ref="U392">_xlfn.IFS(T392&lt;3,"Group I",T392&lt;5,"Group II",T392&lt;10,"Group III",T392&lt;20,"Group IV",T392&lt;50,"Group V",T392&lt;100,"Group VI",T392&lt;200,"Group VII",T392&lt;500,"Group VIII",T392&lt;1000,"Group IX",TRUE,"Group X")</f>
        <v>Group V</v>
      </c>
      <c r="V392" s="43">
        <f t="shared" si="80"/>
        <v>1.5765817663323087</v>
      </c>
      <c r="W392" s="43">
        <f t="shared" si="81"/>
        <v>1.846811320754717</v>
      </c>
      <c r="X392" s="43">
        <f t="shared" si="72"/>
        <v>0.26642252806571587</v>
      </c>
      <c r="Y392" s="43">
        <f t="shared" si="82"/>
        <v>0.34622769192030473</v>
      </c>
      <c r="Z392" s="43">
        <f t="shared" si="73"/>
        <v>-0.46063819940915113</v>
      </c>
      <c r="AA392" s="43">
        <f t="shared" si="74"/>
        <v>2.2059779286168082</v>
      </c>
      <c r="AB392" s="43">
        <f t="shared" si="75"/>
        <v>0.55266722238944199</v>
      </c>
    </row>
    <row r="393" spans="1:28">
      <c r="A393" s="48" t="s">
        <v>53</v>
      </c>
      <c r="B393" s="50">
        <v>200</v>
      </c>
      <c r="C393" s="50">
        <v>300</v>
      </c>
      <c r="D393" s="50">
        <v>7.9</v>
      </c>
      <c r="E393" s="50">
        <v>63.593004769475357</v>
      </c>
      <c r="F393" s="50">
        <v>1939.5866454689983</v>
      </c>
      <c r="G393" s="57" t="s">
        <v>95</v>
      </c>
      <c r="H393" s="50">
        <v>0.23599999999999999</v>
      </c>
      <c r="I393" s="50">
        <v>10.6</v>
      </c>
      <c r="J393" s="50">
        <v>1313</v>
      </c>
      <c r="K393" s="50">
        <v>3273</v>
      </c>
      <c r="L393" s="50">
        <v>0.65</v>
      </c>
      <c r="M393" s="50">
        <v>356</v>
      </c>
      <c r="N393" s="51">
        <v>114.8</v>
      </c>
      <c r="O393" s="43">
        <f t="shared" si="71"/>
        <v>0.35</v>
      </c>
      <c r="P393" s="43">
        <f t="shared" si="76"/>
        <v>367.56100476947529</v>
      </c>
      <c r="Q393" s="43">
        <f t="shared" si="77"/>
        <v>5.6854752199098904E-6</v>
      </c>
      <c r="R393" s="43">
        <v>35</v>
      </c>
      <c r="S393" s="43">
        <f t="shared" si="78"/>
        <v>0.66666666666666663</v>
      </c>
      <c r="T393" s="43">
        <f t="shared" si="79"/>
        <v>50.294500920587971</v>
      </c>
      <c r="U393" s="43" t="str" cm="1">
        <f t="array" ref="U393">_xlfn.IFS(T393&lt;3,"Group I",T393&lt;5,"Group II",T393&lt;10,"Group III",T393&lt;20,"Group IV",T393&lt;50,"Group V",T393&lt;100,"Group VI",T393&lt;200,"Group VII",T393&lt;500,"Group VIII",T393&lt;1000,"Group IX",TRUE,"Group X")</f>
        <v>Group VI</v>
      </c>
      <c r="V393" s="43">
        <f t="shared" si="80"/>
        <v>1.7015205029406086</v>
      </c>
      <c r="W393" s="43">
        <f t="shared" si="81"/>
        <v>1.846811320754717</v>
      </c>
      <c r="X393" s="43">
        <f t="shared" si="72"/>
        <v>0.26642252806571587</v>
      </c>
      <c r="Y393" s="43">
        <f t="shared" si="82"/>
        <v>0.32247191011235954</v>
      </c>
      <c r="Z393" s="43">
        <f t="shared" si="73"/>
        <v>-0.49150810991092048</v>
      </c>
      <c r="AA393" s="43">
        <f t="shared" si="74"/>
        <v>2.9413039048224117</v>
      </c>
      <c r="AB393" s="43">
        <f t="shared" si="75"/>
        <v>0.60211986810409757</v>
      </c>
    </row>
    <row r="394" spans="1:28">
      <c r="A394" s="48" t="s">
        <v>53</v>
      </c>
      <c r="B394" s="50">
        <v>250</v>
      </c>
      <c r="C394" s="50">
        <v>300</v>
      </c>
      <c r="D394" s="50">
        <v>7.9</v>
      </c>
      <c r="E394" s="50">
        <v>63.593004769475357</v>
      </c>
      <c r="F394" s="50">
        <v>1939.5866454689983</v>
      </c>
      <c r="G394" s="57" t="s">
        <v>95</v>
      </c>
      <c r="H394" s="50">
        <v>0.23599999999999999</v>
      </c>
      <c r="I394" s="50">
        <v>10.6</v>
      </c>
      <c r="J394" s="50">
        <v>1313</v>
      </c>
      <c r="K394" s="50">
        <v>3273</v>
      </c>
      <c r="L394" s="50">
        <v>0.65</v>
      </c>
      <c r="M394" s="50">
        <v>359.24</v>
      </c>
      <c r="N394" s="51">
        <v>139.33000000000001</v>
      </c>
      <c r="O394" s="43">
        <f t="shared" si="71"/>
        <v>0.35</v>
      </c>
      <c r="P394" s="43">
        <f t="shared" si="76"/>
        <v>367.56100476947529</v>
      </c>
      <c r="Q394" s="43">
        <f t="shared" si="77"/>
        <v>5.6854752199098904E-6</v>
      </c>
      <c r="R394" s="43">
        <v>35</v>
      </c>
      <c r="S394" s="43">
        <f t="shared" si="78"/>
        <v>0.83333333333333337</v>
      </c>
      <c r="T394" s="43">
        <f t="shared" si="79"/>
        <v>62.868126150734959</v>
      </c>
      <c r="U394" s="43" t="str" cm="1">
        <f t="array" ref="U394">_xlfn.IFS(T394&lt;3,"Group I",T394&lt;5,"Group II",T394&lt;10,"Group III",T394&lt;20,"Group IV",T394&lt;50,"Group V",T394&lt;100,"Group VI",T394&lt;200,"Group VII",T394&lt;500,"Group VIII",T394&lt;1000,"Group IX",TRUE,"Group X")</f>
        <v>Group VI</v>
      </c>
      <c r="V394" s="43">
        <f t="shared" si="80"/>
        <v>1.7984305159486651</v>
      </c>
      <c r="W394" s="43">
        <f t="shared" si="81"/>
        <v>1.846811320754717</v>
      </c>
      <c r="X394" s="43">
        <f t="shared" si="72"/>
        <v>0.26642252806571587</v>
      </c>
      <c r="Y394" s="43">
        <f t="shared" si="82"/>
        <v>0.3878465649704933</v>
      </c>
      <c r="Z394" s="43">
        <f t="shared" si="73"/>
        <v>-0.41134005060619827</v>
      </c>
      <c r="AA394" s="43">
        <f t="shared" si="74"/>
        <v>3.6766298810280138</v>
      </c>
      <c r="AB394" s="43">
        <f t="shared" si="75"/>
        <v>0.64350577790953256</v>
      </c>
    </row>
    <row r="395" spans="1:28">
      <c r="A395" s="48" t="s">
        <v>53</v>
      </c>
      <c r="B395" s="50">
        <v>300</v>
      </c>
      <c r="C395" s="50">
        <v>300</v>
      </c>
      <c r="D395" s="50">
        <v>7.9</v>
      </c>
      <c r="E395" s="50">
        <v>63.593004769475357</v>
      </c>
      <c r="F395" s="50">
        <v>1939.5866454689983</v>
      </c>
      <c r="G395" s="57" t="s">
        <v>95</v>
      </c>
      <c r="H395" s="50">
        <v>0.23599999999999999</v>
      </c>
      <c r="I395" s="50">
        <v>10.6</v>
      </c>
      <c r="J395" s="50">
        <v>1313</v>
      </c>
      <c r="K395" s="50">
        <v>3273</v>
      </c>
      <c r="L395" s="50">
        <v>0.65</v>
      </c>
      <c r="M395" s="50">
        <v>380.63</v>
      </c>
      <c r="N395" s="51">
        <v>156.33000000000001</v>
      </c>
      <c r="O395" s="43">
        <f t="shared" si="71"/>
        <v>0.35</v>
      </c>
      <c r="P395" s="43">
        <f t="shared" si="76"/>
        <v>367.56100476947529</v>
      </c>
      <c r="Q395" s="43">
        <f t="shared" si="77"/>
        <v>5.6854752199098904E-6</v>
      </c>
      <c r="R395" s="43">
        <v>35</v>
      </c>
      <c r="S395" s="43">
        <f t="shared" si="78"/>
        <v>1</v>
      </c>
      <c r="T395" s="43">
        <f t="shared" si="79"/>
        <v>75.441751380881954</v>
      </c>
      <c r="U395" s="43" t="str" cm="1">
        <f t="array" ref="U395">_xlfn.IFS(T395&lt;3,"Group I",T395&lt;5,"Group II",T395&lt;10,"Group III",T395&lt;20,"Group IV",T395&lt;50,"Group V",T395&lt;100,"Group VI",T395&lt;200,"Group VII",T395&lt;500,"Group VIII",T395&lt;1000,"Group IX",TRUE,"Group X")</f>
        <v>Group VI</v>
      </c>
      <c r="V395" s="43">
        <f t="shared" si="80"/>
        <v>1.87761176199629</v>
      </c>
      <c r="W395" s="43">
        <f t="shared" si="81"/>
        <v>1.846811320754717</v>
      </c>
      <c r="X395" s="43">
        <f t="shared" si="72"/>
        <v>0.26642252806571587</v>
      </c>
      <c r="Y395" s="43">
        <f t="shared" si="82"/>
        <v>0.41071381656727007</v>
      </c>
      <c r="Z395" s="43">
        <f t="shared" si="73"/>
        <v>-0.38646068707088066</v>
      </c>
      <c r="AA395" s="43">
        <f t="shared" si="74"/>
        <v>4.4119558572336164</v>
      </c>
      <c r="AB395" s="43">
        <f t="shared" si="75"/>
        <v>0.67942346818488031</v>
      </c>
    </row>
    <row r="396" spans="1:28">
      <c r="A396" s="48" t="s">
        <v>53</v>
      </c>
      <c r="B396" s="50">
        <v>100</v>
      </c>
      <c r="C396" s="50">
        <v>600</v>
      </c>
      <c r="D396" s="50">
        <v>7.9</v>
      </c>
      <c r="E396" s="50">
        <v>63.593004769475357</v>
      </c>
      <c r="F396" s="50">
        <v>1939.5866454689983</v>
      </c>
      <c r="G396" s="57" t="s">
        <v>95</v>
      </c>
      <c r="H396" s="50">
        <v>0.23599999999999999</v>
      </c>
      <c r="I396" s="50">
        <v>10.6</v>
      </c>
      <c r="J396" s="50">
        <v>1313</v>
      </c>
      <c r="K396" s="50">
        <v>3273</v>
      </c>
      <c r="L396" s="50">
        <v>0.65</v>
      </c>
      <c r="M396" s="50">
        <v>159.19999999999999</v>
      </c>
      <c r="N396" s="51">
        <v>111.84</v>
      </c>
      <c r="O396" s="43">
        <f t="shared" si="71"/>
        <v>0.35</v>
      </c>
      <c r="P396" s="43">
        <f t="shared" si="76"/>
        <v>367.56100476947529</v>
      </c>
      <c r="Q396" s="43">
        <f t="shared" si="77"/>
        <v>5.6854752199098904E-6</v>
      </c>
      <c r="R396" s="43">
        <v>35</v>
      </c>
      <c r="S396" s="43">
        <f t="shared" si="78"/>
        <v>0.16666666666666666</v>
      </c>
      <c r="T396" s="43">
        <f t="shared" si="79"/>
        <v>17.781791328670401</v>
      </c>
      <c r="U396" s="43" t="str" cm="1">
        <f t="array" ref="U396">_xlfn.IFS(T396&lt;3,"Group I",T396&lt;5,"Group II",T396&lt;10,"Group III",T396&lt;20,"Group IV",T396&lt;50,"Group V",T396&lt;100,"Group VI",T396&lt;200,"Group VII",T396&lt;500,"Group VIII",T396&lt;1000,"Group IX",TRUE,"Group X")</f>
        <v>Group IV</v>
      </c>
      <c r="V396" s="43">
        <f t="shared" si="80"/>
        <v>1.2499755094446368</v>
      </c>
      <c r="W396" s="43">
        <f t="shared" si="81"/>
        <v>3.693622641509434</v>
      </c>
      <c r="X396" s="43">
        <f t="shared" si="72"/>
        <v>0.56745252372969701</v>
      </c>
      <c r="Y396" s="43">
        <f t="shared" si="82"/>
        <v>0.70251256281407037</v>
      </c>
      <c r="Z396" s="43">
        <f t="shared" si="73"/>
        <v>-0.15334590500004402</v>
      </c>
      <c r="AA396" s="43">
        <f t="shared" si="74"/>
        <v>1.0728332497600206</v>
      </c>
      <c r="AB396" s="43">
        <f t="shared" si="75"/>
        <v>0.44174099418170454</v>
      </c>
    </row>
    <row r="397" spans="1:28">
      <c r="A397" s="48" t="s">
        <v>53</v>
      </c>
      <c r="B397" s="50">
        <v>150</v>
      </c>
      <c r="C397" s="50">
        <v>600</v>
      </c>
      <c r="D397" s="50">
        <v>7.9</v>
      </c>
      <c r="E397" s="50">
        <v>63.593004769475357</v>
      </c>
      <c r="F397" s="50">
        <v>1939.5866454689983</v>
      </c>
      <c r="G397" s="57" t="s">
        <v>95</v>
      </c>
      <c r="H397" s="50">
        <v>0.23599999999999999</v>
      </c>
      <c r="I397" s="50">
        <v>10.6</v>
      </c>
      <c r="J397" s="50">
        <v>1313</v>
      </c>
      <c r="K397" s="50">
        <v>3273</v>
      </c>
      <c r="L397" s="50">
        <v>0.65</v>
      </c>
      <c r="M397" s="50">
        <v>162.79</v>
      </c>
      <c r="N397" s="51">
        <v>121.97</v>
      </c>
      <c r="O397" s="43">
        <f t="shared" si="71"/>
        <v>0.35</v>
      </c>
      <c r="P397" s="43">
        <f t="shared" si="76"/>
        <v>367.56100476947529</v>
      </c>
      <c r="Q397" s="43">
        <f t="shared" si="77"/>
        <v>5.6854752199098904E-6</v>
      </c>
      <c r="R397" s="43">
        <v>35</v>
      </c>
      <c r="S397" s="43">
        <f t="shared" si="78"/>
        <v>0.25</v>
      </c>
      <c r="T397" s="43">
        <f t="shared" si="79"/>
        <v>26.672686993005602</v>
      </c>
      <c r="U397" s="43" t="str" cm="1">
        <f t="array" ref="U397">_xlfn.IFS(T397&lt;3,"Group I",T397&lt;5,"Group II",T397&lt;10,"Group III",T397&lt;20,"Group IV",T397&lt;50,"Group V",T397&lt;100,"Group VI",T397&lt;200,"Group VII",T397&lt;500,"Group VIII",T397&lt;1000,"Group IX",TRUE,"Group X")</f>
        <v>Group V</v>
      </c>
      <c r="V397" s="43">
        <f t="shared" si="80"/>
        <v>1.4260667685003181</v>
      </c>
      <c r="W397" s="43">
        <f t="shared" si="81"/>
        <v>3.693622641509434</v>
      </c>
      <c r="X397" s="43">
        <f t="shared" si="72"/>
        <v>0.56745252372969701</v>
      </c>
      <c r="Y397" s="43">
        <f t="shared" si="82"/>
        <v>0.74924749677498625</v>
      </c>
      <c r="Z397" s="43">
        <f t="shared" si="73"/>
        <v>-0.12537469935145543</v>
      </c>
      <c r="AA397" s="43">
        <f t="shared" si="74"/>
        <v>1.609249874640031</v>
      </c>
      <c r="AB397" s="43">
        <f t="shared" si="75"/>
        <v>0.49845423511997905</v>
      </c>
    </row>
    <row r="398" spans="1:28">
      <c r="A398" s="48" t="s">
        <v>53</v>
      </c>
      <c r="B398" s="50">
        <v>200</v>
      </c>
      <c r="C398" s="50">
        <v>600</v>
      </c>
      <c r="D398" s="50">
        <v>7.9</v>
      </c>
      <c r="E398" s="50">
        <v>63.593004769475357</v>
      </c>
      <c r="F398" s="50">
        <v>1939.5866454689983</v>
      </c>
      <c r="G398" s="57" t="s">
        <v>95</v>
      </c>
      <c r="H398" s="50">
        <v>0.23599999999999999</v>
      </c>
      <c r="I398" s="50">
        <v>10.6</v>
      </c>
      <c r="J398" s="50">
        <v>1313</v>
      </c>
      <c r="K398" s="50">
        <v>3273</v>
      </c>
      <c r="L398" s="50">
        <v>0.65</v>
      </c>
      <c r="M398" s="50">
        <v>191.5</v>
      </c>
      <c r="N398" s="51">
        <v>152.80000000000001</v>
      </c>
      <c r="O398" s="43">
        <f t="shared" si="71"/>
        <v>0.35</v>
      </c>
      <c r="P398" s="43">
        <f t="shared" si="76"/>
        <v>367.56100476947529</v>
      </c>
      <c r="Q398" s="43">
        <f t="shared" si="77"/>
        <v>5.6854752199098904E-6</v>
      </c>
      <c r="R398" s="43">
        <v>35</v>
      </c>
      <c r="S398" s="43">
        <f t="shared" si="78"/>
        <v>0.33333333333333331</v>
      </c>
      <c r="T398" s="43">
        <f t="shared" si="79"/>
        <v>35.563582657340802</v>
      </c>
      <c r="U398" s="43" t="str" cm="1">
        <f t="array" ref="U398">_xlfn.IFS(T398&lt;3,"Group I",T398&lt;5,"Group II",T398&lt;10,"Group III",T398&lt;20,"Group IV",T398&lt;50,"Group V",T398&lt;100,"Group VI",T398&lt;200,"Group VII",T398&lt;500,"Group VIII",T398&lt;1000,"Group IX",TRUE,"Group X")</f>
        <v>Group V</v>
      </c>
      <c r="V398" s="43">
        <f t="shared" si="80"/>
        <v>1.551005505108618</v>
      </c>
      <c r="W398" s="43">
        <f t="shared" si="81"/>
        <v>3.693622641509434</v>
      </c>
      <c r="X398" s="43">
        <f t="shared" si="72"/>
        <v>0.56745252372969701</v>
      </c>
      <c r="Y398" s="43">
        <f t="shared" si="82"/>
        <v>0.79791122715404705</v>
      </c>
      <c r="Z398" s="43">
        <f t="shared" si="73"/>
        <v>-9.8045424064970396E-2</v>
      </c>
      <c r="AA398" s="43">
        <f t="shared" si="74"/>
        <v>2.1456664995200412</v>
      </c>
      <c r="AB398" s="43">
        <f t="shared" si="75"/>
        <v>0.54305590443516827</v>
      </c>
    </row>
    <row r="399" spans="1:28">
      <c r="A399" s="48" t="s">
        <v>53</v>
      </c>
      <c r="B399" s="50">
        <v>250</v>
      </c>
      <c r="C399" s="50">
        <v>600</v>
      </c>
      <c r="D399" s="50">
        <v>7.9</v>
      </c>
      <c r="E399" s="50">
        <v>63.593004769475357</v>
      </c>
      <c r="F399" s="50">
        <v>1939.5866454689983</v>
      </c>
      <c r="G399" s="57" t="s">
        <v>95</v>
      </c>
      <c r="H399" s="50">
        <v>0.23599999999999999</v>
      </c>
      <c r="I399" s="50">
        <v>10.6</v>
      </c>
      <c r="J399" s="50">
        <v>1313</v>
      </c>
      <c r="K399" s="50">
        <v>3273</v>
      </c>
      <c r="L399" s="50">
        <v>0.65</v>
      </c>
      <c r="M399" s="50">
        <v>198.7</v>
      </c>
      <c r="N399" s="51">
        <v>168.72</v>
      </c>
      <c r="O399" s="43">
        <f t="shared" si="71"/>
        <v>0.35</v>
      </c>
      <c r="P399" s="43">
        <f t="shared" si="76"/>
        <v>367.56100476947529</v>
      </c>
      <c r="Q399" s="43">
        <f t="shared" si="77"/>
        <v>5.6854752199098904E-6</v>
      </c>
      <c r="R399" s="43">
        <v>35</v>
      </c>
      <c r="S399" s="43">
        <f t="shared" si="78"/>
        <v>0.41666666666666669</v>
      </c>
      <c r="T399" s="43">
        <f t="shared" si="79"/>
        <v>44.454478321676007</v>
      </c>
      <c r="U399" s="43" t="str" cm="1">
        <f t="array" ref="U399">_xlfn.IFS(T399&lt;3,"Group I",T399&lt;5,"Group II",T399&lt;10,"Group III",T399&lt;20,"Group IV",T399&lt;50,"Group V",T399&lt;100,"Group VI",T399&lt;200,"Group VII",T399&lt;500,"Group VIII",T399&lt;1000,"Group IX",TRUE,"Group X")</f>
        <v>Group V</v>
      </c>
      <c r="V399" s="43">
        <f t="shared" si="80"/>
        <v>1.6479155181166745</v>
      </c>
      <c r="W399" s="43">
        <f t="shared" si="81"/>
        <v>3.693622641509434</v>
      </c>
      <c r="X399" s="43">
        <f t="shared" si="72"/>
        <v>0.56745252372969701</v>
      </c>
      <c r="Y399" s="43">
        <f t="shared" si="82"/>
        <v>0.84911927528938103</v>
      </c>
      <c r="Z399" s="43">
        <f t="shared" si="73"/>
        <v>-7.1031300378385148E-2</v>
      </c>
      <c r="AA399" s="43">
        <f t="shared" si="74"/>
        <v>2.6820831244000516</v>
      </c>
      <c r="AB399" s="43">
        <f t="shared" si="75"/>
        <v>0.58038213110666081</v>
      </c>
    </row>
    <row r="400" spans="1:28">
      <c r="A400" s="48" t="s">
        <v>53</v>
      </c>
      <c r="B400" s="50">
        <v>300</v>
      </c>
      <c r="C400" s="50">
        <v>600</v>
      </c>
      <c r="D400" s="50">
        <v>7.9</v>
      </c>
      <c r="E400" s="50">
        <v>63.593004769475357</v>
      </c>
      <c r="F400" s="50">
        <v>1939.5866454689983</v>
      </c>
      <c r="G400" s="57" t="s">
        <v>95</v>
      </c>
      <c r="H400" s="50">
        <v>0.23599999999999999</v>
      </c>
      <c r="I400" s="50">
        <v>10.6</v>
      </c>
      <c r="J400" s="50">
        <v>1313</v>
      </c>
      <c r="K400" s="50">
        <v>3273</v>
      </c>
      <c r="L400" s="50">
        <v>0.65</v>
      </c>
      <c r="M400" s="50">
        <v>211</v>
      </c>
      <c r="N400" s="51">
        <v>208</v>
      </c>
      <c r="O400" s="43">
        <f t="shared" si="71"/>
        <v>0.35</v>
      </c>
      <c r="P400" s="43">
        <f t="shared" si="76"/>
        <v>367.56100476947529</v>
      </c>
      <c r="Q400" s="43">
        <f t="shared" si="77"/>
        <v>5.6854752199098904E-6</v>
      </c>
      <c r="R400" s="43">
        <v>35</v>
      </c>
      <c r="S400" s="43">
        <f t="shared" si="78"/>
        <v>0.5</v>
      </c>
      <c r="T400" s="43">
        <f t="shared" si="79"/>
        <v>53.345373986011204</v>
      </c>
      <c r="U400" s="43" t="str" cm="1">
        <f t="array" ref="U400">_xlfn.IFS(T400&lt;3,"Group I",T400&lt;5,"Group II",T400&lt;10,"Group III",T400&lt;20,"Group IV",T400&lt;50,"Group V",T400&lt;100,"Group VI",T400&lt;200,"Group VII",T400&lt;500,"Group VIII",T400&lt;1000,"Group IX",TRUE,"Group X")</f>
        <v>Group VI</v>
      </c>
      <c r="V400" s="43">
        <f t="shared" si="80"/>
        <v>1.7270967641642991</v>
      </c>
      <c r="W400" s="43">
        <f t="shared" si="81"/>
        <v>3.693622641509434</v>
      </c>
      <c r="X400" s="43">
        <f t="shared" si="72"/>
        <v>0.56745252372969701</v>
      </c>
      <c r="Y400" s="43">
        <f t="shared" si="82"/>
        <v>0.98578199052132698</v>
      </c>
      <c r="Z400" s="43">
        <f t="shared" si="73"/>
        <v>-6.2191203349311304E-3</v>
      </c>
      <c r="AA400" s="43">
        <f t="shared" si="74"/>
        <v>3.218499749280062</v>
      </c>
      <c r="AB400" s="43">
        <f t="shared" si="75"/>
        <v>0.61277653429936363</v>
      </c>
    </row>
    <row r="401" spans="1:28">
      <c r="A401" s="48" t="s">
        <v>53</v>
      </c>
      <c r="B401" s="50">
        <v>100</v>
      </c>
      <c r="C401" s="50">
        <v>900</v>
      </c>
      <c r="D401" s="50">
        <v>7.9</v>
      </c>
      <c r="E401" s="50">
        <v>63.593004769475357</v>
      </c>
      <c r="F401" s="50">
        <v>1939.5866454689983</v>
      </c>
      <c r="G401" s="57" t="s">
        <v>95</v>
      </c>
      <c r="H401" s="50">
        <v>0.23599999999999999</v>
      </c>
      <c r="I401" s="50">
        <v>10.6</v>
      </c>
      <c r="J401" s="50">
        <v>1313</v>
      </c>
      <c r="K401" s="50">
        <v>3273</v>
      </c>
      <c r="L401" s="50">
        <v>0.65</v>
      </c>
      <c r="M401" s="50">
        <v>95.53</v>
      </c>
      <c r="N401" s="51">
        <v>114.8</v>
      </c>
      <c r="O401" s="43">
        <f t="shared" si="71"/>
        <v>0.35</v>
      </c>
      <c r="P401" s="43">
        <f t="shared" si="76"/>
        <v>367.56100476947529</v>
      </c>
      <c r="Q401" s="43">
        <f t="shared" si="77"/>
        <v>5.6854752199098904E-6</v>
      </c>
      <c r="R401" s="43">
        <v>35</v>
      </c>
      <c r="S401" s="43">
        <f t="shared" si="78"/>
        <v>0.1111111111111111</v>
      </c>
      <c r="T401" s="43">
        <f t="shared" si="79"/>
        <v>14.51877182262967</v>
      </c>
      <c r="U401" s="43" t="str" cm="1">
        <f t="array" ref="U401">_xlfn.IFS(T401&lt;3,"Group I",T401&lt;5,"Group II",T401&lt;10,"Group III",T401&lt;20,"Group IV",T401&lt;50,"Group V",T401&lt;100,"Group VI",T401&lt;200,"Group VII",T401&lt;500,"Group VIII",T401&lt;1000,"Group IX",TRUE,"Group X")</f>
        <v>Group IV</v>
      </c>
      <c r="V401" s="43">
        <f t="shared" si="80"/>
        <v>1.1619298799167961</v>
      </c>
      <c r="W401" s="43">
        <f t="shared" si="81"/>
        <v>5.5404339622641512</v>
      </c>
      <c r="X401" s="43">
        <f t="shared" si="72"/>
        <v>0.74354378278537825</v>
      </c>
      <c r="Y401" s="43">
        <f t="shared" si="82"/>
        <v>1.2017167381974247</v>
      </c>
      <c r="Z401" s="43">
        <f t="shared" si="73"/>
        <v>7.98021103162002E-2</v>
      </c>
      <c r="AA401" s="43">
        <f t="shared" si="74"/>
        <v>0.89208332043977967</v>
      </c>
      <c r="AB401" s="43">
        <f t="shared" si="75"/>
        <v>0.41585211174952397</v>
      </c>
    </row>
    <row r="402" spans="1:28">
      <c r="A402" s="48" t="s">
        <v>53</v>
      </c>
      <c r="B402" s="50">
        <v>150</v>
      </c>
      <c r="C402" s="50">
        <v>900</v>
      </c>
      <c r="D402" s="50">
        <v>7.9</v>
      </c>
      <c r="E402" s="50">
        <v>63.593004769475357</v>
      </c>
      <c r="F402" s="50">
        <v>1939.5866454689983</v>
      </c>
      <c r="G402" s="57" t="s">
        <v>95</v>
      </c>
      <c r="H402" s="50">
        <v>0.23599999999999999</v>
      </c>
      <c r="I402" s="50">
        <v>10.6</v>
      </c>
      <c r="J402" s="50">
        <v>1313</v>
      </c>
      <c r="K402" s="50">
        <v>3273</v>
      </c>
      <c r="L402" s="50">
        <v>0.65</v>
      </c>
      <c r="M402" s="50">
        <v>110.93</v>
      </c>
      <c r="N402" s="51">
        <v>115.81</v>
      </c>
      <c r="O402" s="43">
        <f t="shared" si="71"/>
        <v>0.35</v>
      </c>
      <c r="P402" s="43">
        <f t="shared" si="76"/>
        <v>367.56100476947529</v>
      </c>
      <c r="Q402" s="43">
        <f t="shared" si="77"/>
        <v>5.6854752199098904E-6</v>
      </c>
      <c r="R402" s="43">
        <v>35</v>
      </c>
      <c r="S402" s="43">
        <f t="shared" si="78"/>
        <v>0.16666666666666666</v>
      </c>
      <c r="T402" s="43">
        <f t="shared" si="79"/>
        <v>21.778157733944507</v>
      </c>
      <c r="U402" s="43" t="str" cm="1">
        <f t="array" ref="U402">_xlfn.IFS(T402&lt;3,"Group I",T402&lt;5,"Group II",T402&lt;10,"Group III",T402&lt;20,"Group IV",T402&lt;50,"Group V",T402&lt;100,"Group VI",T402&lt;200,"Group VII",T402&lt;500,"Group VIII",T402&lt;1000,"Group IX",TRUE,"Group X")</f>
        <v>Group V</v>
      </c>
      <c r="V402" s="43">
        <f t="shared" si="80"/>
        <v>1.3380211389724774</v>
      </c>
      <c r="W402" s="43">
        <f t="shared" si="81"/>
        <v>5.5404339622641512</v>
      </c>
      <c r="X402" s="43">
        <f t="shared" si="72"/>
        <v>0.74354378278537825</v>
      </c>
      <c r="Y402" s="43">
        <f t="shared" si="82"/>
        <v>1.0439917064815649</v>
      </c>
      <c r="Z402" s="43">
        <f t="shared" si="73"/>
        <v>1.8697048624482404E-2</v>
      </c>
      <c r="AA402" s="43">
        <f t="shared" si="74"/>
        <v>1.3381249806596696</v>
      </c>
      <c r="AB402" s="43">
        <f t="shared" si="75"/>
        <v>0.46924158956339401</v>
      </c>
    </row>
    <row r="403" spans="1:28">
      <c r="A403" s="48" t="s">
        <v>53</v>
      </c>
      <c r="B403" s="50">
        <v>200</v>
      </c>
      <c r="C403" s="50">
        <v>900</v>
      </c>
      <c r="D403" s="50">
        <v>7.9</v>
      </c>
      <c r="E403" s="50">
        <v>63.593004769475357</v>
      </c>
      <c r="F403" s="50">
        <v>1939.5866454689983</v>
      </c>
      <c r="G403" s="57" t="s">
        <v>95</v>
      </c>
      <c r="H403" s="50">
        <v>0.23599999999999999</v>
      </c>
      <c r="I403" s="50">
        <v>10.6</v>
      </c>
      <c r="J403" s="50">
        <v>1313</v>
      </c>
      <c r="K403" s="50">
        <v>3273</v>
      </c>
      <c r="L403" s="50">
        <v>0.65</v>
      </c>
      <c r="M403" s="50">
        <v>158.18</v>
      </c>
      <c r="N403" s="51">
        <v>136.63999999999999</v>
      </c>
      <c r="O403" s="43">
        <f t="shared" si="71"/>
        <v>0.35</v>
      </c>
      <c r="P403" s="43">
        <f t="shared" si="76"/>
        <v>367.56100476947529</v>
      </c>
      <c r="Q403" s="43">
        <f t="shared" si="77"/>
        <v>5.6854752199098904E-6</v>
      </c>
      <c r="R403" s="43">
        <v>35</v>
      </c>
      <c r="S403" s="43">
        <f t="shared" si="78"/>
        <v>0.22222222222222221</v>
      </c>
      <c r="T403" s="43">
        <f t="shared" si="79"/>
        <v>29.037543645259341</v>
      </c>
      <c r="U403" s="43" t="str" cm="1">
        <f t="array" ref="U403">_xlfn.IFS(T403&lt;3,"Group I",T403&lt;5,"Group II",T403&lt;10,"Group III",T403&lt;20,"Group IV",T403&lt;50,"Group V",T403&lt;100,"Group VI",T403&lt;200,"Group VII",T403&lt;500,"Group VIII",T403&lt;1000,"Group IX",TRUE,"Group X")</f>
        <v>Group V</v>
      </c>
      <c r="V403" s="43">
        <f t="shared" si="80"/>
        <v>1.4629598755807773</v>
      </c>
      <c r="W403" s="43">
        <f t="shared" si="81"/>
        <v>5.5404339622641512</v>
      </c>
      <c r="X403" s="43">
        <f t="shared" si="72"/>
        <v>0.74354378278537825</v>
      </c>
      <c r="Y403" s="43">
        <f t="shared" si="82"/>
        <v>0.86382602098874683</v>
      </c>
      <c r="Z403" s="43">
        <f t="shared" si="73"/>
        <v>-6.3573717860159085E-2</v>
      </c>
      <c r="AA403" s="43">
        <f t="shared" si="74"/>
        <v>1.7841666408795593</v>
      </c>
      <c r="AB403" s="43">
        <f t="shared" si="75"/>
        <v>0.51122931227098134</v>
      </c>
    </row>
    <row r="404" spans="1:28">
      <c r="A404" s="48" t="s">
        <v>53</v>
      </c>
      <c r="B404" s="50">
        <v>250</v>
      </c>
      <c r="C404" s="50">
        <v>900</v>
      </c>
      <c r="D404" s="50">
        <v>7.9</v>
      </c>
      <c r="E404" s="50">
        <v>63.593004769475357</v>
      </c>
      <c r="F404" s="50">
        <v>1939.5866454689983</v>
      </c>
      <c r="G404" s="57" t="s">
        <v>95</v>
      </c>
      <c r="H404" s="50">
        <v>0.23599999999999999</v>
      </c>
      <c r="I404" s="50">
        <v>10.6</v>
      </c>
      <c r="J404" s="50">
        <v>1313</v>
      </c>
      <c r="K404" s="50">
        <v>3273</v>
      </c>
      <c r="L404" s="50">
        <v>0.65</v>
      </c>
      <c r="M404" s="50">
        <v>165.36</v>
      </c>
      <c r="N404" s="51">
        <v>189.54</v>
      </c>
      <c r="O404" s="43">
        <f t="shared" si="71"/>
        <v>0.35</v>
      </c>
      <c r="P404" s="43">
        <f t="shared" si="76"/>
        <v>367.56100476947529</v>
      </c>
      <c r="Q404" s="43">
        <f t="shared" si="77"/>
        <v>5.6854752199098904E-6</v>
      </c>
      <c r="R404" s="43">
        <v>35</v>
      </c>
      <c r="S404" s="43">
        <f t="shared" si="78"/>
        <v>0.27777777777777779</v>
      </c>
      <c r="T404" s="43">
        <f t="shared" si="79"/>
        <v>36.296929556574177</v>
      </c>
      <c r="U404" s="43" t="str" cm="1">
        <f t="array" ref="U404">_xlfn.IFS(T404&lt;3,"Group I",T404&lt;5,"Group II",T404&lt;10,"Group III",T404&lt;20,"Group IV",T404&lt;50,"Group V",T404&lt;100,"Group VI",T404&lt;200,"Group VII",T404&lt;500,"Group VIII",T404&lt;1000,"Group IX",TRUE,"Group X")</f>
        <v>Group V</v>
      </c>
      <c r="V404" s="43">
        <f t="shared" si="80"/>
        <v>1.5598698885888338</v>
      </c>
      <c r="W404" s="43">
        <f t="shared" si="81"/>
        <v>5.5404339622641512</v>
      </c>
      <c r="X404" s="43">
        <f t="shared" si="72"/>
        <v>0.74354378278537825</v>
      </c>
      <c r="Y404" s="43">
        <f t="shared" si="82"/>
        <v>1.1462264150943395</v>
      </c>
      <c r="Z404" s="43">
        <f t="shared" si="73"/>
        <v>5.9270412669560714E-2</v>
      </c>
      <c r="AA404" s="43">
        <f t="shared" si="74"/>
        <v>2.2302083010994491</v>
      </c>
      <c r="AB404" s="43">
        <f t="shared" si="75"/>
        <v>0.54636798038064005</v>
      </c>
    </row>
    <row r="405" spans="1:28" ht="18.600000000000001" thickBot="1">
      <c r="A405" s="53" t="s">
        <v>53</v>
      </c>
      <c r="B405" s="54">
        <v>300</v>
      </c>
      <c r="C405" s="54">
        <v>900</v>
      </c>
      <c r="D405" s="54">
        <v>7.9</v>
      </c>
      <c r="E405" s="54">
        <v>63.593004769475357</v>
      </c>
      <c r="F405" s="54">
        <v>1939.5866454689983</v>
      </c>
      <c r="G405" s="57" t="s">
        <v>95</v>
      </c>
      <c r="H405" s="54">
        <v>0.23599999999999999</v>
      </c>
      <c r="I405" s="54">
        <v>10.6</v>
      </c>
      <c r="J405" s="54">
        <v>1313</v>
      </c>
      <c r="K405" s="54">
        <v>3273</v>
      </c>
      <c r="L405" s="54">
        <v>0.65</v>
      </c>
      <c r="M405" s="54">
        <v>184.3</v>
      </c>
      <c r="N405" s="55">
        <v>240.85</v>
      </c>
      <c r="O405" s="43">
        <f t="shared" si="71"/>
        <v>0.35</v>
      </c>
      <c r="P405" s="43">
        <f t="shared" si="76"/>
        <v>367.56100476947529</v>
      </c>
      <c r="Q405" s="43">
        <f t="shared" si="77"/>
        <v>5.6854752199098904E-6</v>
      </c>
      <c r="R405" s="43">
        <v>35</v>
      </c>
      <c r="S405" s="43">
        <f t="shared" si="78"/>
        <v>0.33333333333333331</v>
      </c>
      <c r="T405" s="43">
        <f t="shared" si="79"/>
        <v>43.556315467889014</v>
      </c>
      <c r="U405" s="43" t="str" cm="1">
        <f t="array" ref="U405">_xlfn.IFS(T405&lt;3,"Group I",T405&lt;5,"Group II",T405&lt;10,"Group III",T405&lt;20,"Group IV",T405&lt;50,"Group V",T405&lt;100,"Group VI",T405&lt;200,"Group VII",T405&lt;500,"Group VIII",T405&lt;1000,"Group IX",TRUE,"Group X")</f>
        <v>Group V</v>
      </c>
      <c r="V405" s="43">
        <f t="shared" si="80"/>
        <v>1.6390511346364587</v>
      </c>
      <c r="W405" s="43">
        <f t="shared" si="81"/>
        <v>5.5404339622641512</v>
      </c>
      <c r="X405" s="43">
        <f t="shared" si="72"/>
        <v>0.74354378278537825</v>
      </c>
      <c r="Y405" s="43">
        <f t="shared" si="82"/>
        <v>1.3068366793271837</v>
      </c>
      <c r="Z405" s="43">
        <f t="shared" si="73"/>
        <v>0.11622131543137895</v>
      </c>
      <c r="AA405" s="43">
        <f t="shared" si="74"/>
        <v>2.6762499613193391</v>
      </c>
      <c r="AB405" s="43">
        <f t="shared" si="75"/>
        <v>0.57686386179980875</v>
      </c>
    </row>
    <row r="406" spans="1:28">
      <c r="A406" s="48" t="s">
        <v>54</v>
      </c>
      <c r="B406" s="50">
        <v>200</v>
      </c>
      <c r="C406" s="50">
        <v>400</v>
      </c>
      <c r="D406" s="50">
        <v>7.31</v>
      </c>
      <c r="E406" s="50">
        <v>59.21994777188106</v>
      </c>
      <c r="F406" s="50">
        <v>2493.471485131834</v>
      </c>
      <c r="G406" s="57" t="s">
        <v>96</v>
      </c>
      <c r="H406" s="50">
        <v>0.22800000000000001</v>
      </c>
      <c r="I406" s="50">
        <v>66.8</v>
      </c>
      <c r="J406" s="50">
        <v>232</v>
      </c>
      <c r="K406" s="50">
        <v>2602</v>
      </c>
      <c r="L406" s="50">
        <v>0.7</v>
      </c>
      <c r="M406" s="50">
        <v>471.73</v>
      </c>
      <c r="N406" s="51">
        <v>325.14999999999998</v>
      </c>
      <c r="O406" s="43">
        <f t="shared" si="71"/>
        <v>0.30000000000000004</v>
      </c>
      <c r="P406" s="43">
        <f t="shared" si="76"/>
        <v>106.41594777188106</v>
      </c>
      <c r="Q406" s="43">
        <f t="shared" si="77"/>
        <v>4.0079679362565098E-5</v>
      </c>
      <c r="R406" s="43">
        <v>35</v>
      </c>
      <c r="S406" s="43">
        <f t="shared" si="78"/>
        <v>0.5</v>
      </c>
      <c r="T406" s="43">
        <f t="shared" si="79"/>
        <v>52.487759920756972</v>
      </c>
      <c r="U406" s="43" t="str" cm="1">
        <f t="array" ref="U406">_xlfn.IFS(T406&lt;3,"Group I",T406&lt;5,"Group II",T406&lt;10,"Group III",T406&lt;20,"Group IV",T406&lt;50,"Group V",T406&lt;100,"Group VI",T406&lt;200,"Group VII",T406&lt;500,"Group VIII",T406&lt;1000,"Group IX",TRUE,"Group X")</f>
        <v>Group VI</v>
      </c>
      <c r="V406" s="43">
        <f t="shared" si="80"/>
        <v>1.7200580382889299</v>
      </c>
      <c r="W406" s="43">
        <f t="shared" si="81"/>
        <v>0.34930419161676646</v>
      </c>
      <c r="X406" s="43">
        <f t="shared" si="72"/>
        <v>-0.45679620283899341</v>
      </c>
      <c r="Y406" s="43">
        <f t="shared" si="82"/>
        <v>0.68927140525300479</v>
      </c>
      <c r="Z406" s="43">
        <f t="shared" si="73"/>
        <v>-0.16160973804204185</v>
      </c>
      <c r="AA406" s="43">
        <f t="shared" si="74"/>
        <v>2.8480938008893912</v>
      </c>
      <c r="AB406" s="43">
        <f t="shared" si="75"/>
        <v>0.60982509148202313</v>
      </c>
    </row>
    <row r="407" spans="1:28">
      <c r="A407" s="48" t="s">
        <v>54</v>
      </c>
      <c r="B407" s="50">
        <v>200</v>
      </c>
      <c r="C407" s="50">
        <v>600</v>
      </c>
      <c r="D407" s="50">
        <v>7.31</v>
      </c>
      <c r="E407" s="50">
        <v>59.21994777188106</v>
      </c>
      <c r="F407" s="50">
        <v>2493.471485131834</v>
      </c>
      <c r="G407" s="57" t="s">
        <v>96</v>
      </c>
      <c r="H407" s="50">
        <v>0.22800000000000001</v>
      </c>
      <c r="I407" s="50">
        <v>66.8</v>
      </c>
      <c r="J407" s="50">
        <v>232</v>
      </c>
      <c r="K407" s="50">
        <v>2602</v>
      </c>
      <c r="L407" s="50">
        <v>0.7</v>
      </c>
      <c r="M407" s="50">
        <v>355</v>
      </c>
      <c r="N407" s="51">
        <v>284</v>
      </c>
      <c r="O407" s="43">
        <f t="shared" si="71"/>
        <v>0.30000000000000004</v>
      </c>
      <c r="P407" s="43">
        <f t="shared" si="76"/>
        <v>106.41594777188106</v>
      </c>
      <c r="Q407" s="43">
        <f t="shared" si="77"/>
        <v>4.0079679362565098E-5</v>
      </c>
      <c r="R407" s="43">
        <v>35</v>
      </c>
      <c r="S407" s="43">
        <f t="shared" si="78"/>
        <v>0.33333333333333331</v>
      </c>
      <c r="T407" s="43">
        <f t="shared" si="79"/>
        <v>42.85607651585341</v>
      </c>
      <c r="U407" s="43" t="str" cm="1">
        <f t="array" ref="U407">_xlfn.IFS(T407&lt;3,"Group I",T407&lt;5,"Group II",T407&lt;10,"Group III",T407&lt;20,"Group IV",T407&lt;50,"Group V",T407&lt;100,"Group VI",T407&lt;200,"Group VII",T407&lt;500,"Group VIII",T407&lt;1000,"Group IX",TRUE,"Group X")</f>
        <v>Group V</v>
      </c>
      <c r="V407" s="43">
        <f t="shared" si="80"/>
        <v>1.6320124087610894</v>
      </c>
      <c r="W407" s="43">
        <f t="shared" si="81"/>
        <v>0.52395628742514966</v>
      </c>
      <c r="X407" s="43">
        <f t="shared" si="72"/>
        <v>-0.28070494378331218</v>
      </c>
      <c r="Y407" s="43">
        <f t="shared" si="82"/>
        <v>0.8</v>
      </c>
      <c r="Z407" s="43">
        <f t="shared" si="73"/>
        <v>-9.6910013008056392E-2</v>
      </c>
      <c r="AA407" s="43">
        <f t="shared" si="74"/>
        <v>2.3682496561228801</v>
      </c>
      <c r="AB407" s="43">
        <f t="shared" si="75"/>
        <v>0.57408539264148994</v>
      </c>
    </row>
    <row r="408" spans="1:28">
      <c r="A408" s="48" t="s">
        <v>54</v>
      </c>
      <c r="B408" s="50">
        <v>200</v>
      </c>
      <c r="C408" s="50">
        <v>800</v>
      </c>
      <c r="D408" s="50">
        <v>7.31</v>
      </c>
      <c r="E408" s="50">
        <v>59.21994777188106</v>
      </c>
      <c r="F408" s="50">
        <v>2493.471485131834</v>
      </c>
      <c r="G408" s="57" t="s">
        <v>96</v>
      </c>
      <c r="H408" s="50">
        <v>0.22800000000000001</v>
      </c>
      <c r="I408" s="50">
        <v>66.8</v>
      </c>
      <c r="J408" s="50">
        <v>232</v>
      </c>
      <c r="K408" s="50">
        <v>2602</v>
      </c>
      <c r="L408" s="50">
        <v>0.7</v>
      </c>
      <c r="M408" s="50">
        <v>307.11</v>
      </c>
      <c r="N408" s="51">
        <v>245.68800000000002</v>
      </c>
      <c r="O408" s="43">
        <f t="shared" si="71"/>
        <v>0.30000000000000004</v>
      </c>
      <c r="P408" s="43">
        <f t="shared" si="76"/>
        <v>106.41594777188106</v>
      </c>
      <c r="Q408" s="43">
        <f t="shared" si="77"/>
        <v>4.0079679362565098E-5</v>
      </c>
      <c r="R408" s="43">
        <v>35</v>
      </c>
      <c r="S408" s="43">
        <f t="shared" si="78"/>
        <v>0.25</v>
      </c>
      <c r="T408" s="43">
        <f t="shared" si="79"/>
        <v>37.114450969258748</v>
      </c>
      <c r="U408" s="43" t="str" cm="1">
        <f t="array" ref="U408">_xlfn.IFS(T408&lt;3,"Group I",T408&lt;5,"Group II",T408&lt;10,"Group III",T408&lt;20,"Group IV",T408&lt;50,"Group V",T408&lt;100,"Group VI",T408&lt;200,"Group VII",T408&lt;500,"Group VIII",T408&lt;1000,"Group IX",TRUE,"Group X")</f>
        <v>Group V</v>
      </c>
      <c r="V408" s="43">
        <f t="shared" si="80"/>
        <v>1.5695430404569393</v>
      </c>
      <c r="W408" s="43">
        <f t="shared" si="81"/>
        <v>0.69860838323353291</v>
      </c>
      <c r="X408" s="43">
        <f t="shared" si="72"/>
        <v>-0.15576620717501222</v>
      </c>
      <c r="Y408" s="43">
        <f t="shared" si="82"/>
        <v>0.8</v>
      </c>
      <c r="Z408" s="43">
        <f t="shared" si="73"/>
        <v>-9.6910013008056392E-2</v>
      </c>
      <c r="AA408" s="43">
        <f t="shared" si="74"/>
        <v>2.0776701945146474</v>
      </c>
      <c r="AB408" s="43">
        <f t="shared" si="75"/>
        <v>0.55000529652805796</v>
      </c>
    </row>
    <row r="409" spans="1:28">
      <c r="A409" s="48" t="s">
        <v>54</v>
      </c>
      <c r="B409" s="50">
        <v>200</v>
      </c>
      <c r="C409" s="50">
        <v>1200</v>
      </c>
      <c r="D409" s="50">
        <v>7.31</v>
      </c>
      <c r="E409" s="50">
        <v>59.21994777188106</v>
      </c>
      <c r="F409" s="50">
        <v>2493.471485131834</v>
      </c>
      <c r="G409" s="57" t="s">
        <v>96</v>
      </c>
      <c r="H409" s="50">
        <v>0.22800000000000001</v>
      </c>
      <c r="I409" s="50">
        <v>66.8</v>
      </c>
      <c r="J409" s="50">
        <v>232</v>
      </c>
      <c r="K409" s="50">
        <v>2602</v>
      </c>
      <c r="L409" s="50">
        <v>0.7</v>
      </c>
      <c r="M409" s="50">
        <v>313.35000000000002</v>
      </c>
      <c r="N409" s="51">
        <v>222.75</v>
      </c>
      <c r="O409" s="43">
        <f t="shared" si="71"/>
        <v>0.30000000000000004</v>
      </c>
      <c r="P409" s="43">
        <f t="shared" si="76"/>
        <v>106.41594777188106</v>
      </c>
      <c r="Q409" s="43">
        <f t="shared" si="77"/>
        <v>4.0079679362565098E-5</v>
      </c>
      <c r="R409" s="43">
        <v>35</v>
      </c>
      <c r="S409" s="43">
        <f t="shared" si="78"/>
        <v>0.16666666666666666</v>
      </c>
      <c r="T409" s="43">
        <f t="shared" si="79"/>
        <v>30.303822319409491</v>
      </c>
      <c r="U409" s="43" t="str" cm="1">
        <f t="array" ref="U409">_xlfn.IFS(T409&lt;3,"Group I",T409&lt;5,"Group II",T409&lt;10,"Group III",T409&lt;20,"Group IV",T409&lt;50,"Group V",T409&lt;100,"Group VI",T409&lt;200,"Group VII",T409&lt;500,"Group VIII",T409&lt;1000,"Group IX",TRUE,"Group X")</f>
        <v>Group V</v>
      </c>
      <c r="V409" s="43">
        <f t="shared" si="80"/>
        <v>1.4814974109290986</v>
      </c>
      <c r="W409" s="43">
        <f t="shared" si="81"/>
        <v>1.0479125748502993</v>
      </c>
      <c r="X409" s="43">
        <f t="shared" si="72"/>
        <v>2.0325051880669003E-2</v>
      </c>
      <c r="Y409" s="43">
        <f t="shared" si="82"/>
        <v>0.71086644327429382</v>
      </c>
      <c r="Z409" s="43">
        <f t="shared" si="73"/>
        <v>-0.14821198632707749</v>
      </c>
      <c r="AA409" s="43">
        <f t="shared" si="74"/>
        <v>1.7276262889092822</v>
      </c>
      <c r="AB409" s="43">
        <f t="shared" si="75"/>
        <v>0.51777142499148399</v>
      </c>
    </row>
    <row r="410" spans="1:28">
      <c r="A410" s="48" t="s">
        <v>54</v>
      </c>
      <c r="B410" s="50">
        <v>200</v>
      </c>
      <c r="C410" s="50">
        <v>1600</v>
      </c>
      <c r="D410" s="50">
        <v>7.31</v>
      </c>
      <c r="E410" s="50">
        <v>59.21994777188106</v>
      </c>
      <c r="F410" s="50">
        <v>2493.471485131834</v>
      </c>
      <c r="G410" s="57" t="s">
        <v>96</v>
      </c>
      <c r="H410" s="50">
        <v>0.22800000000000001</v>
      </c>
      <c r="I410" s="50">
        <v>66.8</v>
      </c>
      <c r="J410" s="50">
        <v>232</v>
      </c>
      <c r="K410" s="50">
        <v>2602</v>
      </c>
      <c r="L410" s="50">
        <v>0.7</v>
      </c>
      <c r="M410" s="50">
        <v>318.55</v>
      </c>
      <c r="N410" s="51">
        <v>184.67</v>
      </c>
      <c r="O410" s="43">
        <f t="shared" si="71"/>
        <v>0.30000000000000004</v>
      </c>
      <c r="P410" s="43">
        <f t="shared" si="76"/>
        <v>106.41594777188106</v>
      </c>
      <c r="Q410" s="43">
        <f t="shared" si="77"/>
        <v>4.0079679362565098E-5</v>
      </c>
      <c r="R410" s="43">
        <v>35</v>
      </c>
      <c r="S410" s="43">
        <f t="shared" si="78"/>
        <v>0.125</v>
      </c>
      <c r="T410" s="43">
        <f t="shared" si="79"/>
        <v>26.243879960378486</v>
      </c>
      <c r="U410" s="43" t="str" cm="1">
        <f t="array" ref="U410">_xlfn.IFS(T410&lt;3,"Group I",T410&lt;5,"Group II",T410&lt;10,"Group III",T410&lt;20,"Group IV",T410&lt;50,"Group V",T410&lt;100,"Group VI",T410&lt;200,"Group VII",T410&lt;500,"Group VIII",T410&lt;1000,"Group IX",TRUE,"Group X")</f>
        <v>Group V</v>
      </c>
      <c r="V410" s="43">
        <f t="shared" si="80"/>
        <v>1.4190280426249486</v>
      </c>
      <c r="W410" s="43">
        <f t="shared" si="81"/>
        <v>1.3972167664670658</v>
      </c>
      <c r="X410" s="43">
        <f t="shared" si="72"/>
        <v>0.14526378848896898</v>
      </c>
      <c r="Y410" s="43">
        <f t="shared" si="82"/>
        <v>0.57972060900957456</v>
      </c>
      <c r="Z410" s="43">
        <f t="shared" si="73"/>
        <v>-0.2367812602294676</v>
      </c>
      <c r="AA410" s="43">
        <f t="shared" si="74"/>
        <v>1.5156500238252426</v>
      </c>
      <c r="AB410" s="43">
        <f t="shared" si="75"/>
        <v>0.49605342652227413</v>
      </c>
    </row>
    <row r="411" spans="1:28">
      <c r="A411" s="48" t="s">
        <v>54</v>
      </c>
      <c r="B411" s="50">
        <v>200</v>
      </c>
      <c r="C411" s="50">
        <v>2000</v>
      </c>
      <c r="D411" s="50">
        <v>7.31</v>
      </c>
      <c r="E411" s="50">
        <v>59.21994777188106</v>
      </c>
      <c r="F411" s="50">
        <v>2493.471485131834</v>
      </c>
      <c r="G411" s="57" t="s">
        <v>96</v>
      </c>
      <c r="H411" s="50">
        <v>0.22800000000000001</v>
      </c>
      <c r="I411" s="50">
        <v>66.8</v>
      </c>
      <c r="J411" s="50">
        <v>232</v>
      </c>
      <c r="K411" s="50">
        <v>2602</v>
      </c>
      <c r="L411" s="50">
        <v>0.7</v>
      </c>
      <c r="M411" s="50">
        <v>316.06</v>
      </c>
      <c r="N411" s="51">
        <v>145.88999999999999</v>
      </c>
      <c r="O411" s="43">
        <f t="shared" si="71"/>
        <v>0.30000000000000004</v>
      </c>
      <c r="P411" s="43">
        <f t="shared" si="76"/>
        <v>106.41594777188106</v>
      </c>
      <c r="Q411" s="43">
        <f t="shared" si="77"/>
        <v>4.0079679362565098E-5</v>
      </c>
      <c r="R411" s="43">
        <v>35</v>
      </c>
      <c r="S411" s="43">
        <f t="shared" si="78"/>
        <v>0.1</v>
      </c>
      <c r="T411" s="43">
        <f t="shared" si="79"/>
        <v>23.473239833900315</v>
      </c>
      <c r="U411" s="43" t="str" cm="1">
        <f t="array" ref="U411">_xlfn.IFS(T411&lt;3,"Group I",T411&lt;5,"Group II",T411&lt;10,"Group III",T411&lt;20,"Group IV",T411&lt;50,"Group V",T411&lt;100,"Group VI",T411&lt;200,"Group VII",T411&lt;500,"Group VIII",T411&lt;1000,"Group IX",TRUE,"Group X")</f>
        <v>Group V</v>
      </c>
      <c r="V411" s="43">
        <f t="shared" si="80"/>
        <v>1.3705730361209205</v>
      </c>
      <c r="W411" s="43">
        <f t="shared" si="81"/>
        <v>1.7465209580838321</v>
      </c>
      <c r="X411" s="43">
        <f t="shared" si="72"/>
        <v>0.24217380149702536</v>
      </c>
      <c r="Y411" s="43">
        <f t="shared" si="82"/>
        <v>0.46158957160032899</v>
      </c>
      <c r="Z411" s="43">
        <f t="shared" si="73"/>
        <v>-0.3357440114805576</v>
      </c>
      <c r="AA411" s="43">
        <f t="shared" si="74"/>
        <v>1.3693105916613137</v>
      </c>
      <c r="AB411" s="43">
        <f t="shared" si="75"/>
        <v>0.47983697160390948</v>
      </c>
    </row>
    <row r="412" spans="1:28">
      <c r="A412" s="48" t="s">
        <v>54</v>
      </c>
      <c r="B412" s="50">
        <v>200</v>
      </c>
      <c r="C412" s="50">
        <v>2400</v>
      </c>
      <c r="D412" s="50">
        <v>7.31</v>
      </c>
      <c r="E412" s="50">
        <v>59.21994777188106</v>
      </c>
      <c r="F412" s="50">
        <v>2493.471485131834</v>
      </c>
      <c r="G412" s="57" t="s">
        <v>96</v>
      </c>
      <c r="H412" s="50">
        <v>0.22800000000000001</v>
      </c>
      <c r="I412" s="50">
        <v>66.8</v>
      </c>
      <c r="J412" s="50">
        <v>232</v>
      </c>
      <c r="K412" s="50">
        <v>2602</v>
      </c>
      <c r="L412" s="50">
        <v>0.7</v>
      </c>
      <c r="M412" s="50">
        <v>181.81</v>
      </c>
      <c r="N412" s="51">
        <v>91.35</v>
      </c>
      <c r="O412" s="43">
        <f t="shared" si="71"/>
        <v>0.30000000000000004</v>
      </c>
      <c r="P412" s="43">
        <f t="shared" si="76"/>
        <v>106.41594777188106</v>
      </c>
      <c r="Q412" s="43">
        <f t="shared" si="77"/>
        <v>4.0079679362565098E-5</v>
      </c>
      <c r="R412" s="43">
        <v>35</v>
      </c>
      <c r="S412" s="43">
        <f t="shared" si="78"/>
        <v>8.3333333333333329E-2</v>
      </c>
      <c r="T412" s="43">
        <f t="shared" si="79"/>
        <v>21.428038257926705</v>
      </c>
      <c r="U412" s="43" t="str" cm="1">
        <f t="array" ref="U412">_xlfn.IFS(T412&lt;3,"Group I",T412&lt;5,"Group II",T412&lt;10,"Group III",T412&lt;20,"Group IV",T412&lt;50,"Group V",T412&lt;100,"Group VI",T412&lt;200,"Group VII",T412&lt;500,"Group VIII",T412&lt;1000,"Group IX",TRUE,"Group X")</f>
        <v>Group V</v>
      </c>
      <c r="V412" s="43">
        <f t="shared" si="80"/>
        <v>1.3309824130971082</v>
      </c>
      <c r="W412" s="43">
        <f t="shared" si="81"/>
        <v>2.0958251497005986</v>
      </c>
      <c r="X412" s="43">
        <f t="shared" si="72"/>
        <v>0.32135504754465022</v>
      </c>
      <c r="Y412" s="43">
        <f t="shared" si="82"/>
        <v>0.50244761014245642</v>
      </c>
      <c r="Z412" s="43">
        <f t="shared" si="73"/>
        <v>-0.29890921512577756</v>
      </c>
      <c r="AA412" s="43">
        <f t="shared" si="74"/>
        <v>1.2602947440164618</v>
      </c>
      <c r="AB412" s="43">
        <f t="shared" si="75"/>
        <v>0.46698148389420779</v>
      </c>
    </row>
    <row r="413" spans="1:28">
      <c r="A413" s="48" t="s">
        <v>54</v>
      </c>
      <c r="B413" s="50">
        <v>350</v>
      </c>
      <c r="C413" s="50">
        <v>400</v>
      </c>
      <c r="D413" s="50">
        <v>7.31</v>
      </c>
      <c r="E413" s="50">
        <v>59.21994777188106</v>
      </c>
      <c r="F413" s="50">
        <v>2493.471485131834</v>
      </c>
      <c r="G413" s="57" t="s">
        <v>96</v>
      </c>
      <c r="H413" s="50">
        <v>0.22800000000000001</v>
      </c>
      <c r="I413" s="50">
        <v>66.8</v>
      </c>
      <c r="J413" s="50">
        <v>232</v>
      </c>
      <c r="K413" s="50">
        <v>2602</v>
      </c>
      <c r="L413" s="50">
        <v>0.7</v>
      </c>
      <c r="M413" s="50">
        <v>652.1</v>
      </c>
      <c r="N413" s="51">
        <v>1049.71</v>
      </c>
      <c r="O413" s="43">
        <f t="shared" si="71"/>
        <v>0.30000000000000004</v>
      </c>
      <c r="P413" s="43">
        <f t="shared" si="76"/>
        <v>106.41594777188106</v>
      </c>
      <c r="Q413" s="43">
        <f t="shared" si="77"/>
        <v>4.0079679362565098E-5</v>
      </c>
      <c r="R413" s="43">
        <v>35</v>
      </c>
      <c r="S413" s="43">
        <f t="shared" si="78"/>
        <v>0.875</v>
      </c>
      <c r="T413" s="43">
        <f t="shared" si="79"/>
        <v>91.853579861324704</v>
      </c>
      <c r="U413" s="43" t="str" cm="1">
        <f t="array" ref="U413">_xlfn.IFS(T413&lt;3,"Group I",T413&lt;5,"Group II",T413&lt;10,"Group III",T413&lt;20,"Group IV",T413&lt;50,"Group V",T413&lt;100,"Group VI",T413&lt;200,"Group VII",T413&lt;500,"Group VIII",T413&lt;1000,"Group IX",TRUE,"Group X")</f>
        <v>Group VI</v>
      </c>
      <c r="V413" s="43">
        <f t="shared" si="80"/>
        <v>1.9630960869752243</v>
      </c>
      <c r="W413" s="43">
        <f t="shared" si="81"/>
        <v>0.34930419161676646</v>
      </c>
      <c r="X413" s="43">
        <f t="shared" si="72"/>
        <v>-0.45679620283899341</v>
      </c>
      <c r="Y413" s="43">
        <f t="shared" si="82"/>
        <v>1.6097377702806317</v>
      </c>
      <c r="Z413" s="43">
        <f t="shared" si="73"/>
        <v>0.20675513429541659</v>
      </c>
      <c r="AA413" s="43">
        <f t="shared" si="74"/>
        <v>4.9841641515564339</v>
      </c>
      <c r="AB413" s="43">
        <f t="shared" si="75"/>
        <v>0.7204541117802451</v>
      </c>
    </row>
    <row r="414" spans="1:28">
      <c r="A414" s="48"/>
      <c r="B414" s="50">
        <v>350</v>
      </c>
      <c r="C414" s="50">
        <v>600</v>
      </c>
      <c r="D414" s="50">
        <v>7.31</v>
      </c>
      <c r="E414" s="50">
        <v>59.21994777188106</v>
      </c>
      <c r="F414" s="50">
        <v>2493.471485131834</v>
      </c>
      <c r="G414" s="57" t="s">
        <v>96</v>
      </c>
      <c r="H414" s="50">
        <v>0.22800000000000001</v>
      </c>
      <c r="I414" s="50">
        <v>66.8</v>
      </c>
      <c r="J414" s="50">
        <v>232</v>
      </c>
      <c r="K414" s="50">
        <v>2602</v>
      </c>
      <c r="L414" s="50">
        <v>0.7</v>
      </c>
      <c r="M414" s="50">
        <v>618.51</v>
      </c>
      <c r="N414" s="51">
        <v>735.79</v>
      </c>
      <c r="O414" s="43">
        <f t="shared" ref="O414" si="83">1-L414</f>
        <v>0.30000000000000004</v>
      </c>
      <c r="P414" s="43">
        <f t="shared" si="76"/>
        <v>106.41594777188106</v>
      </c>
      <c r="Q414" s="43">
        <f t="shared" si="77"/>
        <v>4.0079679362565098E-5</v>
      </c>
      <c r="R414" s="43">
        <v>35</v>
      </c>
      <c r="S414" s="43">
        <f t="shared" si="78"/>
        <v>0.58333333333333337</v>
      </c>
      <c r="T414" s="43">
        <f t="shared" si="79"/>
        <v>74.998133902743461</v>
      </c>
      <c r="U414" s="43" t="str" cm="1">
        <f t="array" ref="U414">_xlfn.IFS(T414&lt;3,"Group I",T414&lt;5,"Group II",T414&lt;10,"Group III",T414&lt;20,"Group IV",T414&lt;50,"Group V",T414&lt;100,"Group VI",T414&lt;200,"Group VII",T414&lt;500,"Group VIII",T414&lt;1000,"Group IX",TRUE,"Group X")</f>
        <v>Group VI</v>
      </c>
      <c r="V414" s="43">
        <f t="shared" si="80"/>
        <v>1.8750504574473836</v>
      </c>
      <c r="W414" s="43">
        <f t="shared" si="81"/>
        <v>0.52395628742514966</v>
      </c>
      <c r="X414" s="43">
        <f t="shared" si="72"/>
        <v>-0.28070494378331218</v>
      </c>
      <c r="Y414" s="43">
        <f t="shared" si="82"/>
        <v>1.1896169827488641</v>
      </c>
      <c r="Z414" s="43">
        <f t="shared" si="73"/>
        <v>7.5407155464699102E-2</v>
      </c>
      <c r="AA414" s="43">
        <f t="shared" ref="AA414" si="84">(10^-0.7321)*W414^0.04497*T414*0.307</f>
        <v>4.1444368982150399</v>
      </c>
      <c r="AB414" s="43">
        <f t="shared" ref="AB414" si="85">(10^-0.7272)*T414^0.2979</f>
        <v>0.67823083605232448</v>
      </c>
    </row>
    <row r="415" spans="1:28">
      <c r="A415" s="48" t="s">
        <v>54</v>
      </c>
      <c r="B415" s="50">
        <v>350</v>
      </c>
      <c r="C415" s="50">
        <v>800</v>
      </c>
      <c r="D415" s="50">
        <v>7.31</v>
      </c>
      <c r="E415" s="50">
        <v>59.21994777188106</v>
      </c>
      <c r="F415" s="50">
        <v>2493.471485131834</v>
      </c>
      <c r="G415" s="57" t="s">
        <v>96</v>
      </c>
      <c r="H415" s="50">
        <v>0.22800000000000001</v>
      </c>
      <c r="I415" s="50">
        <v>66.8</v>
      </c>
      <c r="J415" s="50">
        <v>232</v>
      </c>
      <c r="K415" s="50">
        <v>2602</v>
      </c>
      <c r="L415" s="50">
        <v>0.7</v>
      </c>
      <c r="M415" s="50">
        <v>584.91999999999996</v>
      </c>
      <c r="N415" s="51">
        <v>421.87</v>
      </c>
      <c r="O415" s="43">
        <f t="shared" si="71"/>
        <v>0.30000000000000004</v>
      </c>
      <c r="P415" s="43">
        <f t="shared" si="76"/>
        <v>106.41594777188106</v>
      </c>
      <c r="Q415" s="43">
        <f t="shared" si="77"/>
        <v>4.0079679362565098E-5</v>
      </c>
      <c r="R415" s="43">
        <v>35</v>
      </c>
      <c r="S415" s="43">
        <f t="shared" si="78"/>
        <v>0.4375</v>
      </c>
      <c r="T415" s="43">
        <f t="shared" si="79"/>
        <v>64.950289196202803</v>
      </c>
      <c r="U415" s="43" t="str" cm="1">
        <f t="array" ref="U415">_xlfn.IFS(T415&lt;3,"Group I",T415&lt;5,"Group II",T415&lt;10,"Group III",T415&lt;20,"Group IV",T415&lt;50,"Group V",T415&lt;100,"Group VI",T415&lt;200,"Group VII",T415&lt;500,"Group VIII",T415&lt;1000,"Group IX",TRUE,"Group X")</f>
        <v>Group VI</v>
      </c>
      <c r="V415" s="43">
        <f t="shared" si="80"/>
        <v>1.8125810891432337</v>
      </c>
      <c r="W415" s="43">
        <f t="shared" si="81"/>
        <v>0.69860838323353291</v>
      </c>
      <c r="X415" s="43">
        <f t="shared" si="72"/>
        <v>-0.15576620717501222</v>
      </c>
      <c r="Y415" s="43">
        <f t="shared" si="82"/>
        <v>0.72124393079395477</v>
      </c>
      <c r="Z415" s="43">
        <f t="shared" si="73"/>
        <v>-0.14191782837178937</v>
      </c>
      <c r="AA415" s="43">
        <f t="shared" si="74"/>
        <v>3.6359228404006334</v>
      </c>
      <c r="AB415" s="43">
        <f t="shared" si="75"/>
        <v>0.6497823440186099</v>
      </c>
    </row>
    <row r="416" spans="1:28">
      <c r="A416" s="48" t="s">
        <v>54</v>
      </c>
      <c r="B416" s="50">
        <v>350</v>
      </c>
      <c r="C416" s="50">
        <v>1000</v>
      </c>
      <c r="D416" s="50">
        <v>7.31</v>
      </c>
      <c r="E416" s="50">
        <v>59.21994777188106</v>
      </c>
      <c r="F416" s="50">
        <v>2493.471485131834</v>
      </c>
      <c r="G416" s="57" t="s">
        <v>96</v>
      </c>
      <c r="H416" s="50">
        <v>0.22800000000000001</v>
      </c>
      <c r="I416" s="50">
        <v>66.8</v>
      </c>
      <c r="J416" s="50">
        <v>232</v>
      </c>
      <c r="K416" s="50">
        <v>2602</v>
      </c>
      <c r="L416" s="50">
        <v>0.7</v>
      </c>
      <c r="M416" s="50">
        <v>517</v>
      </c>
      <c r="N416" s="51">
        <v>381.24</v>
      </c>
      <c r="O416" s="43">
        <f t="shared" si="71"/>
        <v>0.30000000000000004</v>
      </c>
      <c r="P416" s="43">
        <f t="shared" si="76"/>
        <v>106.41594777188106</v>
      </c>
      <c r="Q416" s="43">
        <f t="shared" si="77"/>
        <v>4.0079679362565098E-5</v>
      </c>
      <c r="R416" s="43">
        <v>35</v>
      </c>
      <c r="S416" s="43">
        <f t="shared" si="78"/>
        <v>0.35</v>
      </c>
      <c r="T416" s="43">
        <f t="shared" si="79"/>
        <v>58.093304720391856</v>
      </c>
      <c r="U416" s="43" t="str" cm="1">
        <f t="array" ref="U416">_xlfn.IFS(T416&lt;3,"Group I",T416&lt;5,"Group II",T416&lt;10,"Group III",T416&lt;20,"Group IV",T416&lt;50,"Group V",T416&lt;100,"Group VI",T416&lt;200,"Group VII",T416&lt;500,"Group VIII",T416&lt;1000,"Group IX",TRUE,"Group X")</f>
        <v>Group VI</v>
      </c>
      <c r="V416" s="43">
        <f t="shared" si="80"/>
        <v>1.7641260826392056</v>
      </c>
      <c r="W416" s="43">
        <f t="shared" si="81"/>
        <v>0.87326047904191606</v>
      </c>
      <c r="X416" s="43">
        <f t="shared" si="72"/>
        <v>-5.8856194166955846E-2</v>
      </c>
      <c r="Y416" s="43">
        <f t="shared" si="82"/>
        <v>0.73740812379110254</v>
      </c>
      <c r="Z416" s="43">
        <f t="shared" si="73"/>
        <v>-0.13229208221917022</v>
      </c>
      <c r="AA416" s="43">
        <f t="shared" si="74"/>
        <v>3.2848662801841706</v>
      </c>
      <c r="AB416" s="43">
        <f t="shared" si="75"/>
        <v>0.62854034562662042</v>
      </c>
    </row>
    <row r="417" spans="1:28">
      <c r="A417" s="48" t="s">
        <v>54</v>
      </c>
      <c r="B417" s="50">
        <v>350</v>
      </c>
      <c r="C417" s="50">
        <v>1200</v>
      </c>
      <c r="D417" s="50">
        <v>7.31</v>
      </c>
      <c r="E417" s="50">
        <v>59.21994777188106</v>
      </c>
      <c r="F417" s="50">
        <v>2493.471485131834</v>
      </c>
      <c r="G417" s="57" t="s">
        <v>96</v>
      </c>
      <c r="H417" s="50">
        <v>0.22800000000000001</v>
      </c>
      <c r="I417" s="50">
        <v>66.8</v>
      </c>
      <c r="J417" s="50">
        <v>232</v>
      </c>
      <c r="K417" s="50">
        <v>2602</v>
      </c>
      <c r="L417" s="50">
        <v>0.7</v>
      </c>
      <c r="M417" s="50">
        <v>440.14</v>
      </c>
      <c r="N417" s="51">
        <v>337.23</v>
      </c>
      <c r="O417" s="43">
        <f t="shared" si="71"/>
        <v>0.30000000000000004</v>
      </c>
      <c r="P417" s="43">
        <f t="shared" si="76"/>
        <v>106.41594777188106</v>
      </c>
      <c r="Q417" s="43">
        <f t="shared" si="77"/>
        <v>4.0079679362565098E-5</v>
      </c>
      <c r="R417" s="43">
        <v>35</v>
      </c>
      <c r="S417" s="43">
        <f t="shared" si="78"/>
        <v>0.29166666666666669</v>
      </c>
      <c r="T417" s="43">
        <f t="shared" si="79"/>
        <v>53.031689058966613</v>
      </c>
      <c r="U417" s="43" t="str" cm="1">
        <f t="array" ref="U417">_xlfn.IFS(T417&lt;3,"Group I",T417&lt;5,"Group II",T417&lt;10,"Group III",T417&lt;20,"Group IV",T417&lt;50,"Group V",T417&lt;100,"Group VI",T417&lt;200,"Group VII",T417&lt;500,"Group VIII",T417&lt;1000,"Group IX",TRUE,"Group X")</f>
        <v>Group VI</v>
      </c>
      <c r="V417" s="43">
        <f t="shared" si="80"/>
        <v>1.7245354596153932</v>
      </c>
      <c r="W417" s="43">
        <f t="shared" si="81"/>
        <v>1.0479125748502993</v>
      </c>
      <c r="X417" s="43">
        <f t="shared" si="72"/>
        <v>2.0325051880669003E-2</v>
      </c>
      <c r="Y417" s="43">
        <f t="shared" si="82"/>
        <v>0.76618803108101974</v>
      </c>
      <c r="Z417" s="43">
        <f t="shared" si="73"/>
        <v>-0.11566463658169013</v>
      </c>
      <c r="AA417" s="43">
        <f t="shared" si="74"/>
        <v>3.0233460055912436</v>
      </c>
      <c r="AB417" s="43">
        <f t="shared" si="75"/>
        <v>0.61170089146525031</v>
      </c>
    </row>
    <row r="418" spans="1:28">
      <c r="A418" s="48" t="s">
        <v>54</v>
      </c>
      <c r="B418" s="50">
        <v>350</v>
      </c>
      <c r="C418" s="50">
        <v>1600</v>
      </c>
      <c r="D418" s="50">
        <v>7.31</v>
      </c>
      <c r="E418" s="50">
        <v>59.21994777188106</v>
      </c>
      <c r="F418" s="50">
        <v>2493.471485131834</v>
      </c>
      <c r="G418" s="57" t="s">
        <v>96</v>
      </c>
      <c r="H418" s="50">
        <v>0.22800000000000001</v>
      </c>
      <c r="I418" s="50">
        <v>66.8</v>
      </c>
      <c r="J418" s="50">
        <v>232</v>
      </c>
      <c r="K418" s="50">
        <v>2602</v>
      </c>
      <c r="L418" s="50">
        <v>0.7</v>
      </c>
      <c r="M418" s="50">
        <v>434.69</v>
      </c>
      <c r="N418" s="51">
        <v>382.22</v>
      </c>
      <c r="O418" s="43">
        <f t="shared" ref="O418:O481" si="86">1-L418</f>
        <v>0.30000000000000004</v>
      </c>
      <c r="P418" s="43">
        <f t="shared" si="76"/>
        <v>106.41594777188106</v>
      </c>
      <c r="Q418" s="43">
        <f t="shared" si="77"/>
        <v>4.0079679362565098E-5</v>
      </c>
      <c r="R418" s="43">
        <v>35</v>
      </c>
      <c r="S418" s="43">
        <f t="shared" si="78"/>
        <v>0.21875</v>
      </c>
      <c r="T418" s="43">
        <f t="shared" si="79"/>
        <v>45.926789930662352</v>
      </c>
      <c r="U418" s="43" t="str" cm="1">
        <f t="array" ref="U418">_xlfn.IFS(T418&lt;3,"Group I",T418&lt;5,"Group II",T418&lt;10,"Group III",T418&lt;20,"Group IV",T418&lt;50,"Group V",T418&lt;100,"Group VI",T418&lt;200,"Group VII",T418&lt;500,"Group VIII",T418&lt;1000,"Group IX",TRUE,"Group X")</f>
        <v>Group V</v>
      </c>
      <c r="V418" s="43">
        <f t="shared" si="80"/>
        <v>1.6620660913112431</v>
      </c>
      <c r="W418" s="43">
        <f t="shared" si="81"/>
        <v>1.3972167664670658</v>
      </c>
      <c r="X418" s="43">
        <f t="shared" si="72"/>
        <v>0.14526378848896898</v>
      </c>
      <c r="Y418" s="43">
        <f t="shared" si="82"/>
        <v>0.87929328947065732</v>
      </c>
      <c r="Z418" s="43">
        <f t="shared" si="73"/>
        <v>-5.58662412476622E-2</v>
      </c>
      <c r="AA418" s="43">
        <f t="shared" si="74"/>
        <v>2.6523875416941749</v>
      </c>
      <c r="AB418" s="43">
        <f t="shared" si="75"/>
        <v>0.58604300772885998</v>
      </c>
    </row>
    <row r="419" spans="1:28">
      <c r="A419" s="48" t="s">
        <v>54</v>
      </c>
      <c r="B419" s="50">
        <v>350</v>
      </c>
      <c r="C419" s="50">
        <v>2000</v>
      </c>
      <c r="D419" s="50">
        <v>7.31</v>
      </c>
      <c r="E419" s="50">
        <v>59.21994777188106</v>
      </c>
      <c r="F419" s="50">
        <v>2493.471485131834</v>
      </c>
      <c r="G419" s="57" t="s">
        <v>96</v>
      </c>
      <c r="H419" s="50">
        <v>0.22800000000000001</v>
      </c>
      <c r="I419" s="50">
        <v>66.8</v>
      </c>
      <c r="J419" s="50">
        <v>232</v>
      </c>
      <c r="K419" s="50">
        <v>2602</v>
      </c>
      <c r="L419" s="50">
        <v>0.7</v>
      </c>
      <c r="M419" s="50">
        <v>396.11</v>
      </c>
      <c r="N419" s="51">
        <v>307.75</v>
      </c>
      <c r="O419" s="43">
        <f t="shared" si="86"/>
        <v>0.30000000000000004</v>
      </c>
      <c r="P419" s="43">
        <f t="shared" si="76"/>
        <v>106.41594777188106</v>
      </c>
      <c r="Q419" s="43">
        <f t="shared" si="77"/>
        <v>4.0079679362565098E-5</v>
      </c>
      <c r="R419" s="43">
        <v>35</v>
      </c>
      <c r="S419" s="43">
        <f t="shared" si="78"/>
        <v>0.17499999999999999</v>
      </c>
      <c r="T419" s="43">
        <f t="shared" si="79"/>
        <v>41.07816970932555</v>
      </c>
      <c r="U419" s="43" t="str" cm="1">
        <f t="array" ref="U419">_xlfn.IFS(T419&lt;3,"Group I",T419&lt;5,"Group II",T419&lt;10,"Group III",T419&lt;20,"Group IV",T419&lt;50,"Group V",T419&lt;100,"Group VI",T419&lt;200,"Group VII",T419&lt;500,"Group VIII",T419&lt;1000,"Group IX",TRUE,"Group X")</f>
        <v>Group V</v>
      </c>
      <c r="V419" s="43">
        <f t="shared" si="80"/>
        <v>1.6136110848072149</v>
      </c>
      <c r="W419" s="43">
        <f t="shared" si="81"/>
        <v>1.7465209580838321</v>
      </c>
      <c r="X419" s="43">
        <f t="shared" si="72"/>
        <v>0.24217380149702536</v>
      </c>
      <c r="Y419" s="43">
        <f t="shared" si="82"/>
        <v>0.77693065057685995</v>
      </c>
      <c r="Z419" s="43">
        <f t="shared" si="73"/>
        <v>-0.10961774492615646</v>
      </c>
      <c r="AA419" s="43">
        <f t="shared" si="74"/>
        <v>2.3962935354072989</v>
      </c>
      <c r="AB419" s="43">
        <f t="shared" si="75"/>
        <v>0.56688470842693772</v>
      </c>
    </row>
    <row r="420" spans="1:28">
      <c r="A420" s="48" t="s">
        <v>54</v>
      </c>
      <c r="B420" s="50">
        <v>350</v>
      </c>
      <c r="C420" s="50">
        <v>2400</v>
      </c>
      <c r="D420" s="50">
        <v>7.31</v>
      </c>
      <c r="E420" s="50">
        <v>59.21994777188106</v>
      </c>
      <c r="F420" s="50">
        <v>2493.471485131834</v>
      </c>
      <c r="G420" s="57" t="s">
        <v>96</v>
      </c>
      <c r="H420" s="50">
        <v>0.22800000000000001</v>
      </c>
      <c r="I420" s="50">
        <v>66.8</v>
      </c>
      <c r="J420" s="50">
        <v>232</v>
      </c>
      <c r="K420" s="50">
        <v>2602</v>
      </c>
      <c r="L420" s="50">
        <v>0.7</v>
      </c>
      <c r="M420" s="50">
        <v>415.24</v>
      </c>
      <c r="N420" s="51">
        <v>231.39</v>
      </c>
      <c r="O420" s="43">
        <f t="shared" si="86"/>
        <v>0.30000000000000004</v>
      </c>
      <c r="P420" s="43">
        <f t="shared" si="76"/>
        <v>106.41594777188106</v>
      </c>
      <c r="Q420" s="43">
        <f t="shared" si="77"/>
        <v>4.0079679362565098E-5</v>
      </c>
      <c r="R420" s="43">
        <v>35</v>
      </c>
      <c r="S420" s="43">
        <f t="shared" si="78"/>
        <v>0.14583333333333334</v>
      </c>
      <c r="T420" s="43">
        <f t="shared" si="79"/>
        <v>37.499066951371731</v>
      </c>
      <c r="U420" s="43" t="str" cm="1">
        <f t="array" ref="U420">_xlfn.IFS(T420&lt;3,"Group I",T420&lt;5,"Group II",T420&lt;10,"Group III",T420&lt;20,"Group IV",T420&lt;50,"Group V",T420&lt;100,"Group VI",T420&lt;200,"Group VII",T420&lt;500,"Group VIII",T420&lt;1000,"Group IX",TRUE,"Group X")</f>
        <v>Group V</v>
      </c>
      <c r="V420" s="43">
        <f t="shared" si="80"/>
        <v>1.5740204617834026</v>
      </c>
      <c r="W420" s="43">
        <f t="shared" si="81"/>
        <v>2.0958251497005986</v>
      </c>
      <c r="X420" s="43">
        <f t="shared" ref="X420:X483" si="87">LOG(W420)</f>
        <v>0.32135504754465022</v>
      </c>
      <c r="Y420" s="43">
        <f t="shared" si="82"/>
        <v>0.55724400346787395</v>
      </c>
      <c r="Z420" s="43">
        <f t="shared" ref="Z420:Z483" si="88">LOG(Y420)</f>
        <v>-0.25395459628841582</v>
      </c>
      <c r="AA420" s="43">
        <f t="shared" ref="AA420:AA483" si="89">(10^-0.7321)*W420^0.04497*T420*0.307</f>
        <v>2.2055158020288079</v>
      </c>
      <c r="AB420" s="43">
        <f t="shared" ref="AB420:AB483" si="90">(10^-0.7272)*T420^0.2979</f>
        <v>0.55169709297988112</v>
      </c>
    </row>
    <row r="421" spans="1:28">
      <c r="A421" s="48" t="s">
        <v>54</v>
      </c>
      <c r="B421" s="50">
        <v>100</v>
      </c>
      <c r="C421" s="50">
        <v>300</v>
      </c>
      <c r="D421" s="50">
        <v>7.31</v>
      </c>
      <c r="E421" s="50">
        <v>59.21994777188106</v>
      </c>
      <c r="F421" s="50">
        <v>2493.471485131834</v>
      </c>
      <c r="G421" s="57" t="s">
        <v>96</v>
      </c>
      <c r="H421" s="50">
        <v>0.22800000000000001</v>
      </c>
      <c r="I421" s="50">
        <v>66.8</v>
      </c>
      <c r="J421" s="50">
        <v>232</v>
      </c>
      <c r="K421" s="50">
        <v>2602</v>
      </c>
      <c r="L421" s="50">
        <v>0.7</v>
      </c>
      <c r="M421" s="50">
        <v>597.75</v>
      </c>
      <c r="N421" s="51">
        <v>378.2</v>
      </c>
      <c r="O421" s="43">
        <f t="shared" si="86"/>
        <v>0.30000000000000004</v>
      </c>
      <c r="P421" s="43">
        <f t="shared" si="76"/>
        <v>106.41594777188106</v>
      </c>
      <c r="Q421" s="43">
        <f t="shared" si="77"/>
        <v>4.0079679362565098E-5</v>
      </c>
      <c r="R421" s="43">
        <v>35</v>
      </c>
      <c r="S421" s="43">
        <f t="shared" si="78"/>
        <v>0.33333333333333331</v>
      </c>
      <c r="T421" s="43">
        <f t="shared" si="79"/>
        <v>30.303822319409491</v>
      </c>
      <c r="U421" s="43" t="str" cm="1">
        <f t="array" ref="U421">_xlfn.IFS(T421&lt;3,"Group I",T421&lt;5,"Group II",T421&lt;10,"Group III",T421&lt;20,"Group IV",T421&lt;50,"Group V",T421&lt;100,"Group VI",T421&lt;200,"Group VII",T421&lt;500,"Group VIII",T421&lt;1000,"Group IX",TRUE,"Group X")</f>
        <v>Group V</v>
      </c>
      <c r="V421" s="43">
        <f t="shared" si="80"/>
        <v>1.4814974109290986</v>
      </c>
      <c r="W421" s="43">
        <f t="shared" si="81"/>
        <v>0.26197814371257483</v>
      </c>
      <c r="X421" s="43">
        <f t="shared" si="87"/>
        <v>-0.58173493944729338</v>
      </c>
      <c r="Y421" s="43">
        <f t="shared" si="82"/>
        <v>0.63270598076118778</v>
      </c>
      <c r="Z421" s="43">
        <f t="shared" si="88"/>
        <v>-0.19879806027879149</v>
      </c>
      <c r="AA421" s="43">
        <f t="shared" si="89"/>
        <v>1.6232117066437648</v>
      </c>
      <c r="AB421" s="43">
        <f t="shared" si="90"/>
        <v>0.51777142499148399</v>
      </c>
    </row>
    <row r="422" spans="1:28">
      <c r="A422" s="48" t="s">
        <v>54</v>
      </c>
      <c r="B422" s="50">
        <v>150</v>
      </c>
      <c r="C422" s="50">
        <v>300</v>
      </c>
      <c r="D422" s="50">
        <v>7.31</v>
      </c>
      <c r="E422" s="50">
        <v>59.21994777188106</v>
      </c>
      <c r="F422" s="50">
        <v>2493.471485131834</v>
      </c>
      <c r="G422" s="57" t="s">
        <v>96</v>
      </c>
      <c r="H422" s="50">
        <v>0.22800000000000001</v>
      </c>
      <c r="I422" s="50">
        <v>66.8</v>
      </c>
      <c r="J422" s="50">
        <v>232</v>
      </c>
      <c r="K422" s="50">
        <v>2602</v>
      </c>
      <c r="L422" s="50">
        <v>0.7</v>
      </c>
      <c r="M422" s="50">
        <v>655.42</v>
      </c>
      <c r="N422" s="51">
        <v>641.54</v>
      </c>
      <c r="O422" s="43">
        <f t="shared" si="86"/>
        <v>0.30000000000000004</v>
      </c>
      <c r="P422" s="43">
        <f t="shared" si="76"/>
        <v>106.41594777188106</v>
      </c>
      <c r="Q422" s="43">
        <f t="shared" si="77"/>
        <v>4.0079679362565098E-5</v>
      </c>
      <c r="R422" s="43">
        <v>35</v>
      </c>
      <c r="S422" s="43">
        <f t="shared" si="78"/>
        <v>0.5</v>
      </c>
      <c r="T422" s="43">
        <f t="shared" si="79"/>
        <v>45.455733479114237</v>
      </c>
      <c r="U422" s="43" t="str" cm="1">
        <f t="array" ref="U422">_xlfn.IFS(T422&lt;3,"Group I",T422&lt;5,"Group II",T422&lt;10,"Group III",T422&lt;20,"Group IV",T422&lt;50,"Group V",T422&lt;100,"Group VI",T422&lt;200,"Group VII",T422&lt;500,"Group VIII",T422&lt;1000,"Group IX",TRUE,"Group X")</f>
        <v>Group V</v>
      </c>
      <c r="V422" s="43">
        <f t="shared" si="80"/>
        <v>1.6575886699847799</v>
      </c>
      <c r="W422" s="43">
        <f t="shared" si="81"/>
        <v>0.26197814371257483</v>
      </c>
      <c r="X422" s="43">
        <f t="shared" si="87"/>
        <v>-0.58173493944729338</v>
      </c>
      <c r="Y422" s="43">
        <f t="shared" si="82"/>
        <v>0.97882273961734456</v>
      </c>
      <c r="Z422" s="43">
        <f t="shared" si="88"/>
        <v>-9.295949847814412E-3</v>
      </c>
      <c r="AA422" s="43">
        <f t="shared" si="89"/>
        <v>2.4348175599656474</v>
      </c>
      <c r="AB422" s="43">
        <f t="shared" si="90"/>
        <v>0.58424588845143843</v>
      </c>
    </row>
    <row r="423" spans="1:28">
      <c r="A423" s="48" t="s">
        <v>54</v>
      </c>
      <c r="B423" s="50">
        <v>200</v>
      </c>
      <c r="C423" s="50">
        <v>300</v>
      </c>
      <c r="D423" s="50">
        <v>7.31</v>
      </c>
      <c r="E423" s="50">
        <v>59.21994777188106</v>
      </c>
      <c r="F423" s="50">
        <v>2493.471485131834</v>
      </c>
      <c r="G423" s="57" t="s">
        <v>96</v>
      </c>
      <c r="H423" s="50">
        <v>0.22800000000000001</v>
      </c>
      <c r="I423" s="50">
        <v>66.8</v>
      </c>
      <c r="J423" s="50">
        <v>232</v>
      </c>
      <c r="K423" s="50">
        <v>2602</v>
      </c>
      <c r="L423" s="50">
        <v>0.7</v>
      </c>
      <c r="M423" s="50">
        <v>730.55</v>
      </c>
      <c r="N423" s="51">
        <v>800.99</v>
      </c>
      <c r="O423" s="43">
        <f t="shared" si="86"/>
        <v>0.30000000000000004</v>
      </c>
      <c r="P423" s="43">
        <f t="shared" si="76"/>
        <v>106.41594777188106</v>
      </c>
      <c r="Q423" s="43">
        <f t="shared" si="77"/>
        <v>4.0079679362565098E-5</v>
      </c>
      <c r="R423" s="43">
        <v>35</v>
      </c>
      <c r="S423" s="43">
        <f t="shared" si="78"/>
        <v>0.66666666666666663</v>
      </c>
      <c r="T423" s="43">
        <f t="shared" si="79"/>
        <v>60.607644638818982</v>
      </c>
      <c r="U423" s="43" t="str" cm="1">
        <f t="array" ref="U423">_xlfn.IFS(T423&lt;3,"Group I",T423&lt;5,"Group II",T423&lt;10,"Group III",T423&lt;20,"Group IV",T423&lt;50,"Group V",T423&lt;100,"Group VI",T423&lt;200,"Group VII",T423&lt;500,"Group VIII",T423&lt;1000,"Group IX",TRUE,"Group X")</f>
        <v>Group VI</v>
      </c>
      <c r="V423" s="43">
        <f t="shared" si="80"/>
        <v>1.7825274065930798</v>
      </c>
      <c r="W423" s="43">
        <f t="shared" si="81"/>
        <v>0.26197814371257483</v>
      </c>
      <c r="X423" s="43">
        <f t="shared" si="87"/>
        <v>-0.58173493944729338</v>
      </c>
      <c r="Y423" s="43">
        <f t="shared" si="82"/>
        <v>1.0964205050988982</v>
      </c>
      <c r="Z423" s="43">
        <f t="shared" si="88"/>
        <v>3.9977149056469791E-2</v>
      </c>
      <c r="AA423" s="43">
        <f t="shared" si="89"/>
        <v>3.2464234132875296</v>
      </c>
      <c r="AB423" s="43">
        <f t="shared" si="90"/>
        <v>0.6365241922142657</v>
      </c>
    </row>
    <row r="424" spans="1:28">
      <c r="A424" s="48" t="s">
        <v>54</v>
      </c>
      <c r="B424" s="50">
        <v>250</v>
      </c>
      <c r="C424" s="50">
        <v>300</v>
      </c>
      <c r="D424" s="50">
        <v>7.31</v>
      </c>
      <c r="E424" s="50">
        <v>59.21994777188106</v>
      </c>
      <c r="F424" s="50">
        <v>2493.471485131834</v>
      </c>
      <c r="G424" s="57" t="s">
        <v>96</v>
      </c>
      <c r="H424" s="50">
        <v>0.22800000000000001</v>
      </c>
      <c r="I424" s="50">
        <v>66.8</v>
      </c>
      <c r="J424" s="50">
        <v>232</v>
      </c>
      <c r="K424" s="50">
        <v>2602</v>
      </c>
      <c r="L424" s="50">
        <v>0.7</v>
      </c>
      <c r="M424" s="50">
        <v>836.48</v>
      </c>
      <c r="N424" s="51">
        <v>979.5</v>
      </c>
      <c r="O424" s="43">
        <f t="shared" si="86"/>
        <v>0.30000000000000004</v>
      </c>
      <c r="P424" s="43">
        <f t="shared" si="76"/>
        <v>106.41594777188106</v>
      </c>
      <c r="Q424" s="43">
        <f t="shared" si="77"/>
        <v>4.0079679362565098E-5</v>
      </c>
      <c r="R424" s="43">
        <v>35</v>
      </c>
      <c r="S424" s="43">
        <f t="shared" si="78"/>
        <v>0.83333333333333337</v>
      </c>
      <c r="T424" s="43">
        <f t="shared" si="79"/>
        <v>75.759555798523735</v>
      </c>
      <c r="U424" s="43" t="str" cm="1">
        <f t="array" ref="U424">_xlfn.IFS(T424&lt;3,"Group I",T424&lt;5,"Group II",T424&lt;10,"Group III",T424&lt;20,"Group IV",T424&lt;50,"Group V",T424&lt;100,"Group VI",T424&lt;200,"Group VII",T424&lt;500,"Group VIII",T424&lt;1000,"Group IX",TRUE,"Group X")</f>
        <v>Group VI</v>
      </c>
      <c r="V424" s="43">
        <f t="shared" si="80"/>
        <v>1.8794374196011363</v>
      </c>
      <c r="W424" s="43">
        <f t="shared" si="81"/>
        <v>0.26197814371257483</v>
      </c>
      <c r="X424" s="43">
        <f t="shared" si="87"/>
        <v>-0.58173493944729338</v>
      </c>
      <c r="Y424" s="43">
        <f t="shared" si="82"/>
        <v>1.1709783856159144</v>
      </c>
      <c r="Z424" s="43">
        <f t="shared" si="88"/>
        <v>6.854887876632372E-2</v>
      </c>
      <c r="AA424" s="43">
        <f t="shared" si="89"/>
        <v>4.0580292666094131</v>
      </c>
      <c r="AB424" s="43">
        <f t="shared" si="90"/>
        <v>0.68027483756484008</v>
      </c>
    </row>
    <row r="425" spans="1:28">
      <c r="A425" s="48" t="s">
        <v>54</v>
      </c>
      <c r="B425" s="50">
        <v>300</v>
      </c>
      <c r="C425" s="50">
        <v>300</v>
      </c>
      <c r="D425" s="50">
        <v>7.31</v>
      </c>
      <c r="E425" s="50">
        <v>59.21994777188106</v>
      </c>
      <c r="F425" s="50">
        <v>2493.471485131834</v>
      </c>
      <c r="G425" s="57" t="s">
        <v>96</v>
      </c>
      <c r="H425" s="50">
        <v>0.22800000000000001</v>
      </c>
      <c r="I425" s="50">
        <v>66.8</v>
      </c>
      <c r="J425" s="50">
        <v>232</v>
      </c>
      <c r="K425" s="50">
        <v>2602</v>
      </c>
      <c r="L425" s="50">
        <v>0.7</v>
      </c>
      <c r="M425" s="50">
        <v>815.94</v>
      </c>
      <c r="N425" s="51">
        <v>1267.5999999999999</v>
      </c>
      <c r="O425" s="43">
        <f t="shared" si="86"/>
        <v>0.30000000000000004</v>
      </c>
      <c r="P425" s="43">
        <f t="shared" si="76"/>
        <v>106.41594777188106</v>
      </c>
      <c r="Q425" s="43">
        <f t="shared" si="77"/>
        <v>4.0079679362565098E-5</v>
      </c>
      <c r="R425" s="43">
        <v>35</v>
      </c>
      <c r="S425" s="43">
        <f t="shared" si="78"/>
        <v>1</v>
      </c>
      <c r="T425" s="43">
        <f t="shared" si="79"/>
        <v>90.911466958228473</v>
      </c>
      <c r="U425" s="43" t="str" cm="1">
        <f t="array" ref="U425">_xlfn.IFS(T425&lt;3,"Group I",T425&lt;5,"Group II",T425&lt;10,"Group III",T425&lt;20,"Group IV",T425&lt;50,"Group V",T425&lt;100,"Group VI",T425&lt;200,"Group VII",T425&lt;500,"Group VIII",T425&lt;1000,"Group IX",TRUE,"Group X")</f>
        <v>Group VI</v>
      </c>
      <c r="V425" s="43">
        <f t="shared" si="80"/>
        <v>1.9586186656487612</v>
      </c>
      <c r="W425" s="43">
        <f t="shared" si="81"/>
        <v>0.26197814371257483</v>
      </c>
      <c r="X425" s="43">
        <f t="shared" si="87"/>
        <v>-0.58173493944729338</v>
      </c>
      <c r="Y425" s="43">
        <f t="shared" si="82"/>
        <v>1.5535456038434197</v>
      </c>
      <c r="Z425" s="43">
        <f t="shared" si="88"/>
        <v>0.19132400635626898</v>
      </c>
      <c r="AA425" s="43">
        <f t="shared" si="89"/>
        <v>4.8696351199312948</v>
      </c>
      <c r="AB425" s="43">
        <f t="shared" si="90"/>
        <v>0.71824481663346817</v>
      </c>
    </row>
    <row r="426" spans="1:28">
      <c r="A426" s="48" t="s">
        <v>54</v>
      </c>
      <c r="B426" s="50">
        <v>100</v>
      </c>
      <c r="C426" s="50">
        <v>600</v>
      </c>
      <c r="D426" s="50">
        <v>7.31</v>
      </c>
      <c r="E426" s="50">
        <v>59.21994777188106</v>
      </c>
      <c r="F426" s="50">
        <v>2493.471485131834</v>
      </c>
      <c r="G426" s="57" t="s">
        <v>96</v>
      </c>
      <c r="H426" s="50">
        <v>0.22800000000000001</v>
      </c>
      <c r="I426" s="50">
        <v>66.8</v>
      </c>
      <c r="J426" s="50">
        <v>232</v>
      </c>
      <c r="K426" s="50">
        <v>2602</v>
      </c>
      <c r="L426" s="50">
        <v>0.7</v>
      </c>
      <c r="M426" s="50">
        <v>515.46</v>
      </c>
      <c r="N426" s="51">
        <v>264.45</v>
      </c>
      <c r="O426" s="43">
        <f t="shared" si="86"/>
        <v>0.30000000000000004</v>
      </c>
      <c r="P426" s="43">
        <f t="shared" si="76"/>
        <v>106.41594777188106</v>
      </c>
      <c r="Q426" s="43">
        <f t="shared" si="77"/>
        <v>4.0079679362565098E-5</v>
      </c>
      <c r="R426" s="43">
        <v>35</v>
      </c>
      <c r="S426" s="43">
        <f t="shared" si="78"/>
        <v>0.16666666666666666</v>
      </c>
      <c r="T426" s="43">
        <f t="shared" si="79"/>
        <v>21.428038257926705</v>
      </c>
      <c r="U426" s="43" t="str" cm="1">
        <f t="array" ref="U426">_xlfn.IFS(T426&lt;3,"Group I",T426&lt;5,"Group II",T426&lt;10,"Group III",T426&lt;20,"Group IV",T426&lt;50,"Group V",T426&lt;100,"Group VI",T426&lt;200,"Group VII",T426&lt;500,"Group VIII",T426&lt;1000,"Group IX",TRUE,"Group X")</f>
        <v>Group V</v>
      </c>
      <c r="V426" s="43">
        <f t="shared" si="80"/>
        <v>1.3309824130971082</v>
      </c>
      <c r="W426" s="43">
        <f t="shared" si="81"/>
        <v>0.52395628742514966</v>
      </c>
      <c r="X426" s="43">
        <f t="shared" si="87"/>
        <v>-0.28070494378331218</v>
      </c>
      <c r="Y426" s="43">
        <f t="shared" si="82"/>
        <v>0.51303689908043293</v>
      </c>
      <c r="Z426" s="43">
        <f t="shared" si="88"/>
        <v>-0.28985139806416582</v>
      </c>
      <c r="AA426" s="43">
        <f t="shared" si="89"/>
        <v>1.18412482806144</v>
      </c>
      <c r="AB426" s="43">
        <f t="shared" si="90"/>
        <v>0.46698148389420779</v>
      </c>
    </row>
    <row r="427" spans="1:28">
      <c r="A427" s="48" t="s">
        <v>54</v>
      </c>
      <c r="B427" s="50">
        <v>150</v>
      </c>
      <c r="C427" s="50">
        <v>600</v>
      </c>
      <c r="D427" s="50">
        <v>7.31</v>
      </c>
      <c r="E427" s="50">
        <v>59.21994777188106</v>
      </c>
      <c r="F427" s="50">
        <v>2493.471485131834</v>
      </c>
      <c r="G427" s="57" t="s">
        <v>96</v>
      </c>
      <c r="H427" s="50">
        <v>0.22800000000000001</v>
      </c>
      <c r="I427" s="50">
        <v>66.8</v>
      </c>
      <c r="J427" s="50">
        <v>232</v>
      </c>
      <c r="K427" s="50">
        <v>2602</v>
      </c>
      <c r="L427" s="50">
        <v>0.7</v>
      </c>
      <c r="M427" s="50">
        <v>571</v>
      </c>
      <c r="N427" s="51">
        <v>339</v>
      </c>
      <c r="O427" s="43">
        <f t="shared" si="86"/>
        <v>0.30000000000000004</v>
      </c>
      <c r="P427" s="43">
        <f t="shared" si="76"/>
        <v>106.41594777188106</v>
      </c>
      <c r="Q427" s="43">
        <f t="shared" si="77"/>
        <v>4.0079679362565098E-5</v>
      </c>
      <c r="R427" s="43">
        <v>35</v>
      </c>
      <c r="S427" s="43">
        <f t="shared" si="78"/>
        <v>0.25</v>
      </c>
      <c r="T427" s="43">
        <f t="shared" si="79"/>
        <v>32.142057386890059</v>
      </c>
      <c r="U427" s="43" t="str" cm="1">
        <f t="array" ref="U427">_xlfn.IFS(T427&lt;3,"Group I",T427&lt;5,"Group II",T427&lt;10,"Group III",T427&lt;20,"Group IV",T427&lt;50,"Group V",T427&lt;100,"Group VI",T427&lt;200,"Group VII",T427&lt;500,"Group VIII",T427&lt;1000,"Group IX",TRUE,"Group X")</f>
        <v>Group V</v>
      </c>
      <c r="V427" s="43">
        <f t="shared" si="80"/>
        <v>1.5070736721527893</v>
      </c>
      <c r="W427" s="43">
        <f t="shared" si="81"/>
        <v>0.52395628742514966</v>
      </c>
      <c r="X427" s="43">
        <f t="shared" si="87"/>
        <v>-0.28070494378331218</v>
      </c>
      <c r="Y427" s="43">
        <f t="shared" si="82"/>
        <v>0.59369527145359025</v>
      </c>
      <c r="Z427" s="43">
        <f t="shared" si="88"/>
        <v>-0.22643641004276585</v>
      </c>
      <c r="AA427" s="43">
        <f t="shared" si="89"/>
        <v>1.7761872420921603</v>
      </c>
      <c r="AB427" s="43">
        <f t="shared" si="90"/>
        <v>0.52693524358288024</v>
      </c>
    </row>
    <row r="428" spans="1:28">
      <c r="A428" s="48" t="s">
        <v>54</v>
      </c>
      <c r="B428" s="50">
        <v>200</v>
      </c>
      <c r="C428" s="50">
        <v>600</v>
      </c>
      <c r="D428" s="50">
        <v>7.31</v>
      </c>
      <c r="E428" s="50">
        <v>59.21994777188106</v>
      </c>
      <c r="F428" s="50">
        <v>2493.471485131834</v>
      </c>
      <c r="G428" s="57" t="s">
        <v>96</v>
      </c>
      <c r="H428" s="50">
        <v>0.22800000000000001</v>
      </c>
      <c r="I428" s="50">
        <v>66.8</v>
      </c>
      <c r="J428" s="50">
        <v>232</v>
      </c>
      <c r="K428" s="50">
        <v>2602</v>
      </c>
      <c r="L428" s="50">
        <v>0.7</v>
      </c>
      <c r="M428" s="50">
        <v>579</v>
      </c>
      <c r="N428" s="51">
        <v>422.58</v>
      </c>
      <c r="O428" s="43">
        <f t="shared" si="86"/>
        <v>0.30000000000000004</v>
      </c>
      <c r="P428" s="43">
        <f t="shared" si="76"/>
        <v>106.41594777188106</v>
      </c>
      <c r="Q428" s="43">
        <f t="shared" si="77"/>
        <v>4.0079679362565098E-5</v>
      </c>
      <c r="R428" s="43">
        <v>35</v>
      </c>
      <c r="S428" s="43">
        <f t="shared" si="78"/>
        <v>0.33333333333333331</v>
      </c>
      <c r="T428" s="43">
        <f t="shared" si="79"/>
        <v>42.85607651585341</v>
      </c>
      <c r="U428" s="43" t="str" cm="1">
        <f t="array" ref="U428">_xlfn.IFS(T428&lt;3,"Group I",T428&lt;5,"Group II",T428&lt;10,"Group III",T428&lt;20,"Group IV",T428&lt;50,"Group V",T428&lt;100,"Group VI",T428&lt;200,"Group VII",T428&lt;500,"Group VIII",T428&lt;1000,"Group IX",TRUE,"Group X")</f>
        <v>Group V</v>
      </c>
      <c r="V428" s="43">
        <f t="shared" si="80"/>
        <v>1.6320124087610894</v>
      </c>
      <c r="W428" s="43">
        <f t="shared" si="81"/>
        <v>0.52395628742514966</v>
      </c>
      <c r="X428" s="43">
        <f t="shared" si="87"/>
        <v>-0.28070494378331218</v>
      </c>
      <c r="Y428" s="43">
        <f t="shared" si="82"/>
        <v>0.72984455958549221</v>
      </c>
      <c r="Z428" s="43">
        <f t="shared" si="88"/>
        <v>-0.1367696249514613</v>
      </c>
      <c r="AA428" s="43">
        <f t="shared" si="89"/>
        <v>2.3682496561228801</v>
      </c>
      <c r="AB428" s="43">
        <f t="shared" si="90"/>
        <v>0.57408539264148994</v>
      </c>
    </row>
    <row r="429" spans="1:28">
      <c r="A429" s="48" t="s">
        <v>54</v>
      </c>
      <c r="B429" s="50">
        <v>250</v>
      </c>
      <c r="C429" s="50">
        <v>600</v>
      </c>
      <c r="D429" s="50">
        <v>7.31</v>
      </c>
      <c r="E429" s="50">
        <v>59.21994777188106</v>
      </c>
      <c r="F429" s="50">
        <v>2493.471485131834</v>
      </c>
      <c r="G429" s="57" t="s">
        <v>96</v>
      </c>
      <c r="H429" s="50">
        <v>0.22800000000000001</v>
      </c>
      <c r="I429" s="50">
        <v>66.8</v>
      </c>
      <c r="J429" s="50">
        <v>232</v>
      </c>
      <c r="K429" s="50">
        <v>2602</v>
      </c>
      <c r="L429" s="50">
        <v>0.7</v>
      </c>
      <c r="M429" s="50">
        <v>585</v>
      </c>
      <c r="N429" s="51">
        <v>643</v>
      </c>
      <c r="O429" s="43">
        <f t="shared" si="86"/>
        <v>0.30000000000000004</v>
      </c>
      <c r="P429" s="43">
        <f t="shared" si="76"/>
        <v>106.41594777188106</v>
      </c>
      <c r="Q429" s="43">
        <f t="shared" si="77"/>
        <v>4.0079679362565098E-5</v>
      </c>
      <c r="R429" s="43">
        <v>35</v>
      </c>
      <c r="S429" s="43">
        <f t="shared" si="78"/>
        <v>0.41666666666666669</v>
      </c>
      <c r="T429" s="43">
        <f t="shared" si="79"/>
        <v>53.57009564481676</v>
      </c>
      <c r="U429" s="43" t="str" cm="1">
        <f t="array" ref="U429">_xlfn.IFS(T429&lt;3,"Group I",T429&lt;5,"Group II",T429&lt;10,"Group III",T429&lt;20,"Group IV",T429&lt;50,"Group V",T429&lt;100,"Group VI",T429&lt;200,"Group VII",T429&lt;500,"Group VIII",T429&lt;1000,"Group IX",TRUE,"Group X")</f>
        <v>Group VI</v>
      </c>
      <c r="V429" s="43">
        <f t="shared" si="80"/>
        <v>1.7289224217691457</v>
      </c>
      <c r="W429" s="43">
        <f t="shared" si="81"/>
        <v>0.52395628742514966</v>
      </c>
      <c r="X429" s="43">
        <f t="shared" si="87"/>
        <v>-0.28070494378331218</v>
      </c>
      <c r="Y429" s="43">
        <f t="shared" si="82"/>
        <v>1.0991452991452992</v>
      </c>
      <c r="Z429" s="43">
        <f t="shared" si="88"/>
        <v>4.105510684204166E-2</v>
      </c>
      <c r="AA429" s="43">
        <f t="shared" si="89"/>
        <v>2.9603120701535999</v>
      </c>
      <c r="AB429" s="43">
        <f t="shared" si="90"/>
        <v>0.61354438999244731</v>
      </c>
    </row>
    <row r="430" spans="1:28">
      <c r="A430" s="48" t="s">
        <v>54</v>
      </c>
      <c r="B430" s="50">
        <v>300</v>
      </c>
      <c r="C430" s="50">
        <v>600</v>
      </c>
      <c r="D430" s="50">
        <v>7.31</v>
      </c>
      <c r="E430" s="50">
        <v>59.21994777188106</v>
      </c>
      <c r="F430" s="50">
        <v>2493.471485131834</v>
      </c>
      <c r="G430" s="57" t="s">
        <v>96</v>
      </c>
      <c r="H430" s="50">
        <v>0.22800000000000001</v>
      </c>
      <c r="I430" s="50">
        <v>66.8</v>
      </c>
      <c r="J430" s="50">
        <v>232</v>
      </c>
      <c r="K430" s="50">
        <v>2602</v>
      </c>
      <c r="L430" s="50">
        <v>0.7</v>
      </c>
      <c r="M430" s="50">
        <v>600</v>
      </c>
      <c r="N430" s="51">
        <v>911.78</v>
      </c>
      <c r="O430" s="43">
        <f t="shared" si="86"/>
        <v>0.30000000000000004</v>
      </c>
      <c r="P430" s="43">
        <f t="shared" si="76"/>
        <v>106.41594777188106</v>
      </c>
      <c r="Q430" s="43">
        <f t="shared" si="77"/>
        <v>4.0079679362565098E-5</v>
      </c>
      <c r="R430" s="43">
        <v>35</v>
      </c>
      <c r="S430" s="43">
        <f t="shared" si="78"/>
        <v>0.5</v>
      </c>
      <c r="T430" s="43">
        <f t="shared" si="79"/>
        <v>64.284114773780118</v>
      </c>
      <c r="U430" s="43" t="str" cm="1">
        <f t="array" ref="U430">_xlfn.IFS(T430&lt;3,"Group I",T430&lt;5,"Group II",T430&lt;10,"Group III",T430&lt;20,"Group IV",T430&lt;50,"Group V",T430&lt;100,"Group VI",T430&lt;200,"Group VII",T430&lt;500,"Group VIII",T430&lt;1000,"Group IX",TRUE,"Group X")</f>
        <v>Group VI</v>
      </c>
      <c r="V430" s="43">
        <f t="shared" si="80"/>
        <v>1.8081036678167706</v>
      </c>
      <c r="W430" s="43">
        <f t="shared" si="81"/>
        <v>0.52395628742514966</v>
      </c>
      <c r="X430" s="43">
        <f t="shared" si="87"/>
        <v>-0.28070494378331218</v>
      </c>
      <c r="Y430" s="43">
        <f t="shared" si="82"/>
        <v>1.5196333333333334</v>
      </c>
      <c r="Z430" s="43">
        <f t="shared" si="88"/>
        <v>0.18173881128697156</v>
      </c>
      <c r="AA430" s="43">
        <f t="shared" si="89"/>
        <v>3.5523744841843206</v>
      </c>
      <c r="AB430" s="43">
        <f t="shared" si="90"/>
        <v>0.64778976606585981</v>
      </c>
    </row>
    <row r="431" spans="1:28">
      <c r="A431" s="48" t="s">
        <v>54</v>
      </c>
      <c r="B431" s="50">
        <v>100</v>
      </c>
      <c r="C431" s="50">
        <v>900</v>
      </c>
      <c r="D431" s="50">
        <v>7.31</v>
      </c>
      <c r="E431" s="50">
        <v>59.21994777188106</v>
      </c>
      <c r="F431" s="50">
        <v>2493.471485131834</v>
      </c>
      <c r="G431" s="57" t="s">
        <v>96</v>
      </c>
      <c r="H431" s="50">
        <v>0.22800000000000001</v>
      </c>
      <c r="I431" s="50">
        <v>66.8</v>
      </c>
      <c r="J431" s="50">
        <v>232</v>
      </c>
      <c r="K431" s="50">
        <v>2602</v>
      </c>
      <c r="L431" s="50">
        <v>0.7</v>
      </c>
      <c r="M431" s="50">
        <v>388.6</v>
      </c>
      <c r="N431" s="51">
        <v>146.1</v>
      </c>
      <c r="O431" s="43">
        <f t="shared" si="86"/>
        <v>0.30000000000000004</v>
      </c>
      <c r="P431" s="43">
        <f t="shared" si="76"/>
        <v>106.41594777188106</v>
      </c>
      <c r="Q431" s="43">
        <f t="shared" si="77"/>
        <v>4.0079679362565098E-5</v>
      </c>
      <c r="R431" s="43">
        <v>35</v>
      </c>
      <c r="S431" s="43">
        <f t="shared" si="78"/>
        <v>0.1111111111111111</v>
      </c>
      <c r="T431" s="43">
        <f t="shared" si="79"/>
        <v>17.495919973585661</v>
      </c>
      <c r="U431" s="43" t="str" cm="1">
        <f t="array" ref="U431">_xlfn.IFS(T431&lt;3,"Group I",T431&lt;5,"Group II",T431&lt;10,"Group III",T431&lt;20,"Group IV",T431&lt;50,"Group V",T431&lt;100,"Group VI",T431&lt;200,"Group VII",T431&lt;500,"Group VIII",T431&lt;1000,"Group IX",TRUE,"Group X")</f>
        <v>Group IV</v>
      </c>
      <c r="V431" s="43">
        <f t="shared" si="80"/>
        <v>1.2429367835692675</v>
      </c>
      <c r="W431" s="43">
        <f t="shared" si="81"/>
        <v>0.78593443113772454</v>
      </c>
      <c r="X431" s="43">
        <f t="shared" si="87"/>
        <v>-0.10461368472763093</v>
      </c>
      <c r="Y431" s="43">
        <f t="shared" si="82"/>
        <v>0.37596500257334015</v>
      </c>
      <c r="Z431" s="43">
        <f t="shared" si="88"/>
        <v>-0.42485258032946699</v>
      </c>
      <c r="AA431" s="43">
        <f t="shared" si="89"/>
        <v>0.98462459908706423</v>
      </c>
      <c r="AB431" s="43">
        <f t="shared" si="90"/>
        <v>0.43961334533840629</v>
      </c>
    </row>
    <row r="432" spans="1:28">
      <c r="A432" s="48" t="s">
        <v>54</v>
      </c>
      <c r="B432" s="50">
        <v>150</v>
      </c>
      <c r="C432" s="50">
        <v>900</v>
      </c>
      <c r="D432" s="50">
        <v>7.31</v>
      </c>
      <c r="E432" s="50">
        <v>59.21994777188106</v>
      </c>
      <c r="F432" s="50">
        <v>2493.471485131834</v>
      </c>
      <c r="G432" s="57" t="s">
        <v>96</v>
      </c>
      <c r="H432" s="50">
        <v>0.22800000000000001</v>
      </c>
      <c r="I432" s="50">
        <v>66.8</v>
      </c>
      <c r="J432" s="50">
        <v>232</v>
      </c>
      <c r="K432" s="50">
        <v>2602</v>
      </c>
      <c r="L432" s="50">
        <v>0.7</v>
      </c>
      <c r="M432" s="50">
        <v>491.83</v>
      </c>
      <c r="N432" s="51">
        <v>189.85</v>
      </c>
      <c r="O432" s="43">
        <f t="shared" si="86"/>
        <v>0.30000000000000004</v>
      </c>
      <c r="P432" s="43">
        <f t="shared" si="76"/>
        <v>106.41594777188106</v>
      </c>
      <c r="Q432" s="43">
        <f t="shared" si="77"/>
        <v>4.0079679362565098E-5</v>
      </c>
      <c r="R432" s="43">
        <v>35</v>
      </c>
      <c r="S432" s="43">
        <f t="shared" si="78"/>
        <v>0.16666666666666666</v>
      </c>
      <c r="T432" s="43">
        <f t="shared" si="79"/>
        <v>26.243879960378489</v>
      </c>
      <c r="U432" s="43" t="str" cm="1">
        <f t="array" ref="U432">_xlfn.IFS(T432&lt;3,"Group I",T432&lt;5,"Group II",T432&lt;10,"Group III",T432&lt;20,"Group IV",T432&lt;50,"Group V",T432&lt;100,"Group VI",T432&lt;200,"Group VII",T432&lt;500,"Group VIII",T432&lt;1000,"Group IX",TRUE,"Group X")</f>
        <v>Group V</v>
      </c>
      <c r="V432" s="43">
        <f t="shared" si="80"/>
        <v>1.4190280426249486</v>
      </c>
      <c r="W432" s="43">
        <f t="shared" si="81"/>
        <v>0.78593443113772454</v>
      </c>
      <c r="X432" s="43">
        <f t="shared" si="87"/>
        <v>-0.10461368472763093</v>
      </c>
      <c r="Y432" s="43">
        <f t="shared" si="82"/>
        <v>0.38600736026675886</v>
      </c>
      <c r="Z432" s="43">
        <f t="shared" si="88"/>
        <v>-0.41340441425890989</v>
      </c>
      <c r="AA432" s="43">
        <f t="shared" si="89"/>
        <v>1.4769368986305962</v>
      </c>
      <c r="AB432" s="43">
        <f t="shared" si="90"/>
        <v>0.49605342652227413</v>
      </c>
    </row>
    <row r="433" spans="1:28">
      <c r="A433" s="48" t="s">
        <v>54</v>
      </c>
      <c r="B433" s="50">
        <v>200</v>
      </c>
      <c r="C433" s="50">
        <v>900</v>
      </c>
      <c r="D433" s="50">
        <v>7.31</v>
      </c>
      <c r="E433" s="50">
        <v>59.21994777188106</v>
      </c>
      <c r="F433" s="50">
        <v>2493.471485131834</v>
      </c>
      <c r="G433" s="57" t="s">
        <v>96</v>
      </c>
      <c r="H433" s="50">
        <v>0.22800000000000001</v>
      </c>
      <c r="I433" s="50">
        <v>66.8</v>
      </c>
      <c r="J433" s="50">
        <v>232</v>
      </c>
      <c r="K433" s="50">
        <v>2602</v>
      </c>
      <c r="L433" s="50">
        <v>0.7</v>
      </c>
      <c r="M433" s="50">
        <v>318.89999999999998</v>
      </c>
      <c r="N433" s="51">
        <v>256</v>
      </c>
      <c r="O433" s="43">
        <f t="shared" si="86"/>
        <v>0.30000000000000004</v>
      </c>
      <c r="P433" s="43">
        <f t="shared" si="76"/>
        <v>106.41594777188106</v>
      </c>
      <c r="Q433" s="43">
        <f t="shared" si="77"/>
        <v>4.0079679362565098E-5</v>
      </c>
      <c r="R433" s="43">
        <v>35</v>
      </c>
      <c r="S433" s="43">
        <f t="shared" si="78"/>
        <v>0.22222222222222221</v>
      </c>
      <c r="T433" s="43">
        <f t="shared" si="79"/>
        <v>34.991839947171322</v>
      </c>
      <c r="U433" s="43" t="str" cm="1">
        <f t="array" ref="U433">_xlfn.IFS(T433&lt;3,"Group I",T433&lt;5,"Group II",T433&lt;10,"Group III",T433&lt;20,"Group IV",T433&lt;50,"Group V",T433&lt;100,"Group VI",T433&lt;200,"Group VII",T433&lt;500,"Group VIII",T433&lt;1000,"Group IX",TRUE,"Group X")</f>
        <v>Group V</v>
      </c>
      <c r="V433" s="43">
        <f t="shared" si="80"/>
        <v>1.5439667792332488</v>
      </c>
      <c r="W433" s="43">
        <f t="shared" si="81"/>
        <v>0.78593443113772454</v>
      </c>
      <c r="X433" s="43">
        <f t="shared" si="87"/>
        <v>-0.10461368472763093</v>
      </c>
      <c r="Y433" s="43">
        <f t="shared" si="82"/>
        <v>0.80275948573220446</v>
      </c>
      <c r="Z433" s="43">
        <f t="shared" si="88"/>
        <v>-9.5414553931109633E-2</v>
      </c>
      <c r="AA433" s="43">
        <f t="shared" si="89"/>
        <v>1.9692491981741285</v>
      </c>
      <c r="AB433" s="43">
        <f t="shared" si="90"/>
        <v>0.54044027155948704</v>
      </c>
    </row>
    <row r="434" spans="1:28">
      <c r="A434" s="48" t="s">
        <v>54</v>
      </c>
      <c r="B434" s="50">
        <v>250</v>
      </c>
      <c r="C434" s="50">
        <v>900</v>
      </c>
      <c r="D434" s="50">
        <v>7.31</v>
      </c>
      <c r="E434" s="50">
        <v>59.21994777188106</v>
      </c>
      <c r="F434" s="50">
        <v>2493.471485131834</v>
      </c>
      <c r="G434" s="57" t="s">
        <v>96</v>
      </c>
      <c r="H434" s="50">
        <v>0.22800000000000001</v>
      </c>
      <c r="I434" s="50">
        <v>66.8</v>
      </c>
      <c r="J434" s="50">
        <v>232</v>
      </c>
      <c r="K434" s="50">
        <v>2602</v>
      </c>
      <c r="L434" s="50">
        <v>0.7</v>
      </c>
      <c r="M434" s="50">
        <v>358.4</v>
      </c>
      <c r="N434" s="51">
        <v>363.76</v>
      </c>
      <c r="O434" s="43">
        <f t="shared" si="86"/>
        <v>0.30000000000000004</v>
      </c>
      <c r="P434" s="43">
        <f t="shared" si="76"/>
        <v>106.41594777188106</v>
      </c>
      <c r="Q434" s="43">
        <f t="shared" si="77"/>
        <v>4.0079679362565098E-5</v>
      </c>
      <c r="R434" s="43">
        <v>35</v>
      </c>
      <c r="S434" s="43">
        <f t="shared" si="78"/>
        <v>0.27777777777777779</v>
      </c>
      <c r="T434" s="43">
        <f t="shared" si="79"/>
        <v>43.73979993396415</v>
      </c>
      <c r="U434" s="43" t="str" cm="1">
        <f t="array" ref="U434">_xlfn.IFS(T434&lt;3,"Group I",T434&lt;5,"Group II",T434&lt;10,"Group III",T434&lt;20,"Group IV",T434&lt;50,"Group V",T434&lt;100,"Group VI",T434&lt;200,"Group VII",T434&lt;500,"Group VIII",T434&lt;1000,"Group IX",TRUE,"Group X")</f>
        <v>Group V</v>
      </c>
      <c r="V434" s="43">
        <f t="shared" si="80"/>
        <v>1.640876792241305</v>
      </c>
      <c r="W434" s="43">
        <f t="shared" si="81"/>
        <v>0.78593443113772454</v>
      </c>
      <c r="X434" s="43">
        <f t="shared" si="87"/>
        <v>-0.10461368472763093</v>
      </c>
      <c r="Y434" s="43">
        <f t="shared" si="82"/>
        <v>1.0149553571428571</v>
      </c>
      <c r="Z434" s="43">
        <f t="shared" si="88"/>
        <v>6.4469402069641888E-3</v>
      </c>
      <c r="AA434" s="43">
        <f t="shared" si="89"/>
        <v>2.4615614977176601</v>
      </c>
      <c r="AB434" s="43">
        <f t="shared" si="90"/>
        <v>0.5775867161775855</v>
      </c>
    </row>
    <row r="435" spans="1:28" ht="18.600000000000001" thickBot="1">
      <c r="A435" s="53" t="s">
        <v>54</v>
      </c>
      <c r="B435" s="54">
        <v>300</v>
      </c>
      <c r="C435" s="54">
        <v>900</v>
      </c>
      <c r="D435" s="54">
        <v>7.31</v>
      </c>
      <c r="E435" s="54">
        <v>59.21994777188106</v>
      </c>
      <c r="F435" s="54">
        <v>2493.471485131834</v>
      </c>
      <c r="G435" s="57" t="s">
        <v>96</v>
      </c>
      <c r="H435" s="54">
        <v>0.22800000000000001</v>
      </c>
      <c r="I435" s="54">
        <v>66.8</v>
      </c>
      <c r="J435" s="54">
        <v>232</v>
      </c>
      <c r="K435" s="54">
        <v>2602</v>
      </c>
      <c r="L435" s="54">
        <v>0.7</v>
      </c>
      <c r="M435" s="54">
        <v>338.1</v>
      </c>
      <c r="N435" s="55">
        <v>635.49</v>
      </c>
      <c r="O435" s="43">
        <f t="shared" si="86"/>
        <v>0.30000000000000004</v>
      </c>
      <c r="P435" s="43">
        <f t="shared" si="76"/>
        <v>106.41594777188106</v>
      </c>
      <c r="Q435" s="43">
        <f t="shared" si="77"/>
        <v>4.0079679362565098E-5</v>
      </c>
      <c r="R435" s="43">
        <v>35</v>
      </c>
      <c r="S435" s="43">
        <f t="shared" si="78"/>
        <v>0.33333333333333331</v>
      </c>
      <c r="T435" s="43">
        <f t="shared" si="79"/>
        <v>52.487759920756979</v>
      </c>
      <c r="U435" s="43" t="str" cm="1">
        <f t="array" ref="U435">_xlfn.IFS(T435&lt;3,"Group I",T435&lt;5,"Group II",T435&lt;10,"Group III",T435&lt;20,"Group IV",T435&lt;50,"Group V",T435&lt;100,"Group VI",T435&lt;200,"Group VII",T435&lt;500,"Group VIII",T435&lt;1000,"Group IX",TRUE,"Group X")</f>
        <v>Group VI</v>
      </c>
      <c r="V435" s="43">
        <f t="shared" si="80"/>
        <v>1.7200580382889299</v>
      </c>
      <c r="W435" s="43">
        <f t="shared" si="81"/>
        <v>0.78593443113772454</v>
      </c>
      <c r="X435" s="43">
        <f t="shared" si="87"/>
        <v>-0.10461368472763093</v>
      </c>
      <c r="Y435" s="43">
        <f t="shared" si="82"/>
        <v>1.8795918367346938</v>
      </c>
      <c r="Z435" s="43">
        <f t="shared" si="88"/>
        <v>0.27406355016833522</v>
      </c>
      <c r="AA435" s="43">
        <f t="shared" si="89"/>
        <v>2.9538737972611924</v>
      </c>
      <c r="AB435" s="43">
        <f t="shared" si="90"/>
        <v>0.60982509148202313</v>
      </c>
    </row>
    <row r="436" spans="1:28">
      <c r="A436" s="56" t="s">
        <v>55</v>
      </c>
      <c r="B436" s="57">
        <v>200</v>
      </c>
      <c r="C436" s="57">
        <v>200</v>
      </c>
      <c r="D436" s="57">
        <v>6.6970000000000001</v>
      </c>
      <c r="E436" s="57">
        <v>161.79369250985545</v>
      </c>
      <c r="F436" s="57">
        <v>1585.0854139290407</v>
      </c>
      <c r="G436" s="57" t="s">
        <v>97</v>
      </c>
      <c r="H436" s="57">
        <v>0.20699999999999999</v>
      </c>
      <c r="I436" s="57">
        <v>24.4</v>
      </c>
      <c r="J436" s="57">
        <v>630</v>
      </c>
      <c r="K436" s="57">
        <v>1587</v>
      </c>
      <c r="L436" s="57">
        <v>0.7</v>
      </c>
      <c r="M436" s="57">
        <v>328.14</v>
      </c>
      <c r="N436" s="58">
        <v>307.75</v>
      </c>
      <c r="O436" s="43">
        <f t="shared" si="86"/>
        <v>0.30000000000000004</v>
      </c>
      <c r="P436" s="43">
        <f t="shared" si="76"/>
        <v>287.02869250985543</v>
      </c>
      <c r="Q436" s="43">
        <f t="shared" si="77"/>
        <v>1.7601074531173018E-5</v>
      </c>
      <c r="R436" s="43">
        <v>35</v>
      </c>
      <c r="S436" s="43">
        <f t="shared" si="78"/>
        <v>1</v>
      </c>
      <c r="T436" s="43">
        <f t="shared" si="79"/>
        <v>45.329825486881525</v>
      </c>
      <c r="U436" s="43" t="str" cm="1">
        <f t="array" ref="U436">_xlfn.IFS(T436&lt;3,"Group I",T436&lt;5,"Group II",T436&lt;10,"Group III",T436&lt;20,"Group IV",T436&lt;50,"Group V",T436&lt;100,"Group VI",T436&lt;200,"Group VII",T436&lt;500,"Group VIII",T436&lt;1000,"Group IX",TRUE,"Group X")</f>
        <v>Group V</v>
      </c>
      <c r="V436" s="43">
        <f t="shared" si="80"/>
        <v>1.6563840470924345</v>
      </c>
      <c r="W436" s="43">
        <f t="shared" si="81"/>
        <v>0.39770299180327867</v>
      </c>
      <c r="X436" s="43">
        <f t="shared" si="87"/>
        <v>-0.40044114193137537</v>
      </c>
      <c r="Y436" s="43">
        <f t="shared" si="82"/>
        <v>0.93786188821844341</v>
      </c>
      <c r="Z436" s="43">
        <f t="shared" si="88"/>
        <v>-2.7861112154928425E-2</v>
      </c>
      <c r="AA436" s="43">
        <f t="shared" si="89"/>
        <v>2.4740848187702404</v>
      </c>
      <c r="AB436" s="43">
        <f t="shared" si="90"/>
        <v>0.58376332597053449</v>
      </c>
    </row>
    <row r="437" spans="1:28">
      <c r="A437" s="48" t="s">
        <v>55</v>
      </c>
      <c r="B437" s="50">
        <v>200</v>
      </c>
      <c r="C437" s="50">
        <v>400</v>
      </c>
      <c r="D437" s="50">
        <v>6.6970000000000001</v>
      </c>
      <c r="E437" s="50">
        <v>161.79369250985545</v>
      </c>
      <c r="F437" s="50">
        <v>1585.0854139290407</v>
      </c>
      <c r="G437" s="57" t="s">
        <v>97</v>
      </c>
      <c r="H437" s="50">
        <v>0.20699999999999999</v>
      </c>
      <c r="I437" s="50">
        <v>24.4</v>
      </c>
      <c r="J437" s="50">
        <v>630</v>
      </c>
      <c r="K437" s="50">
        <v>1587</v>
      </c>
      <c r="L437" s="50">
        <v>0.7</v>
      </c>
      <c r="M437" s="50">
        <v>230.92</v>
      </c>
      <c r="N437" s="51">
        <v>205.31</v>
      </c>
      <c r="O437" s="43">
        <f t="shared" si="86"/>
        <v>0.30000000000000004</v>
      </c>
      <c r="P437" s="43">
        <f t="shared" si="76"/>
        <v>287.02869250985543</v>
      </c>
      <c r="Q437" s="43">
        <f t="shared" si="77"/>
        <v>1.7601074531173018E-5</v>
      </c>
      <c r="R437" s="43">
        <v>35</v>
      </c>
      <c r="S437" s="43">
        <f t="shared" si="78"/>
        <v>0.5</v>
      </c>
      <c r="T437" s="43">
        <f t="shared" si="79"/>
        <v>32.053026991776719</v>
      </c>
      <c r="U437" s="43" t="str" cm="1">
        <f t="array" ref="U437">_xlfn.IFS(T437&lt;3,"Group I",T437&lt;5,"Group II",T437&lt;10,"Group III",T437&lt;20,"Group IV",T437&lt;50,"Group V",T437&lt;100,"Group VI",T437&lt;200,"Group VII",T437&lt;500,"Group VIII",T437&lt;1000,"Group IX",TRUE,"Group X")</f>
        <v>Group V</v>
      </c>
      <c r="V437" s="43">
        <f t="shared" si="80"/>
        <v>1.5058690492604438</v>
      </c>
      <c r="W437" s="43">
        <f t="shared" si="81"/>
        <v>0.79540598360655734</v>
      </c>
      <c r="X437" s="43">
        <f t="shared" si="87"/>
        <v>-9.9411146267394154E-2</v>
      </c>
      <c r="Y437" s="43">
        <f t="shared" si="82"/>
        <v>0.88909579075004341</v>
      </c>
      <c r="Z437" s="43">
        <f t="shared" si="88"/>
        <v>-5.1051445831784385E-2</v>
      </c>
      <c r="AA437" s="43">
        <f t="shared" si="89"/>
        <v>1.8048325111535648</v>
      </c>
      <c r="AB437" s="43">
        <f t="shared" si="90"/>
        <v>0.52650001727928897</v>
      </c>
    </row>
    <row r="438" spans="1:28">
      <c r="A438" s="48" t="s">
        <v>55</v>
      </c>
      <c r="B438" s="50">
        <v>200</v>
      </c>
      <c r="C438" s="50">
        <v>600</v>
      </c>
      <c r="D438" s="50">
        <v>6.6970000000000001</v>
      </c>
      <c r="E438" s="50">
        <v>161.79369250985545</v>
      </c>
      <c r="F438" s="50">
        <v>1585.0854139290407</v>
      </c>
      <c r="G438" s="57" t="s">
        <v>97</v>
      </c>
      <c r="H438" s="50">
        <v>0.20699999999999999</v>
      </c>
      <c r="I438" s="50">
        <v>24.4</v>
      </c>
      <c r="J438" s="50">
        <v>630</v>
      </c>
      <c r="K438" s="50">
        <v>1587</v>
      </c>
      <c r="L438" s="50">
        <v>0.7</v>
      </c>
      <c r="M438" s="50">
        <v>172.31</v>
      </c>
      <c r="N438" s="51">
        <v>167.58</v>
      </c>
      <c r="O438" s="43">
        <f t="shared" si="86"/>
        <v>0.30000000000000004</v>
      </c>
      <c r="P438" s="43">
        <f t="shared" si="76"/>
        <v>287.02869250985543</v>
      </c>
      <c r="Q438" s="43">
        <f t="shared" si="77"/>
        <v>1.7601074531173018E-5</v>
      </c>
      <c r="R438" s="43">
        <v>35</v>
      </c>
      <c r="S438" s="43">
        <f t="shared" si="78"/>
        <v>0.33333333333333331</v>
      </c>
      <c r="T438" s="43">
        <f t="shared" si="79"/>
        <v>26.171186947169804</v>
      </c>
      <c r="U438" s="43" t="str" cm="1">
        <f t="array" ref="U438">_xlfn.IFS(T438&lt;3,"Group I",T438&lt;5,"Group II",T438&lt;10,"Group III",T438&lt;20,"Group IV",T438&lt;50,"Group V",T438&lt;100,"Group VI",T438&lt;200,"Group VII",T438&lt;500,"Group VIII",T438&lt;1000,"Group IX",TRUE,"Group X")</f>
        <v>Group V</v>
      </c>
      <c r="V438" s="43">
        <f t="shared" si="80"/>
        <v>1.4178234197326032</v>
      </c>
      <c r="W438" s="43">
        <f t="shared" si="81"/>
        <v>1.1931089754098361</v>
      </c>
      <c r="X438" s="43">
        <f t="shared" si="87"/>
        <v>7.6680112788287111E-2</v>
      </c>
      <c r="Y438" s="43">
        <f t="shared" si="82"/>
        <v>0.97254947478381992</v>
      </c>
      <c r="Z438" s="43">
        <f t="shared" si="88"/>
        <v>-1.2088296347682324E-2</v>
      </c>
      <c r="AA438" s="43">
        <f t="shared" si="89"/>
        <v>1.500756039904326</v>
      </c>
      <c r="AB438" s="43">
        <f t="shared" si="90"/>
        <v>0.49564370729806528</v>
      </c>
    </row>
    <row r="439" spans="1:28">
      <c r="A439" s="48" t="s">
        <v>55</v>
      </c>
      <c r="B439" s="50">
        <v>200</v>
      </c>
      <c r="C439" s="50">
        <v>800</v>
      </c>
      <c r="D439" s="50">
        <v>6.6970000000000001</v>
      </c>
      <c r="E439" s="50">
        <v>161.79369250985545</v>
      </c>
      <c r="F439" s="50">
        <v>1585.0854139290407</v>
      </c>
      <c r="G439" s="57" t="s">
        <v>97</v>
      </c>
      <c r="H439" s="50">
        <v>0.20699999999999999</v>
      </c>
      <c r="I439" s="50">
        <v>24.4</v>
      </c>
      <c r="J439" s="50">
        <v>630</v>
      </c>
      <c r="K439" s="50">
        <v>1587</v>
      </c>
      <c r="L439" s="50">
        <v>0.7</v>
      </c>
      <c r="M439" s="50">
        <v>177.45</v>
      </c>
      <c r="N439" s="51">
        <v>107.99</v>
      </c>
      <c r="O439" s="43">
        <f t="shared" si="86"/>
        <v>0.30000000000000004</v>
      </c>
      <c r="P439" s="43">
        <f t="shared" si="76"/>
        <v>287.02869250985543</v>
      </c>
      <c r="Q439" s="43">
        <f t="shared" si="77"/>
        <v>1.7601074531173018E-5</v>
      </c>
      <c r="R439" s="43">
        <v>35</v>
      </c>
      <c r="S439" s="43">
        <f t="shared" si="78"/>
        <v>0.25</v>
      </c>
      <c r="T439" s="43">
        <f t="shared" si="79"/>
        <v>22.664912743440762</v>
      </c>
      <c r="U439" s="43" t="str" cm="1">
        <f t="array" ref="U439">_xlfn.IFS(T439&lt;3,"Group I",T439&lt;5,"Group II",T439&lt;10,"Group III",T439&lt;20,"Group IV",T439&lt;50,"Group V",T439&lt;100,"Group VI",T439&lt;200,"Group VII",T439&lt;500,"Group VIII",T439&lt;1000,"Group IX",TRUE,"Group X")</f>
        <v>Group V</v>
      </c>
      <c r="V439" s="43">
        <f t="shared" si="80"/>
        <v>1.3553540514284532</v>
      </c>
      <c r="W439" s="43">
        <f t="shared" si="81"/>
        <v>1.5908119672131147</v>
      </c>
      <c r="X439" s="43">
        <f t="shared" si="87"/>
        <v>0.20161884939658703</v>
      </c>
      <c r="Y439" s="43">
        <f t="shared" si="82"/>
        <v>0.60856579318117776</v>
      </c>
      <c r="Z439" s="43">
        <f t="shared" si="88"/>
        <v>-0.21569246251049254</v>
      </c>
      <c r="AA439" s="43">
        <f t="shared" si="89"/>
        <v>1.3166162973086772</v>
      </c>
      <c r="AB439" s="43">
        <f t="shared" si="90"/>
        <v>0.47485385919752571</v>
      </c>
    </row>
    <row r="440" spans="1:28">
      <c r="A440" s="48" t="s">
        <v>55</v>
      </c>
      <c r="B440" s="50">
        <v>200</v>
      </c>
      <c r="C440" s="50">
        <v>1200</v>
      </c>
      <c r="D440" s="50">
        <v>6.6970000000000001</v>
      </c>
      <c r="E440" s="50">
        <v>161.79369250985545</v>
      </c>
      <c r="F440" s="50">
        <v>1585.0854139290407</v>
      </c>
      <c r="G440" s="57" t="s">
        <v>97</v>
      </c>
      <c r="H440" s="50">
        <v>0.20699999999999999</v>
      </c>
      <c r="I440" s="50">
        <v>24.4</v>
      </c>
      <c r="J440" s="50">
        <v>630</v>
      </c>
      <c r="K440" s="50">
        <v>1587</v>
      </c>
      <c r="L440" s="50">
        <v>0.7</v>
      </c>
      <c r="M440" s="50">
        <v>163.53</v>
      </c>
      <c r="N440" s="51">
        <v>82.36</v>
      </c>
      <c r="O440" s="43">
        <f t="shared" si="86"/>
        <v>0.30000000000000004</v>
      </c>
      <c r="P440" s="43">
        <f t="shared" si="76"/>
        <v>287.02869250985543</v>
      </c>
      <c r="Q440" s="43">
        <f t="shared" si="77"/>
        <v>1.7601074531173018E-5</v>
      </c>
      <c r="R440" s="43">
        <v>35</v>
      </c>
      <c r="S440" s="43">
        <f t="shared" si="78"/>
        <v>0.16666666666666666</v>
      </c>
      <c r="T440" s="43">
        <f t="shared" si="79"/>
        <v>18.505823762044631</v>
      </c>
      <c r="U440" s="43" t="str" cm="1">
        <f t="array" ref="U440">_xlfn.IFS(T440&lt;3,"Group I",T440&lt;5,"Group II",T440&lt;10,"Group III",T440&lt;20,"Group IV",T440&lt;50,"Group V",T440&lt;100,"Group VI",T440&lt;200,"Group VII",T440&lt;500,"Group VIII",T440&lt;1000,"Group IX",TRUE,"Group X")</f>
        <v>Group IV</v>
      </c>
      <c r="V440" s="43">
        <f t="shared" si="80"/>
        <v>1.2673084219006128</v>
      </c>
      <c r="W440" s="43">
        <f t="shared" si="81"/>
        <v>2.3862179508196721</v>
      </c>
      <c r="X440" s="43">
        <f t="shared" si="87"/>
        <v>0.37771010845226832</v>
      </c>
      <c r="Y440" s="43">
        <f t="shared" si="82"/>
        <v>0.50363847612058954</v>
      </c>
      <c r="Z440" s="43">
        <f t="shared" si="88"/>
        <v>-0.29788109880136537</v>
      </c>
      <c r="AA440" s="43">
        <f t="shared" si="89"/>
        <v>1.0947940311422866</v>
      </c>
      <c r="AB440" s="43">
        <f t="shared" si="90"/>
        <v>0.44702434847709838</v>
      </c>
    </row>
    <row r="441" spans="1:28">
      <c r="A441" s="48" t="s">
        <v>55</v>
      </c>
      <c r="B441" s="50">
        <v>200</v>
      </c>
      <c r="C441" s="50">
        <v>1600</v>
      </c>
      <c r="D441" s="50">
        <v>6.6970000000000001</v>
      </c>
      <c r="E441" s="50">
        <v>161.79369250985545</v>
      </c>
      <c r="F441" s="50">
        <v>1585.0854139290407</v>
      </c>
      <c r="G441" s="57" t="s">
        <v>97</v>
      </c>
      <c r="H441" s="50">
        <v>0.20699999999999999</v>
      </c>
      <c r="I441" s="50">
        <v>24.4</v>
      </c>
      <c r="J441" s="50">
        <v>630</v>
      </c>
      <c r="K441" s="50">
        <v>1587</v>
      </c>
      <c r="L441" s="50">
        <v>0.7</v>
      </c>
      <c r="M441" s="50">
        <v>145.88</v>
      </c>
      <c r="N441" s="51">
        <v>51.04</v>
      </c>
      <c r="O441" s="43">
        <f t="shared" si="86"/>
        <v>0.30000000000000004</v>
      </c>
      <c r="P441" s="43">
        <f t="shared" si="76"/>
        <v>287.02869250985543</v>
      </c>
      <c r="Q441" s="43">
        <f t="shared" si="77"/>
        <v>1.7601074531173018E-5</v>
      </c>
      <c r="R441" s="43">
        <v>35</v>
      </c>
      <c r="S441" s="43">
        <f t="shared" si="78"/>
        <v>0.125</v>
      </c>
      <c r="T441" s="43">
        <f t="shared" si="79"/>
        <v>16.026513495888359</v>
      </c>
      <c r="U441" s="43" t="str" cm="1">
        <f t="array" ref="U441">_xlfn.IFS(T441&lt;3,"Group I",T441&lt;5,"Group II",T441&lt;10,"Group III",T441&lt;20,"Group IV",T441&lt;50,"Group V",T441&lt;100,"Group VI",T441&lt;200,"Group VII",T441&lt;500,"Group VIII",T441&lt;1000,"Group IX",TRUE,"Group X")</f>
        <v>Group IV</v>
      </c>
      <c r="V441" s="43">
        <f t="shared" si="80"/>
        <v>1.2048390535964626</v>
      </c>
      <c r="W441" s="43">
        <f t="shared" si="81"/>
        <v>3.1816239344262294</v>
      </c>
      <c r="X441" s="43">
        <f t="shared" si="87"/>
        <v>0.50264884506056828</v>
      </c>
      <c r="Y441" s="43">
        <f t="shared" si="82"/>
        <v>0.34987661091307926</v>
      </c>
      <c r="Z441" s="43">
        <f t="shared" si="88"/>
        <v>-0.45608508892863775</v>
      </c>
      <c r="AA441" s="43">
        <f t="shared" si="89"/>
        <v>0.96046500914971422</v>
      </c>
      <c r="AB441" s="43">
        <f t="shared" si="90"/>
        <v>0.42827384652329742</v>
      </c>
    </row>
    <row r="442" spans="1:28">
      <c r="A442" s="48" t="s">
        <v>55</v>
      </c>
      <c r="B442" s="50">
        <v>200</v>
      </c>
      <c r="C442" s="50">
        <v>2000</v>
      </c>
      <c r="D442" s="50">
        <v>6.6970000000000001</v>
      </c>
      <c r="E442" s="50">
        <v>161.79369250985545</v>
      </c>
      <c r="F442" s="50">
        <v>1585.0854139290407</v>
      </c>
      <c r="G442" s="57" t="s">
        <v>97</v>
      </c>
      <c r="H442" s="50">
        <v>0.20699999999999999</v>
      </c>
      <c r="I442" s="50">
        <v>24.4</v>
      </c>
      <c r="J442" s="50">
        <v>630</v>
      </c>
      <c r="K442" s="50">
        <v>1587</v>
      </c>
      <c r="L442" s="50">
        <v>0.7</v>
      </c>
      <c r="M442" s="50">
        <v>111.87</v>
      </c>
      <c r="N442" s="51">
        <v>47</v>
      </c>
      <c r="O442" s="43">
        <f t="shared" si="86"/>
        <v>0.30000000000000004</v>
      </c>
      <c r="P442" s="43">
        <f t="shared" si="76"/>
        <v>287.02869250985543</v>
      </c>
      <c r="Q442" s="43">
        <f t="shared" si="77"/>
        <v>1.7601074531173018E-5</v>
      </c>
      <c r="R442" s="43">
        <v>35</v>
      </c>
      <c r="S442" s="43">
        <f t="shared" si="78"/>
        <v>0.1</v>
      </c>
      <c r="T442" s="43">
        <f t="shared" si="79"/>
        <v>14.334549447649668</v>
      </c>
      <c r="U442" s="43" t="str" cm="1">
        <f t="array" ref="U442">_xlfn.IFS(T442&lt;3,"Group I",T442&lt;5,"Group II",T442&lt;10,"Group III",T442&lt;20,"Group IV",T442&lt;50,"Group V",T442&lt;100,"Group VI",T442&lt;200,"Group VII",T442&lt;500,"Group VIII",T442&lt;1000,"Group IX",TRUE,"Group X")</f>
        <v>Group IV</v>
      </c>
      <c r="V442" s="43">
        <f t="shared" si="80"/>
        <v>1.1563840470924345</v>
      </c>
      <c r="W442" s="43">
        <f t="shared" si="81"/>
        <v>3.9770299180327866</v>
      </c>
      <c r="X442" s="43">
        <f t="shared" si="87"/>
        <v>0.59955885806862463</v>
      </c>
      <c r="Y442" s="43">
        <f t="shared" si="82"/>
        <v>0.42013050862608381</v>
      </c>
      <c r="Z442" s="43">
        <f t="shared" si="88"/>
        <v>-0.37661578014525221</v>
      </c>
      <c r="AA442" s="43">
        <f t="shared" si="89"/>
        <v>0.86772994376993851</v>
      </c>
      <c r="AB442" s="43">
        <f t="shared" si="90"/>
        <v>0.41427317007691111</v>
      </c>
    </row>
    <row r="443" spans="1:28">
      <c r="A443" s="48" t="s">
        <v>55</v>
      </c>
      <c r="B443" s="50">
        <v>200</v>
      </c>
      <c r="C443" s="50">
        <v>2400</v>
      </c>
      <c r="D443" s="50">
        <v>6.6970000000000001</v>
      </c>
      <c r="E443" s="50">
        <v>161.79369250985545</v>
      </c>
      <c r="F443" s="50">
        <v>1585.0854139290407</v>
      </c>
      <c r="G443" s="57" t="s">
        <v>97</v>
      </c>
      <c r="H443" s="50">
        <v>0.20699999999999999</v>
      </c>
      <c r="I443" s="50">
        <v>24.4</v>
      </c>
      <c r="J443" s="50">
        <v>630</v>
      </c>
      <c r="K443" s="50">
        <v>1587</v>
      </c>
      <c r="L443" s="50">
        <v>0.7</v>
      </c>
      <c r="M443" s="50">
        <v>86</v>
      </c>
      <c r="N443" s="51">
        <v>30</v>
      </c>
      <c r="O443" s="43">
        <f t="shared" si="86"/>
        <v>0.30000000000000004</v>
      </c>
      <c r="P443" s="43">
        <f t="shared" si="76"/>
        <v>287.02869250985543</v>
      </c>
      <c r="Q443" s="43">
        <f t="shared" si="77"/>
        <v>1.7601074531173018E-5</v>
      </c>
      <c r="R443" s="43">
        <v>35</v>
      </c>
      <c r="S443" s="43">
        <f t="shared" si="78"/>
        <v>8.3333333333333329E-2</v>
      </c>
      <c r="T443" s="43">
        <f t="shared" si="79"/>
        <v>13.085593473584902</v>
      </c>
      <c r="U443" s="43" t="str" cm="1">
        <f t="array" ref="U443">_xlfn.IFS(T443&lt;3,"Group I",T443&lt;5,"Group II",T443&lt;10,"Group III",T443&lt;20,"Group IV",T443&lt;50,"Group V",T443&lt;100,"Group VI",T443&lt;200,"Group VII",T443&lt;500,"Group VIII",T443&lt;1000,"Group IX",TRUE,"Group X")</f>
        <v>Group IV</v>
      </c>
      <c r="V443" s="43">
        <f t="shared" si="80"/>
        <v>1.1167934240686219</v>
      </c>
      <c r="W443" s="43">
        <f t="shared" si="81"/>
        <v>4.7724359016393443</v>
      </c>
      <c r="X443" s="43">
        <f t="shared" si="87"/>
        <v>0.67874010411624952</v>
      </c>
      <c r="Y443" s="43">
        <f t="shared" si="82"/>
        <v>0.34883720930232559</v>
      </c>
      <c r="Z443" s="43">
        <f t="shared" si="88"/>
        <v>-0.45737719652390529</v>
      </c>
      <c r="AA443" s="43">
        <f t="shared" si="89"/>
        <v>0.79864677452918142</v>
      </c>
      <c r="AB443" s="43">
        <f t="shared" si="90"/>
        <v>0.40317422614063786</v>
      </c>
    </row>
    <row r="444" spans="1:28">
      <c r="A444" s="48" t="s">
        <v>55</v>
      </c>
      <c r="B444" s="50">
        <v>350</v>
      </c>
      <c r="C444" s="50">
        <v>400</v>
      </c>
      <c r="D444" s="50">
        <v>6.6970000000000001</v>
      </c>
      <c r="E444" s="50">
        <v>161.79369250985545</v>
      </c>
      <c r="F444" s="50">
        <v>1585.0854139290407</v>
      </c>
      <c r="G444" s="57" t="s">
        <v>97</v>
      </c>
      <c r="H444" s="50">
        <v>0.20699999999999999</v>
      </c>
      <c r="I444" s="50">
        <v>24.4</v>
      </c>
      <c r="J444" s="50">
        <v>630</v>
      </c>
      <c r="K444" s="50">
        <v>1587</v>
      </c>
      <c r="L444" s="50">
        <v>0.7</v>
      </c>
      <c r="M444" s="50">
        <v>366.79</v>
      </c>
      <c r="N444" s="51">
        <v>2700</v>
      </c>
      <c r="O444" s="43">
        <f t="shared" si="86"/>
        <v>0.30000000000000004</v>
      </c>
      <c r="P444" s="43">
        <f t="shared" si="76"/>
        <v>287.02869250985543</v>
      </c>
      <c r="Q444" s="43">
        <f t="shared" si="77"/>
        <v>1.7601074531173018E-5</v>
      </c>
      <c r="R444" s="43">
        <v>35</v>
      </c>
      <c r="S444" s="43">
        <f t="shared" si="78"/>
        <v>0.875</v>
      </c>
      <c r="T444" s="43">
        <f t="shared" si="79"/>
        <v>56.092797235609261</v>
      </c>
      <c r="U444" s="43" t="str" cm="1">
        <f t="array" ref="U444">_xlfn.IFS(T444&lt;3,"Group I",T444&lt;5,"Group II",T444&lt;10,"Group III",T444&lt;20,"Group IV",T444&lt;50,"Group V",T444&lt;100,"Group VI",T444&lt;200,"Group VII",T444&lt;500,"Group VIII",T444&lt;1000,"Group IX",TRUE,"Group X")</f>
        <v>Group VI</v>
      </c>
      <c r="V444" s="43">
        <f t="shared" si="80"/>
        <v>1.7489070979467383</v>
      </c>
      <c r="W444" s="43">
        <f t="shared" si="81"/>
        <v>0.79540598360655734</v>
      </c>
      <c r="X444" s="43">
        <f t="shared" si="87"/>
        <v>-9.9411146267394154E-2</v>
      </c>
      <c r="Y444" s="43">
        <f t="shared" si="82"/>
        <v>7.3611603369775613</v>
      </c>
      <c r="Z444" s="43">
        <f t="shared" si="88"/>
        <v>0.86694627741187769</v>
      </c>
      <c r="AA444" s="43">
        <f t="shared" si="89"/>
        <v>3.1584568945187388</v>
      </c>
      <c r="AB444" s="43">
        <f t="shared" si="90"/>
        <v>0.62201294699008902</v>
      </c>
    </row>
    <row r="445" spans="1:28">
      <c r="A445" s="48" t="s">
        <v>55</v>
      </c>
      <c r="B445" s="50">
        <v>350</v>
      </c>
      <c r="C445" s="50">
        <v>600</v>
      </c>
      <c r="D445" s="50">
        <v>6.6970000000000001</v>
      </c>
      <c r="E445" s="50">
        <v>161.79369250985545</v>
      </c>
      <c r="F445" s="50">
        <v>1585.0854139290407</v>
      </c>
      <c r="G445" s="57" t="s">
        <v>97</v>
      </c>
      <c r="H445" s="50">
        <v>0.20699999999999999</v>
      </c>
      <c r="I445" s="50">
        <v>24.4</v>
      </c>
      <c r="J445" s="50">
        <v>630</v>
      </c>
      <c r="K445" s="50">
        <v>1587</v>
      </c>
      <c r="L445" s="50">
        <v>0.7</v>
      </c>
      <c r="M445" s="50">
        <v>240.87</v>
      </c>
      <c r="N445" s="51">
        <v>1155.8900000000001</v>
      </c>
      <c r="O445" s="43">
        <f t="shared" si="86"/>
        <v>0.30000000000000004</v>
      </c>
      <c r="P445" s="43">
        <f t="shared" si="76"/>
        <v>287.02869250985543</v>
      </c>
      <c r="Q445" s="43">
        <f t="shared" si="77"/>
        <v>1.7601074531173018E-5</v>
      </c>
      <c r="R445" s="43">
        <v>35</v>
      </c>
      <c r="S445" s="43">
        <f t="shared" si="78"/>
        <v>0.58333333333333337</v>
      </c>
      <c r="T445" s="43">
        <f t="shared" si="79"/>
        <v>45.799577157547155</v>
      </c>
      <c r="U445" s="43" t="str" cm="1">
        <f t="array" ref="U445">_xlfn.IFS(T445&lt;3,"Group I",T445&lt;5,"Group II",T445&lt;10,"Group III",T445&lt;20,"Group IV",T445&lt;50,"Group V",T445&lt;100,"Group VI",T445&lt;200,"Group VII",T445&lt;500,"Group VIII",T445&lt;1000,"Group IX",TRUE,"Group X")</f>
        <v>Group V</v>
      </c>
      <c r="V445" s="43">
        <f t="shared" si="80"/>
        <v>1.6608614684188976</v>
      </c>
      <c r="W445" s="43">
        <f t="shared" si="81"/>
        <v>1.1931089754098361</v>
      </c>
      <c r="X445" s="43">
        <f t="shared" si="87"/>
        <v>7.6680112788287111E-2</v>
      </c>
      <c r="Y445" s="43">
        <f t="shared" si="82"/>
        <v>4.7988126375223157</v>
      </c>
      <c r="Z445" s="43">
        <f t="shared" si="88"/>
        <v>0.68113379388352624</v>
      </c>
      <c r="AA445" s="43">
        <f t="shared" si="89"/>
        <v>2.6263230698325706</v>
      </c>
      <c r="AB445" s="43">
        <f t="shared" si="90"/>
        <v>0.58555896090317217</v>
      </c>
    </row>
    <row r="446" spans="1:28">
      <c r="A446" s="48" t="s">
        <v>55</v>
      </c>
      <c r="B446" s="50">
        <v>350</v>
      </c>
      <c r="C446" s="50">
        <v>800</v>
      </c>
      <c r="D446" s="50">
        <v>6.6970000000000001</v>
      </c>
      <c r="E446" s="50">
        <v>161.79369250985545</v>
      </c>
      <c r="F446" s="50">
        <v>1585.0854139290407</v>
      </c>
      <c r="G446" s="57" t="s">
        <v>97</v>
      </c>
      <c r="H446" s="50">
        <v>0.20699999999999999</v>
      </c>
      <c r="I446" s="50">
        <v>24.4</v>
      </c>
      <c r="J446" s="50">
        <v>630</v>
      </c>
      <c r="K446" s="50">
        <v>1587</v>
      </c>
      <c r="L446" s="50">
        <v>0.7</v>
      </c>
      <c r="M446" s="50">
        <v>207.37</v>
      </c>
      <c r="N446" s="51">
        <v>733.97</v>
      </c>
      <c r="O446" s="43">
        <f t="shared" si="86"/>
        <v>0.30000000000000004</v>
      </c>
      <c r="P446" s="43">
        <f t="shared" si="76"/>
        <v>287.02869250985543</v>
      </c>
      <c r="Q446" s="43">
        <f t="shared" si="77"/>
        <v>1.7601074531173018E-5</v>
      </c>
      <c r="R446" s="43">
        <v>35</v>
      </c>
      <c r="S446" s="43">
        <f t="shared" si="78"/>
        <v>0.4375</v>
      </c>
      <c r="T446" s="43">
        <f t="shared" si="79"/>
        <v>39.663597301021333</v>
      </c>
      <c r="U446" s="43" t="str" cm="1">
        <f t="array" ref="U446">_xlfn.IFS(T446&lt;3,"Group I",T446&lt;5,"Group II",T446&lt;10,"Group III",T446&lt;20,"Group IV",T446&lt;50,"Group V",T446&lt;100,"Group VI",T446&lt;200,"Group VII",T446&lt;500,"Group VIII",T446&lt;1000,"Group IX",TRUE,"Group X")</f>
        <v>Group V</v>
      </c>
      <c r="V446" s="43">
        <f t="shared" si="80"/>
        <v>1.5983921001147476</v>
      </c>
      <c r="W446" s="43">
        <f t="shared" si="81"/>
        <v>1.5908119672131147</v>
      </c>
      <c r="X446" s="43">
        <f t="shared" si="87"/>
        <v>0.20161884939658703</v>
      </c>
      <c r="Y446" s="43">
        <f t="shared" si="82"/>
        <v>3.5394222886627769</v>
      </c>
      <c r="Z446" s="43">
        <f t="shared" si="88"/>
        <v>0.54893238142671752</v>
      </c>
      <c r="AA446" s="43">
        <f t="shared" si="89"/>
        <v>2.3040785202901848</v>
      </c>
      <c r="AB446" s="43">
        <f t="shared" si="90"/>
        <v>0.56099760428381784</v>
      </c>
    </row>
    <row r="447" spans="1:28">
      <c r="A447" s="48" t="s">
        <v>55</v>
      </c>
      <c r="B447" s="50">
        <v>350</v>
      </c>
      <c r="C447" s="50">
        <v>1000</v>
      </c>
      <c r="D447" s="50">
        <v>6.6970000000000001</v>
      </c>
      <c r="E447" s="50">
        <v>161.79369250985545</v>
      </c>
      <c r="F447" s="50">
        <v>1585.0854139290407</v>
      </c>
      <c r="G447" s="57" t="s">
        <v>97</v>
      </c>
      <c r="H447" s="50">
        <v>0.20699999999999999</v>
      </c>
      <c r="I447" s="50">
        <v>24.4</v>
      </c>
      <c r="J447" s="50">
        <v>630</v>
      </c>
      <c r="K447" s="50">
        <v>1587</v>
      </c>
      <c r="L447" s="50">
        <v>0.7</v>
      </c>
      <c r="M447" s="50">
        <v>261.33</v>
      </c>
      <c r="N447" s="51">
        <v>578.92999999999995</v>
      </c>
      <c r="O447" s="43">
        <f t="shared" si="86"/>
        <v>0.30000000000000004</v>
      </c>
      <c r="P447" s="43">
        <f t="shared" si="76"/>
        <v>287.02869250985543</v>
      </c>
      <c r="Q447" s="43">
        <f t="shared" si="77"/>
        <v>1.7601074531173018E-5</v>
      </c>
      <c r="R447" s="43">
        <v>35</v>
      </c>
      <c r="S447" s="43">
        <f t="shared" si="78"/>
        <v>0.35</v>
      </c>
      <c r="T447" s="43">
        <f t="shared" si="79"/>
        <v>35.476199918904356</v>
      </c>
      <c r="U447" s="43" t="str" cm="1">
        <f t="array" ref="U447">_xlfn.IFS(T447&lt;3,"Group I",T447&lt;5,"Group II",T447&lt;10,"Group III",T447&lt;20,"Group IV",T447&lt;50,"Group V",T447&lt;100,"Group VI",T447&lt;200,"Group VII",T447&lt;500,"Group VIII",T447&lt;1000,"Group IX",TRUE,"Group X")</f>
        <v>Group V</v>
      </c>
      <c r="V447" s="43">
        <f t="shared" si="80"/>
        <v>1.5499370936107195</v>
      </c>
      <c r="W447" s="43">
        <f t="shared" si="81"/>
        <v>1.9885149590163933</v>
      </c>
      <c r="X447" s="43">
        <f t="shared" si="87"/>
        <v>0.29852886240464344</v>
      </c>
      <c r="Y447" s="43">
        <f t="shared" si="82"/>
        <v>2.215321624000306</v>
      </c>
      <c r="Z447" s="43">
        <f t="shared" si="88"/>
        <v>0.34543678671648753</v>
      </c>
      <c r="AA447" s="43">
        <f t="shared" si="89"/>
        <v>2.081614536507574</v>
      </c>
      <c r="AB447" s="43">
        <f t="shared" si="90"/>
        <v>0.54265806286998453</v>
      </c>
    </row>
    <row r="448" spans="1:28">
      <c r="A448" s="48" t="s">
        <v>55</v>
      </c>
      <c r="B448" s="50">
        <v>350</v>
      </c>
      <c r="C448" s="50">
        <v>1200</v>
      </c>
      <c r="D448" s="50">
        <v>6.6970000000000001</v>
      </c>
      <c r="E448" s="50">
        <v>161.79369250985545</v>
      </c>
      <c r="F448" s="50">
        <v>1585.0854139290407</v>
      </c>
      <c r="G448" s="57" t="s">
        <v>97</v>
      </c>
      <c r="H448" s="50">
        <v>0.20699999999999999</v>
      </c>
      <c r="I448" s="50">
        <v>24.4</v>
      </c>
      <c r="J448" s="50">
        <v>630</v>
      </c>
      <c r="K448" s="50">
        <v>1587</v>
      </c>
      <c r="L448" s="50">
        <v>0.7</v>
      </c>
      <c r="M448" s="50">
        <v>289.70999999999998</v>
      </c>
      <c r="N448" s="51">
        <v>295.64999999999998</v>
      </c>
      <c r="O448" s="43">
        <f t="shared" si="86"/>
        <v>0.30000000000000004</v>
      </c>
      <c r="P448" s="43">
        <f t="shared" si="76"/>
        <v>287.02869250985543</v>
      </c>
      <c r="Q448" s="43">
        <f t="shared" si="77"/>
        <v>1.7601074531173018E-5</v>
      </c>
      <c r="R448" s="43">
        <v>35</v>
      </c>
      <c r="S448" s="43">
        <f t="shared" si="78"/>
        <v>0.29166666666666669</v>
      </c>
      <c r="T448" s="43">
        <f t="shared" si="79"/>
        <v>32.385191583578106</v>
      </c>
      <c r="U448" s="43" t="str" cm="1">
        <f t="array" ref="U448">_xlfn.IFS(T448&lt;3,"Group I",T448&lt;5,"Group II",T448&lt;10,"Group III",T448&lt;20,"Group IV",T448&lt;50,"Group V",T448&lt;100,"Group VI",T448&lt;200,"Group VII",T448&lt;500,"Group VIII",T448&lt;1000,"Group IX",TRUE,"Group X")</f>
        <v>Group V</v>
      </c>
      <c r="V448" s="43">
        <f t="shared" si="80"/>
        <v>1.5103464705869072</v>
      </c>
      <c r="W448" s="43">
        <f t="shared" si="81"/>
        <v>2.3862179508196721</v>
      </c>
      <c r="X448" s="43">
        <f t="shared" si="87"/>
        <v>0.37771010845226832</v>
      </c>
      <c r="Y448" s="43">
        <f t="shared" si="82"/>
        <v>1.0205032618825722</v>
      </c>
      <c r="Z448" s="43">
        <f t="shared" si="88"/>
        <v>8.8143972101860611E-3</v>
      </c>
      <c r="AA448" s="43">
        <f t="shared" si="89"/>
        <v>1.9158895544990018</v>
      </c>
      <c r="AB448" s="43">
        <f t="shared" si="90"/>
        <v>0.52811951234004706</v>
      </c>
    </row>
    <row r="449" spans="1:28">
      <c r="A449" s="48" t="s">
        <v>55</v>
      </c>
      <c r="B449" s="50">
        <v>350</v>
      </c>
      <c r="C449" s="50">
        <v>1600</v>
      </c>
      <c r="D449" s="50">
        <v>6.6970000000000001</v>
      </c>
      <c r="E449" s="50">
        <v>161.79369250985545</v>
      </c>
      <c r="F449" s="50">
        <v>1585.0854139290407</v>
      </c>
      <c r="G449" s="57" t="s">
        <v>97</v>
      </c>
      <c r="H449" s="50">
        <v>0.20699999999999999</v>
      </c>
      <c r="I449" s="50">
        <v>24.4</v>
      </c>
      <c r="J449" s="50">
        <v>630</v>
      </c>
      <c r="K449" s="50">
        <v>1587</v>
      </c>
      <c r="L449" s="50">
        <v>0.7</v>
      </c>
      <c r="M449" s="50">
        <v>200.53</v>
      </c>
      <c r="N449" s="51">
        <v>322.27</v>
      </c>
      <c r="O449" s="43">
        <f t="shared" si="86"/>
        <v>0.30000000000000004</v>
      </c>
      <c r="P449" s="43">
        <f t="shared" si="76"/>
        <v>287.02869250985543</v>
      </c>
      <c r="Q449" s="43">
        <f t="shared" si="77"/>
        <v>1.7601074531173018E-5</v>
      </c>
      <c r="R449" s="43">
        <v>35</v>
      </c>
      <c r="S449" s="43">
        <f t="shared" si="78"/>
        <v>0.21875</v>
      </c>
      <c r="T449" s="43">
        <f t="shared" si="79"/>
        <v>28.046398617804631</v>
      </c>
      <c r="U449" s="43" t="str" cm="1">
        <f t="array" ref="U449">_xlfn.IFS(T449&lt;3,"Group I",T449&lt;5,"Group II",T449&lt;10,"Group III",T449&lt;20,"Group IV",T449&lt;50,"Group V",T449&lt;100,"Group VI",T449&lt;200,"Group VII",T449&lt;500,"Group VIII",T449&lt;1000,"Group IX",TRUE,"Group X")</f>
        <v>Group V</v>
      </c>
      <c r="V449" s="43">
        <f t="shared" si="80"/>
        <v>1.4478771022827572</v>
      </c>
      <c r="W449" s="43">
        <f t="shared" si="81"/>
        <v>3.1816239344262294</v>
      </c>
      <c r="X449" s="43">
        <f t="shared" si="87"/>
        <v>0.50264884506056828</v>
      </c>
      <c r="Y449" s="43">
        <f t="shared" si="82"/>
        <v>1.6070912082980102</v>
      </c>
      <c r="Z449" s="43">
        <f t="shared" si="88"/>
        <v>0.20604052526145683</v>
      </c>
      <c r="AA449" s="43">
        <f t="shared" si="89"/>
        <v>1.6808137660119999</v>
      </c>
      <c r="AB449" s="43">
        <f t="shared" si="90"/>
        <v>0.50596746182712127</v>
      </c>
    </row>
    <row r="450" spans="1:28">
      <c r="A450" s="48" t="s">
        <v>55</v>
      </c>
      <c r="B450" s="50">
        <v>350</v>
      </c>
      <c r="C450" s="50">
        <v>2000</v>
      </c>
      <c r="D450" s="50">
        <v>6.6970000000000001</v>
      </c>
      <c r="E450" s="50">
        <v>161.79369250985545</v>
      </c>
      <c r="F450" s="50">
        <v>1585.0854139290407</v>
      </c>
      <c r="G450" s="57" t="s">
        <v>97</v>
      </c>
      <c r="H450" s="50">
        <v>0.20699999999999999</v>
      </c>
      <c r="I450" s="50">
        <v>24.4</v>
      </c>
      <c r="J450" s="50">
        <v>630</v>
      </c>
      <c r="K450" s="50">
        <v>1587</v>
      </c>
      <c r="L450" s="50">
        <v>0.7</v>
      </c>
      <c r="M450" s="50">
        <v>218.84</v>
      </c>
      <c r="N450" s="51">
        <v>208.49</v>
      </c>
      <c r="O450" s="43">
        <f t="shared" si="86"/>
        <v>0.30000000000000004</v>
      </c>
      <c r="P450" s="43">
        <f t="shared" si="76"/>
        <v>287.02869250985543</v>
      </c>
      <c r="Q450" s="43">
        <f t="shared" si="77"/>
        <v>1.7601074531173018E-5</v>
      </c>
      <c r="R450" s="43">
        <v>35</v>
      </c>
      <c r="S450" s="43">
        <f t="shared" si="78"/>
        <v>0.17499999999999999</v>
      </c>
      <c r="T450" s="43">
        <f t="shared" si="79"/>
        <v>25.085461533386919</v>
      </c>
      <c r="U450" s="43" t="str" cm="1">
        <f t="array" ref="U450">_xlfn.IFS(T450&lt;3,"Group I",T450&lt;5,"Group II",T450&lt;10,"Group III",T450&lt;20,"Group IV",T450&lt;50,"Group V",T450&lt;100,"Group VI",T450&lt;200,"Group VII",T450&lt;500,"Group VIII",T450&lt;1000,"Group IX",TRUE,"Group X")</f>
        <v>Group V</v>
      </c>
      <c r="V450" s="43">
        <f t="shared" si="80"/>
        <v>1.3994220957787289</v>
      </c>
      <c r="W450" s="43">
        <f t="shared" si="81"/>
        <v>3.9770299180327866</v>
      </c>
      <c r="X450" s="43">
        <f t="shared" si="87"/>
        <v>0.59955885806862463</v>
      </c>
      <c r="Y450" s="43">
        <f t="shared" si="82"/>
        <v>0.9527051727289344</v>
      </c>
      <c r="Z450" s="43">
        <f t="shared" si="88"/>
        <v>-2.1041476766733125E-2</v>
      </c>
      <c r="AA450" s="43">
        <f t="shared" si="89"/>
        <v>1.5185274015973926</v>
      </c>
      <c r="AB450" s="43">
        <f t="shared" si="90"/>
        <v>0.48942690773317538</v>
      </c>
    </row>
    <row r="451" spans="1:28">
      <c r="A451" s="48" t="s">
        <v>55</v>
      </c>
      <c r="B451" s="50">
        <v>350</v>
      </c>
      <c r="C451" s="50">
        <v>2400</v>
      </c>
      <c r="D451" s="50">
        <v>6.6970000000000001</v>
      </c>
      <c r="E451" s="50">
        <v>161.79369250985545</v>
      </c>
      <c r="F451" s="50">
        <v>1585.0854139290407</v>
      </c>
      <c r="G451" s="57" t="s">
        <v>97</v>
      </c>
      <c r="H451" s="50">
        <v>0.20699999999999999</v>
      </c>
      <c r="I451" s="50">
        <v>24.4</v>
      </c>
      <c r="J451" s="50">
        <v>630</v>
      </c>
      <c r="K451" s="50">
        <v>1587</v>
      </c>
      <c r="L451" s="50">
        <v>0.7</v>
      </c>
      <c r="M451" s="50">
        <v>190.49</v>
      </c>
      <c r="N451" s="51">
        <v>163.52000000000001</v>
      </c>
      <c r="O451" s="43">
        <f t="shared" si="86"/>
        <v>0.30000000000000004</v>
      </c>
      <c r="P451" s="43">
        <f t="shared" si="76"/>
        <v>287.02869250985543</v>
      </c>
      <c r="Q451" s="43">
        <f t="shared" si="77"/>
        <v>1.7601074531173018E-5</v>
      </c>
      <c r="R451" s="43">
        <v>35</v>
      </c>
      <c r="S451" s="43">
        <f t="shared" si="78"/>
        <v>0.14583333333333334</v>
      </c>
      <c r="T451" s="43">
        <f t="shared" si="79"/>
        <v>22.899788578773578</v>
      </c>
      <c r="U451" s="43" t="str" cm="1">
        <f t="array" ref="U451">_xlfn.IFS(T451&lt;3,"Group I",T451&lt;5,"Group II",T451&lt;10,"Group III",T451&lt;20,"Group IV",T451&lt;50,"Group V",T451&lt;100,"Group VI",T451&lt;200,"Group VII",T451&lt;500,"Group VIII",T451&lt;1000,"Group IX",TRUE,"Group X")</f>
        <v>Group V</v>
      </c>
      <c r="V451" s="43">
        <f t="shared" si="80"/>
        <v>1.3598314727549163</v>
      </c>
      <c r="W451" s="43">
        <f t="shared" si="81"/>
        <v>4.7724359016393443</v>
      </c>
      <c r="X451" s="43">
        <f t="shared" si="87"/>
        <v>0.67874010411624952</v>
      </c>
      <c r="Y451" s="43">
        <f t="shared" si="82"/>
        <v>0.85841776471205844</v>
      </c>
      <c r="Z451" s="43">
        <f t="shared" si="88"/>
        <v>-6.6301303348037341E-2</v>
      </c>
      <c r="AA451" s="43">
        <f t="shared" si="89"/>
        <v>1.3976318554260674</v>
      </c>
      <c r="AB451" s="43">
        <f t="shared" si="90"/>
        <v>0.47631449253905211</v>
      </c>
    </row>
    <row r="452" spans="1:28">
      <c r="A452" s="48" t="s">
        <v>55</v>
      </c>
      <c r="B452" s="50">
        <v>100</v>
      </c>
      <c r="C452" s="50">
        <v>300</v>
      </c>
      <c r="D452" s="50">
        <v>6.6970000000000001</v>
      </c>
      <c r="E452" s="50">
        <v>161.79369250985545</v>
      </c>
      <c r="F452" s="50">
        <v>1585.0854139290407</v>
      </c>
      <c r="G452" s="57" t="s">
        <v>97</v>
      </c>
      <c r="H452" s="50">
        <v>0.20699999999999999</v>
      </c>
      <c r="I452" s="50">
        <v>24.4</v>
      </c>
      <c r="J452" s="50">
        <v>630</v>
      </c>
      <c r="K452" s="50">
        <v>1587</v>
      </c>
      <c r="L452" s="50">
        <v>0.7</v>
      </c>
      <c r="M452" s="50">
        <v>253.14</v>
      </c>
      <c r="N452" s="51">
        <v>176.33</v>
      </c>
      <c r="O452" s="43">
        <f t="shared" si="86"/>
        <v>0.30000000000000004</v>
      </c>
      <c r="P452" s="43">
        <f t="shared" ref="P452:P515" si="91">H452*(J452-25)+E452</f>
        <v>287.02869250985543</v>
      </c>
      <c r="Q452" s="43">
        <f t="shared" ref="Q452:Q515" si="92">I452/(D452*H452*10^6)</f>
        <v>1.7601074531173018E-5</v>
      </c>
      <c r="R452" s="43">
        <v>35</v>
      </c>
      <c r="S452" s="43">
        <f t="shared" ref="S452:S515" si="93">B452/C452</f>
        <v>0.33333333333333331</v>
      </c>
      <c r="T452" s="43">
        <f t="shared" ref="T452:T515" si="94">(O452*B452)/(D452*P452*1000000*SQRT(PI()*(R452*0.000001)^3*Q452*(C452/1000)))</f>
        <v>18.505823762044631</v>
      </c>
      <c r="U452" s="43" t="str" cm="1">
        <f t="array" ref="U452">_xlfn.IFS(T452&lt;3,"Group I",T452&lt;5,"Group II",T452&lt;10,"Group III",T452&lt;20,"Group IV",T452&lt;50,"Group V",T452&lt;100,"Group VI",T452&lt;200,"Group VII",T452&lt;500,"Group VIII",T452&lt;1000,"Group IX",TRUE,"Group X")</f>
        <v>Group IV</v>
      </c>
      <c r="V452" s="43">
        <f t="shared" ref="V452:V515" si="95">LOG(T452)</f>
        <v>1.2673084219006128</v>
      </c>
      <c r="W452" s="43">
        <f t="shared" ref="W452:W515" si="96">(C452/1000)*(R452/1000000)/Q452</f>
        <v>0.59655448770491804</v>
      </c>
      <c r="X452" s="43">
        <f t="shared" si="87"/>
        <v>-0.2243498828756941</v>
      </c>
      <c r="Y452" s="43">
        <f t="shared" ref="Y452:Y515" si="97">N452/M452</f>
        <v>0.69657106739353725</v>
      </c>
      <c r="Z452" s="43">
        <f t="shared" si="88"/>
        <v>-0.1570345682531547</v>
      </c>
      <c r="AA452" s="43">
        <f t="shared" si="89"/>
        <v>1.0286266764531695</v>
      </c>
      <c r="AB452" s="43">
        <f t="shared" si="90"/>
        <v>0.44702434847709838</v>
      </c>
    </row>
    <row r="453" spans="1:28">
      <c r="A453" s="48" t="s">
        <v>55</v>
      </c>
      <c r="B453" s="50">
        <v>150</v>
      </c>
      <c r="C453" s="50">
        <v>300</v>
      </c>
      <c r="D453" s="50">
        <v>6.6970000000000001</v>
      </c>
      <c r="E453" s="50">
        <v>161.79369250985545</v>
      </c>
      <c r="F453" s="50">
        <v>1585.0854139290407</v>
      </c>
      <c r="G453" s="57" t="s">
        <v>97</v>
      </c>
      <c r="H453" s="50">
        <v>0.20699999999999999</v>
      </c>
      <c r="I453" s="50">
        <v>24.4</v>
      </c>
      <c r="J453" s="50">
        <v>630</v>
      </c>
      <c r="K453" s="50">
        <v>1587</v>
      </c>
      <c r="L453" s="50">
        <v>0.7</v>
      </c>
      <c r="M453" s="50">
        <v>224</v>
      </c>
      <c r="N453" s="51">
        <v>266.23</v>
      </c>
      <c r="O453" s="43">
        <f t="shared" si="86"/>
        <v>0.30000000000000004</v>
      </c>
      <c r="P453" s="43">
        <f t="shared" si="91"/>
        <v>287.02869250985543</v>
      </c>
      <c r="Q453" s="43">
        <f t="shared" si="92"/>
        <v>1.7601074531173018E-5</v>
      </c>
      <c r="R453" s="43">
        <v>35</v>
      </c>
      <c r="S453" s="43">
        <f t="shared" si="93"/>
        <v>0.5</v>
      </c>
      <c r="T453" s="43">
        <f t="shared" si="94"/>
        <v>27.758735643066949</v>
      </c>
      <c r="U453" s="43" t="str" cm="1">
        <f t="array" ref="U453">_xlfn.IFS(T453&lt;3,"Group I",T453&lt;5,"Group II",T453&lt;10,"Group III",T453&lt;20,"Group IV",T453&lt;50,"Group V",T453&lt;100,"Group VI",T453&lt;200,"Group VII",T453&lt;500,"Group VIII",T453&lt;1000,"Group IX",TRUE,"Group X")</f>
        <v>Group V</v>
      </c>
      <c r="V453" s="43">
        <f t="shared" si="95"/>
        <v>1.4433996809562939</v>
      </c>
      <c r="W453" s="43">
        <f t="shared" si="96"/>
        <v>0.59655448770491804</v>
      </c>
      <c r="X453" s="43">
        <f t="shared" si="87"/>
        <v>-0.2243498828756941</v>
      </c>
      <c r="Y453" s="43">
        <f t="shared" si="97"/>
        <v>1.1885267857142858</v>
      </c>
      <c r="Z453" s="43">
        <f t="shared" si="88"/>
        <v>7.5008973827617287E-2</v>
      </c>
      <c r="AA453" s="43">
        <f t="shared" si="89"/>
        <v>1.5429400146797545</v>
      </c>
      <c r="AB453" s="43">
        <f t="shared" si="90"/>
        <v>0.50441589672455078</v>
      </c>
    </row>
    <row r="454" spans="1:28">
      <c r="A454" s="48" t="s">
        <v>55</v>
      </c>
      <c r="B454" s="50">
        <v>200</v>
      </c>
      <c r="C454" s="50">
        <v>300</v>
      </c>
      <c r="D454" s="50">
        <v>6.6970000000000001</v>
      </c>
      <c r="E454" s="50">
        <v>161.79369250985545</v>
      </c>
      <c r="F454" s="50">
        <v>1585.0854139290407</v>
      </c>
      <c r="G454" s="57" t="s">
        <v>97</v>
      </c>
      <c r="H454" s="50">
        <v>0.20699999999999999</v>
      </c>
      <c r="I454" s="50">
        <v>24.4</v>
      </c>
      <c r="J454" s="50">
        <v>630</v>
      </c>
      <c r="K454" s="50">
        <v>1587</v>
      </c>
      <c r="L454" s="50">
        <v>0.7</v>
      </c>
      <c r="M454" s="50">
        <v>211.57</v>
      </c>
      <c r="N454" s="51">
        <v>423.83</v>
      </c>
      <c r="O454" s="43">
        <f t="shared" si="86"/>
        <v>0.30000000000000004</v>
      </c>
      <c r="P454" s="43">
        <f t="shared" si="91"/>
        <v>287.02869250985543</v>
      </c>
      <c r="Q454" s="43">
        <f t="shared" si="92"/>
        <v>1.7601074531173018E-5</v>
      </c>
      <c r="R454" s="43">
        <v>35</v>
      </c>
      <c r="S454" s="43">
        <f t="shared" si="93"/>
        <v>0.66666666666666663</v>
      </c>
      <c r="T454" s="43">
        <f t="shared" si="94"/>
        <v>37.011647524089263</v>
      </c>
      <c r="U454" s="43" t="str" cm="1">
        <f t="array" ref="U454">_xlfn.IFS(T454&lt;3,"Group I",T454&lt;5,"Group II",T454&lt;10,"Group III",T454&lt;20,"Group IV",T454&lt;50,"Group V",T454&lt;100,"Group VI",T454&lt;200,"Group VII",T454&lt;500,"Group VIII",T454&lt;1000,"Group IX",TRUE,"Group X")</f>
        <v>Group V</v>
      </c>
      <c r="V454" s="43">
        <f t="shared" si="95"/>
        <v>1.5683384175645938</v>
      </c>
      <c r="W454" s="43">
        <f t="shared" si="96"/>
        <v>0.59655448770491804</v>
      </c>
      <c r="X454" s="43">
        <f t="shared" si="87"/>
        <v>-0.2243498828756941</v>
      </c>
      <c r="Y454" s="43">
        <f t="shared" si="97"/>
        <v>2.0032613319468733</v>
      </c>
      <c r="Z454" s="43">
        <f t="shared" si="88"/>
        <v>0.30173760811497063</v>
      </c>
      <c r="AA454" s="43">
        <f t="shared" si="89"/>
        <v>2.057253352906339</v>
      </c>
      <c r="AB454" s="43">
        <f t="shared" si="90"/>
        <v>0.54955101533301798</v>
      </c>
    </row>
    <row r="455" spans="1:28">
      <c r="A455" s="48" t="s">
        <v>55</v>
      </c>
      <c r="B455" s="50">
        <v>250</v>
      </c>
      <c r="C455" s="50">
        <v>300</v>
      </c>
      <c r="D455" s="50">
        <v>6.6970000000000001</v>
      </c>
      <c r="E455" s="50">
        <v>161.79369250985545</v>
      </c>
      <c r="F455" s="50">
        <v>1585.0854139290407</v>
      </c>
      <c r="G455" s="57" t="s">
        <v>97</v>
      </c>
      <c r="H455" s="50">
        <v>0.20699999999999999</v>
      </c>
      <c r="I455" s="50">
        <v>24.4</v>
      </c>
      <c r="J455" s="50">
        <v>630</v>
      </c>
      <c r="K455" s="50">
        <v>1587</v>
      </c>
      <c r="L455" s="50">
        <v>0.7</v>
      </c>
      <c r="M455" s="50">
        <v>210</v>
      </c>
      <c r="N455" s="51">
        <v>434</v>
      </c>
      <c r="O455" s="43">
        <f t="shared" si="86"/>
        <v>0.30000000000000004</v>
      </c>
      <c r="P455" s="43">
        <f t="shared" si="91"/>
        <v>287.02869250985543</v>
      </c>
      <c r="Q455" s="43">
        <f t="shared" si="92"/>
        <v>1.7601074531173018E-5</v>
      </c>
      <c r="R455" s="43">
        <v>35</v>
      </c>
      <c r="S455" s="43">
        <f t="shared" si="93"/>
        <v>0.83333333333333337</v>
      </c>
      <c r="T455" s="43">
        <f t="shared" si="94"/>
        <v>46.264559405111584</v>
      </c>
      <c r="U455" s="43" t="str" cm="1">
        <f t="array" ref="U455">_xlfn.IFS(T455&lt;3,"Group I",T455&lt;5,"Group II",T455&lt;10,"Group III",T455&lt;20,"Group IV",T455&lt;50,"Group V",T455&lt;100,"Group VI",T455&lt;200,"Group VII",T455&lt;500,"Group VIII",T455&lt;1000,"Group IX",TRUE,"Group X")</f>
        <v>Group V</v>
      </c>
      <c r="V455" s="43">
        <f t="shared" si="95"/>
        <v>1.6652484305726503</v>
      </c>
      <c r="W455" s="43">
        <f t="shared" si="96"/>
        <v>0.59655448770491804</v>
      </c>
      <c r="X455" s="43">
        <f t="shared" si="87"/>
        <v>-0.2243498828756941</v>
      </c>
      <c r="Y455" s="43">
        <f t="shared" si="97"/>
        <v>2.0666666666666669</v>
      </c>
      <c r="Z455" s="43">
        <f t="shared" si="88"/>
        <v>0.31527043477859146</v>
      </c>
      <c r="AA455" s="43">
        <f t="shared" si="89"/>
        <v>2.5715666911329245</v>
      </c>
      <c r="AB455" s="43">
        <f t="shared" si="90"/>
        <v>0.58732367482965719</v>
      </c>
    </row>
    <row r="456" spans="1:28">
      <c r="A456" s="48" t="s">
        <v>55</v>
      </c>
      <c r="B456" s="50">
        <v>300</v>
      </c>
      <c r="C456" s="50">
        <v>300</v>
      </c>
      <c r="D456" s="50">
        <v>6.6970000000000001</v>
      </c>
      <c r="E456" s="50">
        <v>161.79369250985545</v>
      </c>
      <c r="F456" s="50">
        <v>1585.0854139290407</v>
      </c>
      <c r="G456" s="57" t="s">
        <v>97</v>
      </c>
      <c r="H456" s="50">
        <v>0.20699999999999999</v>
      </c>
      <c r="I456" s="50">
        <v>24.4</v>
      </c>
      <c r="J456" s="50">
        <v>630</v>
      </c>
      <c r="K456" s="50">
        <v>1587</v>
      </c>
      <c r="L456" s="50">
        <v>0.7</v>
      </c>
      <c r="M456" s="50">
        <v>170</v>
      </c>
      <c r="N456" s="51">
        <v>445</v>
      </c>
      <c r="O456" s="43">
        <f t="shared" si="86"/>
        <v>0.30000000000000004</v>
      </c>
      <c r="P456" s="43">
        <f t="shared" si="91"/>
        <v>287.02869250985543</v>
      </c>
      <c r="Q456" s="43">
        <f t="shared" si="92"/>
        <v>1.7601074531173018E-5</v>
      </c>
      <c r="R456" s="43">
        <v>35</v>
      </c>
      <c r="S456" s="43">
        <f t="shared" si="93"/>
        <v>1</v>
      </c>
      <c r="T456" s="43">
        <f t="shared" si="94"/>
        <v>55.517471286133897</v>
      </c>
      <c r="U456" s="43" t="str" cm="1">
        <f t="array" ref="U456">_xlfn.IFS(T456&lt;3,"Group I",T456&lt;5,"Group II",T456&lt;10,"Group III",T456&lt;20,"Group IV",T456&lt;50,"Group V",T456&lt;100,"Group VI",T456&lt;200,"Group VII",T456&lt;500,"Group VIII",T456&lt;1000,"Group IX",TRUE,"Group X")</f>
        <v>Group VI</v>
      </c>
      <c r="V456" s="43">
        <f t="shared" si="95"/>
        <v>1.7444296766202751</v>
      </c>
      <c r="W456" s="43">
        <f t="shared" si="96"/>
        <v>0.59655448770491804</v>
      </c>
      <c r="X456" s="43">
        <f t="shared" si="87"/>
        <v>-0.2243498828756941</v>
      </c>
      <c r="Y456" s="43">
        <f t="shared" si="97"/>
        <v>2.6176470588235294</v>
      </c>
      <c r="Z456" s="43">
        <f t="shared" si="88"/>
        <v>0.41791108960265766</v>
      </c>
      <c r="AA456" s="43">
        <f t="shared" si="89"/>
        <v>3.085880029359509</v>
      </c>
      <c r="AB456" s="43">
        <f t="shared" si="90"/>
        <v>0.62010552476492908</v>
      </c>
    </row>
    <row r="457" spans="1:28">
      <c r="A457" s="48" t="s">
        <v>55</v>
      </c>
      <c r="B457" s="50">
        <v>100</v>
      </c>
      <c r="C457" s="50">
        <v>600</v>
      </c>
      <c r="D457" s="50">
        <v>6.6970000000000001</v>
      </c>
      <c r="E457" s="50">
        <v>161.79369250985545</v>
      </c>
      <c r="F457" s="50">
        <v>1585.0854139290407</v>
      </c>
      <c r="G457" s="57" t="s">
        <v>97</v>
      </c>
      <c r="H457" s="50">
        <v>0.20699999999999999</v>
      </c>
      <c r="I457" s="50">
        <v>24.4</v>
      </c>
      <c r="J457" s="50">
        <v>630</v>
      </c>
      <c r="K457" s="50">
        <v>1587</v>
      </c>
      <c r="L457" s="50">
        <v>0.7</v>
      </c>
      <c r="M457" s="50">
        <v>122.9</v>
      </c>
      <c r="N457" s="51">
        <v>34.200000000000003</v>
      </c>
      <c r="O457" s="43">
        <f t="shared" si="86"/>
        <v>0.30000000000000004</v>
      </c>
      <c r="P457" s="43">
        <f t="shared" si="91"/>
        <v>287.02869250985543</v>
      </c>
      <c r="Q457" s="43">
        <f t="shared" si="92"/>
        <v>1.7601074531173018E-5</v>
      </c>
      <c r="R457" s="43">
        <v>35</v>
      </c>
      <c r="S457" s="43">
        <f t="shared" si="93"/>
        <v>0.16666666666666666</v>
      </c>
      <c r="T457" s="43">
        <f t="shared" si="94"/>
        <v>13.085593473584902</v>
      </c>
      <c r="U457" s="43" t="str" cm="1">
        <f t="array" ref="U457">_xlfn.IFS(T457&lt;3,"Group I",T457&lt;5,"Group II",T457&lt;10,"Group III",T457&lt;20,"Group IV",T457&lt;50,"Group V",T457&lt;100,"Group VI",T457&lt;200,"Group VII",T457&lt;500,"Group VIII",T457&lt;1000,"Group IX",TRUE,"Group X")</f>
        <v>Group IV</v>
      </c>
      <c r="V457" s="43">
        <f t="shared" si="95"/>
        <v>1.1167934240686219</v>
      </c>
      <c r="W457" s="43">
        <f t="shared" si="96"/>
        <v>1.1931089754098361</v>
      </c>
      <c r="X457" s="43">
        <f t="shared" si="87"/>
        <v>7.6680112788287111E-2</v>
      </c>
      <c r="Y457" s="43">
        <f t="shared" si="97"/>
        <v>0.27827502034174129</v>
      </c>
      <c r="Z457" s="43">
        <f t="shared" si="88"/>
        <v>-0.55552577683031901</v>
      </c>
      <c r="AA457" s="43">
        <f t="shared" si="89"/>
        <v>0.75037801995216302</v>
      </c>
      <c r="AB457" s="43">
        <f t="shared" si="90"/>
        <v>0.40317422614063786</v>
      </c>
    </row>
    <row r="458" spans="1:28">
      <c r="A458" s="48" t="s">
        <v>55</v>
      </c>
      <c r="B458" s="50">
        <v>150</v>
      </c>
      <c r="C458" s="50">
        <v>600</v>
      </c>
      <c r="D458" s="50">
        <v>6.6970000000000001</v>
      </c>
      <c r="E458" s="50">
        <v>161.79369250985545</v>
      </c>
      <c r="F458" s="50">
        <v>1585.0854139290407</v>
      </c>
      <c r="G458" s="57" t="s">
        <v>97</v>
      </c>
      <c r="H458" s="50">
        <v>0.20699999999999999</v>
      </c>
      <c r="I458" s="50">
        <v>24.4</v>
      </c>
      <c r="J458" s="50">
        <v>630</v>
      </c>
      <c r="K458" s="50">
        <v>1587</v>
      </c>
      <c r="L458" s="50">
        <v>0.7</v>
      </c>
      <c r="M458" s="50">
        <v>131.72999999999999</v>
      </c>
      <c r="N458" s="51">
        <v>66.44</v>
      </c>
      <c r="O458" s="43">
        <f t="shared" si="86"/>
        <v>0.30000000000000004</v>
      </c>
      <c r="P458" s="43">
        <f t="shared" si="91"/>
        <v>287.02869250985543</v>
      </c>
      <c r="Q458" s="43">
        <f t="shared" si="92"/>
        <v>1.7601074531173018E-5</v>
      </c>
      <c r="R458" s="43">
        <v>35</v>
      </c>
      <c r="S458" s="43">
        <f t="shared" si="93"/>
        <v>0.25</v>
      </c>
      <c r="T458" s="43">
        <f t="shared" si="94"/>
        <v>19.628390210377354</v>
      </c>
      <c r="U458" s="43" t="str" cm="1">
        <f t="array" ref="U458">_xlfn.IFS(T458&lt;3,"Group I",T458&lt;5,"Group II",T458&lt;10,"Group III",T458&lt;20,"Group IV",T458&lt;50,"Group V",T458&lt;100,"Group VI",T458&lt;200,"Group VII",T458&lt;500,"Group VIII",T458&lt;1000,"Group IX",TRUE,"Group X")</f>
        <v>Group IV</v>
      </c>
      <c r="V458" s="43">
        <f t="shared" si="95"/>
        <v>1.2928846831243033</v>
      </c>
      <c r="W458" s="43">
        <f t="shared" si="96"/>
        <v>1.1931089754098361</v>
      </c>
      <c r="X458" s="43">
        <f t="shared" si="87"/>
        <v>7.6680112788287111E-2</v>
      </c>
      <c r="Y458" s="43">
        <f t="shared" si="97"/>
        <v>0.50436498899263649</v>
      </c>
      <c r="Z458" s="43">
        <f t="shared" si="88"/>
        <v>-0.29725506804469332</v>
      </c>
      <c r="AA458" s="43">
        <f t="shared" si="89"/>
        <v>1.1255670299282448</v>
      </c>
      <c r="AB458" s="43">
        <f t="shared" si="90"/>
        <v>0.45493604432908291</v>
      </c>
    </row>
    <row r="459" spans="1:28">
      <c r="A459" s="48" t="s">
        <v>55</v>
      </c>
      <c r="B459" s="50">
        <v>200</v>
      </c>
      <c r="C459" s="50">
        <v>600</v>
      </c>
      <c r="D459" s="50">
        <v>6.6970000000000001</v>
      </c>
      <c r="E459" s="50">
        <v>161.79369250985545</v>
      </c>
      <c r="F459" s="50">
        <v>1585.0854139290407</v>
      </c>
      <c r="G459" s="57" t="s">
        <v>97</v>
      </c>
      <c r="H459" s="50">
        <v>0.20699999999999999</v>
      </c>
      <c r="I459" s="50">
        <v>24.4</v>
      </c>
      <c r="J459" s="50">
        <v>630</v>
      </c>
      <c r="K459" s="50">
        <v>1587</v>
      </c>
      <c r="L459" s="50">
        <v>0.7</v>
      </c>
      <c r="M459" s="50">
        <v>151.22999999999999</v>
      </c>
      <c r="N459" s="51">
        <v>60.93</v>
      </c>
      <c r="O459" s="43">
        <f t="shared" si="86"/>
        <v>0.30000000000000004</v>
      </c>
      <c r="P459" s="43">
        <f t="shared" si="91"/>
        <v>287.02869250985543</v>
      </c>
      <c r="Q459" s="43">
        <f t="shared" si="92"/>
        <v>1.7601074531173018E-5</v>
      </c>
      <c r="R459" s="43">
        <v>35</v>
      </c>
      <c r="S459" s="43">
        <f t="shared" si="93"/>
        <v>0.33333333333333331</v>
      </c>
      <c r="T459" s="43">
        <f t="shared" si="94"/>
        <v>26.171186947169804</v>
      </c>
      <c r="U459" s="43" t="str" cm="1">
        <f t="array" ref="U459">_xlfn.IFS(T459&lt;3,"Group I",T459&lt;5,"Group II",T459&lt;10,"Group III",T459&lt;20,"Group IV",T459&lt;50,"Group V",T459&lt;100,"Group VI",T459&lt;200,"Group VII",T459&lt;500,"Group VIII",T459&lt;1000,"Group IX",TRUE,"Group X")</f>
        <v>Group V</v>
      </c>
      <c r="V459" s="43">
        <f t="shared" si="95"/>
        <v>1.4178234197326032</v>
      </c>
      <c r="W459" s="43">
        <f t="shared" si="96"/>
        <v>1.1931089754098361</v>
      </c>
      <c r="X459" s="43">
        <f t="shared" si="87"/>
        <v>7.6680112788287111E-2</v>
      </c>
      <c r="Y459" s="43">
        <f t="shared" si="97"/>
        <v>0.40289625074390006</v>
      </c>
      <c r="Z459" s="43">
        <f t="shared" si="88"/>
        <v>-0.39480677403334374</v>
      </c>
      <c r="AA459" s="43">
        <f t="shared" si="89"/>
        <v>1.500756039904326</v>
      </c>
      <c r="AB459" s="43">
        <f t="shared" si="90"/>
        <v>0.49564370729806528</v>
      </c>
    </row>
    <row r="460" spans="1:28">
      <c r="A460" s="48" t="s">
        <v>55</v>
      </c>
      <c r="B460" s="50">
        <v>250</v>
      </c>
      <c r="C460" s="50">
        <v>600</v>
      </c>
      <c r="D460" s="50">
        <v>6.6970000000000001</v>
      </c>
      <c r="E460" s="50">
        <v>161.79369250985545</v>
      </c>
      <c r="F460" s="50">
        <v>1585.0854139290407</v>
      </c>
      <c r="G460" s="57" t="s">
        <v>97</v>
      </c>
      <c r="H460" s="50">
        <v>0.20699999999999999</v>
      </c>
      <c r="I460" s="50">
        <v>24.4</v>
      </c>
      <c r="J460" s="50">
        <v>630</v>
      </c>
      <c r="K460" s="50">
        <v>1587</v>
      </c>
      <c r="L460" s="50">
        <v>0.7</v>
      </c>
      <c r="M460" s="50">
        <v>164</v>
      </c>
      <c r="N460" s="51">
        <v>65</v>
      </c>
      <c r="O460" s="43">
        <f t="shared" si="86"/>
        <v>0.30000000000000004</v>
      </c>
      <c r="P460" s="43">
        <f t="shared" si="91"/>
        <v>287.02869250985543</v>
      </c>
      <c r="Q460" s="43">
        <f t="shared" si="92"/>
        <v>1.7601074531173018E-5</v>
      </c>
      <c r="R460" s="43">
        <v>35</v>
      </c>
      <c r="S460" s="43">
        <f t="shared" si="93"/>
        <v>0.41666666666666669</v>
      </c>
      <c r="T460" s="43">
        <f t="shared" si="94"/>
        <v>32.713983683962255</v>
      </c>
      <c r="U460" s="43" t="str" cm="1">
        <f t="array" ref="U460">_xlfn.IFS(T460&lt;3,"Group I",T460&lt;5,"Group II",T460&lt;10,"Group III",T460&lt;20,"Group IV",T460&lt;50,"Group V",T460&lt;100,"Group VI",T460&lt;200,"Group VII",T460&lt;500,"Group VIII",T460&lt;1000,"Group IX",TRUE,"Group X")</f>
        <v>Group V</v>
      </c>
      <c r="V460" s="43">
        <f t="shared" si="95"/>
        <v>1.5147334327406596</v>
      </c>
      <c r="W460" s="43">
        <f t="shared" si="96"/>
        <v>1.1931089754098361</v>
      </c>
      <c r="X460" s="43">
        <f t="shared" si="87"/>
        <v>7.6680112788287111E-2</v>
      </c>
      <c r="Y460" s="43">
        <f t="shared" si="97"/>
        <v>0.39634146341463417</v>
      </c>
      <c r="Z460" s="43">
        <f t="shared" si="88"/>
        <v>-0.40193049140484227</v>
      </c>
      <c r="AA460" s="43">
        <f t="shared" si="89"/>
        <v>1.8759450498804076</v>
      </c>
      <c r="AB460" s="43">
        <f t="shared" si="90"/>
        <v>0.52971111954017835</v>
      </c>
    </row>
    <row r="461" spans="1:28">
      <c r="A461" s="48" t="s">
        <v>55</v>
      </c>
      <c r="B461" s="50">
        <v>300</v>
      </c>
      <c r="C461" s="50">
        <v>600</v>
      </c>
      <c r="D461" s="50">
        <v>6.6970000000000001</v>
      </c>
      <c r="E461" s="50">
        <v>161.79369250985545</v>
      </c>
      <c r="F461" s="50">
        <v>1585.0854139290407</v>
      </c>
      <c r="G461" s="57" t="s">
        <v>97</v>
      </c>
      <c r="H461" s="50">
        <v>0.20699999999999999</v>
      </c>
      <c r="I461" s="50">
        <v>24.4</v>
      </c>
      <c r="J461" s="50">
        <v>630</v>
      </c>
      <c r="K461" s="50">
        <v>1587</v>
      </c>
      <c r="L461" s="50">
        <v>0.7</v>
      </c>
      <c r="M461" s="50">
        <v>170</v>
      </c>
      <c r="N461" s="51">
        <v>79</v>
      </c>
      <c r="O461" s="43">
        <f t="shared" si="86"/>
        <v>0.30000000000000004</v>
      </c>
      <c r="P461" s="43">
        <f t="shared" si="91"/>
        <v>287.02869250985543</v>
      </c>
      <c r="Q461" s="43">
        <f t="shared" si="92"/>
        <v>1.7601074531173018E-5</v>
      </c>
      <c r="R461" s="43">
        <v>35</v>
      </c>
      <c r="S461" s="43">
        <f t="shared" si="93"/>
        <v>0.5</v>
      </c>
      <c r="T461" s="43">
        <f t="shared" si="94"/>
        <v>39.256780420754708</v>
      </c>
      <c r="U461" s="43" t="str" cm="1">
        <f t="array" ref="U461">_xlfn.IFS(T461&lt;3,"Group I",T461&lt;5,"Group II",T461&lt;10,"Group III",T461&lt;20,"Group IV",T461&lt;50,"Group V",T461&lt;100,"Group VI",T461&lt;200,"Group VII",T461&lt;500,"Group VIII",T461&lt;1000,"Group IX",TRUE,"Group X")</f>
        <v>Group V</v>
      </c>
      <c r="V461" s="43">
        <f t="shared" si="95"/>
        <v>1.5939146787882845</v>
      </c>
      <c r="W461" s="43">
        <f t="shared" si="96"/>
        <v>1.1931089754098361</v>
      </c>
      <c r="X461" s="43">
        <f t="shared" si="87"/>
        <v>7.6680112788287111E-2</v>
      </c>
      <c r="Y461" s="43">
        <f t="shared" si="97"/>
        <v>0.46470588235294119</v>
      </c>
      <c r="Z461" s="43">
        <f t="shared" si="88"/>
        <v>-0.3328218300878325</v>
      </c>
      <c r="AA461" s="43">
        <f t="shared" si="89"/>
        <v>2.2511340598564895</v>
      </c>
      <c r="AB461" s="43">
        <f t="shared" si="90"/>
        <v>0.55927728752216432</v>
      </c>
    </row>
    <row r="462" spans="1:28">
      <c r="A462" s="48" t="s">
        <v>55</v>
      </c>
      <c r="B462" s="50">
        <v>100</v>
      </c>
      <c r="C462" s="50">
        <v>900</v>
      </c>
      <c r="D462" s="50">
        <v>6.6970000000000001</v>
      </c>
      <c r="E462" s="50">
        <v>161.79369250985545</v>
      </c>
      <c r="F462" s="50">
        <v>1585.0854139290407</v>
      </c>
      <c r="G462" s="57" t="s">
        <v>97</v>
      </c>
      <c r="H462" s="50">
        <v>0.20699999999999999</v>
      </c>
      <c r="I462" s="50">
        <v>24.4</v>
      </c>
      <c r="J462" s="50">
        <v>630</v>
      </c>
      <c r="K462" s="50">
        <v>1587</v>
      </c>
      <c r="L462" s="50">
        <v>0.7</v>
      </c>
      <c r="M462" s="50">
        <v>141</v>
      </c>
      <c r="N462" s="51">
        <v>45.7</v>
      </c>
      <c r="O462" s="43">
        <f t="shared" si="86"/>
        <v>0.30000000000000004</v>
      </c>
      <c r="P462" s="43">
        <f t="shared" si="91"/>
        <v>287.02869250985543</v>
      </c>
      <c r="Q462" s="43">
        <f t="shared" si="92"/>
        <v>1.7601074531173018E-5</v>
      </c>
      <c r="R462" s="43">
        <v>35</v>
      </c>
      <c r="S462" s="43">
        <f t="shared" si="93"/>
        <v>0.1111111111111111</v>
      </c>
      <c r="T462" s="43">
        <f t="shared" si="94"/>
        <v>10.684342330592239</v>
      </c>
      <c r="U462" s="43" t="str" cm="1">
        <f t="array" ref="U462">_xlfn.IFS(T462&lt;3,"Group I",T462&lt;5,"Group II",T462&lt;10,"Group III",T462&lt;20,"Group IV",T462&lt;50,"Group V",T462&lt;100,"Group VI",T462&lt;200,"Group VII",T462&lt;500,"Group VIII",T462&lt;1000,"Group IX",TRUE,"Group X")</f>
        <v>Group IV</v>
      </c>
      <c r="V462" s="43">
        <f t="shared" si="95"/>
        <v>1.0287477945407815</v>
      </c>
      <c r="W462" s="43">
        <f t="shared" si="96"/>
        <v>1.7896634631147541</v>
      </c>
      <c r="X462" s="43">
        <f t="shared" si="87"/>
        <v>0.25277137184396836</v>
      </c>
      <c r="Y462" s="43">
        <f t="shared" si="97"/>
        <v>0.32411347517730499</v>
      </c>
      <c r="Z462" s="43">
        <f t="shared" si="88"/>
        <v>-0.48930291258552966</v>
      </c>
      <c r="AA462" s="43">
        <f t="shared" si="89"/>
        <v>0.62395504219662201</v>
      </c>
      <c r="AB462" s="43">
        <f t="shared" si="90"/>
        <v>0.37954560602677323</v>
      </c>
    </row>
    <row r="463" spans="1:28">
      <c r="A463" s="48" t="s">
        <v>55</v>
      </c>
      <c r="B463" s="50">
        <v>150</v>
      </c>
      <c r="C463" s="50">
        <v>900</v>
      </c>
      <c r="D463" s="50">
        <v>6.6970000000000001</v>
      </c>
      <c r="E463" s="50">
        <v>161.79369250985545</v>
      </c>
      <c r="F463" s="50">
        <v>1585.0854139290407</v>
      </c>
      <c r="G463" s="57" t="s">
        <v>97</v>
      </c>
      <c r="H463" s="50">
        <v>0.20699999999999999</v>
      </c>
      <c r="I463" s="50">
        <v>24.4</v>
      </c>
      <c r="J463" s="50">
        <v>630</v>
      </c>
      <c r="K463" s="50">
        <v>1587</v>
      </c>
      <c r="L463" s="50">
        <v>0.7</v>
      </c>
      <c r="M463" s="50">
        <v>137</v>
      </c>
      <c r="N463" s="51">
        <v>50.8</v>
      </c>
      <c r="O463" s="43">
        <f t="shared" si="86"/>
        <v>0.30000000000000004</v>
      </c>
      <c r="P463" s="43">
        <f t="shared" si="91"/>
        <v>287.02869250985543</v>
      </c>
      <c r="Q463" s="43">
        <f t="shared" si="92"/>
        <v>1.7601074531173018E-5</v>
      </c>
      <c r="R463" s="43">
        <v>35</v>
      </c>
      <c r="S463" s="43">
        <f t="shared" si="93"/>
        <v>0.16666666666666666</v>
      </c>
      <c r="T463" s="43">
        <f t="shared" si="94"/>
        <v>16.026513495888359</v>
      </c>
      <c r="U463" s="43" t="str" cm="1">
        <f t="array" ref="U463">_xlfn.IFS(T463&lt;3,"Group I",T463&lt;5,"Group II",T463&lt;10,"Group III",T463&lt;20,"Group IV",T463&lt;50,"Group V",T463&lt;100,"Group VI",T463&lt;200,"Group VII",T463&lt;500,"Group VIII",T463&lt;1000,"Group IX",TRUE,"Group X")</f>
        <v>Group IV</v>
      </c>
      <c r="V463" s="43">
        <f t="shared" si="95"/>
        <v>1.2048390535964626</v>
      </c>
      <c r="W463" s="43">
        <f t="shared" si="96"/>
        <v>1.7896634631147541</v>
      </c>
      <c r="X463" s="43">
        <f t="shared" si="87"/>
        <v>0.25277137184396836</v>
      </c>
      <c r="Y463" s="43">
        <f t="shared" si="97"/>
        <v>0.3708029197080292</v>
      </c>
      <c r="Z463" s="43">
        <f t="shared" si="88"/>
        <v>-0.43085685487248754</v>
      </c>
      <c r="AA463" s="43">
        <f t="shared" si="89"/>
        <v>0.93593256329493313</v>
      </c>
      <c r="AB463" s="43">
        <f t="shared" si="90"/>
        <v>0.42827384652329742</v>
      </c>
    </row>
    <row r="464" spans="1:28">
      <c r="A464" s="48" t="s">
        <v>55</v>
      </c>
      <c r="B464" s="50">
        <v>200</v>
      </c>
      <c r="C464" s="50">
        <v>900</v>
      </c>
      <c r="D464" s="50">
        <v>6.6970000000000001</v>
      </c>
      <c r="E464" s="50">
        <v>161.79369250985545</v>
      </c>
      <c r="F464" s="50">
        <v>1585.0854139290407</v>
      </c>
      <c r="G464" s="57" t="s">
        <v>97</v>
      </c>
      <c r="H464" s="50">
        <v>0.20699999999999999</v>
      </c>
      <c r="I464" s="50">
        <v>24.4</v>
      </c>
      <c r="J464" s="50">
        <v>630</v>
      </c>
      <c r="K464" s="50">
        <v>1587</v>
      </c>
      <c r="L464" s="50">
        <v>0.7</v>
      </c>
      <c r="M464" s="50">
        <v>145.88999999999999</v>
      </c>
      <c r="N464" s="51">
        <v>53.27</v>
      </c>
      <c r="O464" s="43">
        <f t="shared" si="86"/>
        <v>0.30000000000000004</v>
      </c>
      <c r="P464" s="43">
        <f t="shared" si="91"/>
        <v>287.02869250985543</v>
      </c>
      <c r="Q464" s="43">
        <f t="shared" si="92"/>
        <v>1.7601074531173018E-5</v>
      </c>
      <c r="R464" s="43">
        <v>35</v>
      </c>
      <c r="S464" s="43">
        <f t="shared" si="93"/>
        <v>0.22222222222222221</v>
      </c>
      <c r="T464" s="43">
        <f t="shared" si="94"/>
        <v>21.368684661184478</v>
      </c>
      <c r="U464" s="43" t="str" cm="1">
        <f t="array" ref="U464">_xlfn.IFS(T464&lt;3,"Group I",T464&lt;5,"Group II",T464&lt;10,"Group III",T464&lt;20,"Group IV",T464&lt;50,"Group V",T464&lt;100,"Group VI",T464&lt;200,"Group VII",T464&lt;500,"Group VIII",T464&lt;1000,"Group IX",TRUE,"Group X")</f>
        <v>Group V</v>
      </c>
      <c r="V464" s="43">
        <f t="shared" si="95"/>
        <v>1.3297777902047625</v>
      </c>
      <c r="W464" s="43">
        <f t="shared" si="96"/>
        <v>1.7896634631147541</v>
      </c>
      <c r="X464" s="43">
        <f t="shared" si="87"/>
        <v>0.25277137184396836</v>
      </c>
      <c r="Y464" s="43">
        <f t="shared" si="97"/>
        <v>0.36513811775995619</v>
      </c>
      <c r="Z464" s="43">
        <f t="shared" si="88"/>
        <v>-0.4375428275030101</v>
      </c>
      <c r="AA464" s="43">
        <f t="shared" si="89"/>
        <v>1.247910084393244</v>
      </c>
      <c r="AB464" s="43">
        <f t="shared" si="90"/>
        <v>0.46659577686937692</v>
      </c>
    </row>
    <row r="465" spans="1:28">
      <c r="A465" s="48" t="s">
        <v>55</v>
      </c>
      <c r="B465" s="50">
        <v>250</v>
      </c>
      <c r="C465" s="50">
        <v>900</v>
      </c>
      <c r="D465" s="50">
        <v>6.6970000000000001</v>
      </c>
      <c r="E465" s="50">
        <v>161.79369250985545</v>
      </c>
      <c r="F465" s="50">
        <v>1585.0854139290407</v>
      </c>
      <c r="G465" s="57" t="s">
        <v>97</v>
      </c>
      <c r="H465" s="50">
        <v>0.20699999999999999</v>
      </c>
      <c r="I465" s="50">
        <v>24.4</v>
      </c>
      <c r="J465" s="50">
        <v>630</v>
      </c>
      <c r="K465" s="50">
        <v>1587</v>
      </c>
      <c r="L465" s="50">
        <v>0.7</v>
      </c>
      <c r="M465" s="50">
        <v>165.35</v>
      </c>
      <c r="N465" s="51">
        <v>57.98</v>
      </c>
      <c r="O465" s="43">
        <f t="shared" si="86"/>
        <v>0.30000000000000004</v>
      </c>
      <c r="P465" s="43">
        <f t="shared" si="91"/>
        <v>287.02869250985543</v>
      </c>
      <c r="Q465" s="43">
        <f t="shared" si="92"/>
        <v>1.7601074531173018E-5</v>
      </c>
      <c r="R465" s="43">
        <v>35</v>
      </c>
      <c r="S465" s="43">
        <f t="shared" si="93"/>
        <v>0.27777777777777779</v>
      </c>
      <c r="T465" s="43">
        <f t="shared" si="94"/>
        <v>26.7108558264806</v>
      </c>
      <c r="U465" s="43" t="str" cm="1">
        <f t="array" ref="U465">_xlfn.IFS(T465&lt;3,"Group I",T465&lt;5,"Group II",T465&lt;10,"Group III",T465&lt;20,"Group IV",T465&lt;50,"Group V",T465&lt;100,"Group VI",T465&lt;200,"Group VII",T465&lt;500,"Group VIII",T465&lt;1000,"Group IX",TRUE,"Group X")</f>
        <v>Group V</v>
      </c>
      <c r="V465" s="43">
        <f t="shared" si="95"/>
        <v>1.426687803212819</v>
      </c>
      <c r="W465" s="43">
        <f t="shared" si="96"/>
        <v>1.7896634631147541</v>
      </c>
      <c r="X465" s="43">
        <f t="shared" si="87"/>
        <v>0.25277137184396836</v>
      </c>
      <c r="Y465" s="43">
        <f t="shared" si="97"/>
        <v>0.35065013607499246</v>
      </c>
      <c r="Z465" s="43">
        <f t="shared" si="88"/>
        <v>-0.45512598823074302</v>
      </c>
      <c r="AA465" s="43">
        <f t="shared" si="89"/>
        <v>1.5598876054915554</v>
      </c>
      <c r="AB465" s="43">
        <f t="shared" si="90"/>
        <v>0.49866661817530511</v>
      </c>
    </row>
    <row r="466" spans="1:28" ht="18.600000000000001" thickBot="1">
      <c r="A466" s="53" t="s">
        <v>55</v>
      </c>
      <c r="B466" s="54">
        <v>300</v>
      </c>
      <c r="C466" s="54">
        <v>900</v>
      </c>
      <c r="D466" s="54">
        <v>6.6970000000000001</v>
      </c>
      <c r="E466" s="54">
        <v>161.79369250985545</v>
      </c>
      <c r="F466" s="54">
        <v>1585.0854139290407</v>
      </c>
      <c r="G466" s="57" t="s">
        <v>97</v>
      </c>
      <c r="H466" s="54">
        <v>0.20699999999999999</v>
      </c>
      <c r="I466" s="54">
        <v>24.4</v>
      </c>
      <c r="J466" s="54">
        <v>630</v>
      </c>
      <c r="K466" s="54">
        <v>1587</v>
      </c>
      <c r="L466" s="54">
        <v>0.7</v>
      </c>
      <c r="M466" s="54">
        <v>176.21</v>
      </c>
      <c r="N466" s="55">
        <v>63.92</v>
      </c>
      <c r="O466" s="43">
        <f t="shared" si="86"/>
        <v>0.30000000000000004</v>
      </c>
      <c r="P466" s="43">
        <f t="shared" si="91"/>
        <v>287.02869250985543</v>
      </c>
      <c r="Q466" s="43">
        <f t="shared" si="92"/>
        <v>1.7601074531173018E-5</v>
      </c>
      <c r="R466" s="43">
        <v>35</v>
      </c>
      <c r="S466" s="43">
        <f t="shared" si="93"/>
        <v>0.33333333333333331</v>
      </c>
      <c r="T466" s="43">
        <f t="shared" si="94"/>
        <v>32.053026991776719</v>
      </c>
      <c r="U466" s="43" t="str" cm="1">
        <f t="array" ref="U466">_xlfn.IFS(T466&lt;3,"Group I",T466&lt;5,"Group II",T466&lt;10,"Group III",T466&lt;20,"Group IV",T466&lt;50,"Group V",T466&lt;100,"Group VI",T466&lt;200,"Group VII",T466&lt;500,"Group VIII",T466&lt;1000,"Group IX",TRUE,"Group X")</f>
        <v>Group V</v>
      </c>
      <c r="V466" s="43">
        <f t="shared" si="95"/>
        <v>1.5058690492604438</v>
      </c>
      <c r="W466" s="43">
        <f t="shared" si="96"/>
        <v>1.7896634631147541</v>
      </c>
      <c r="X466" s="43">
        <f t="shared" si="87"/>
        <v>0.25277137184396836</v>
      </c>
      <c r="Y466" s="43">
        <f t="shared" si="97"/>
        <v>0.36274899267918959</v>
      </c>
      <c r="Z466" s="43">
        <f t="shared" si="88"/>
        <v>-0.44039378488464936</v>
      </c>
      <c r="AA466" s="43">
        <f t="shared" si="89"/>
        <v>1.8718651265898663</v>
      </c>
      <c r="AB466" s="43">
        <f t="shared" si="90"/>
        <v>0.52650001727928897</v>
      </c>
    </row>
    <row r="467" spans="1:28">
      <c r="A467" s="56" t="s">
        <v>56</v>
      </c>
      <c r="B467" s="57">
        <v>200</v>
      </c>
      <c r="C467" s="57">
        <v>200</v>
      </c>
      <c r="D467" s="57">
        <v>11.34</v>
      </c>
      <c r="E467" s="57">
        <v>23.021235521235521</v>
      </c>
      <c r="F467" s="57">
        <v>866.31274131274131</v>
      </c>
      <c r="G467" s="57" t="s">
        <v>98</v>
      </c>
      <c r="H467" s="57">
        <v>0.129</v>
      </c>
      <c r="I467" s="57">
        <v>35.299999999999997</v>
      </c>
      <c r="J467" s="57">
        <v>327</v>
      </c>
      <c r="K467" s="57">
        <v>1749</v>
      </c>
      <c r="L467" s="57">
        <v>0.7</v>
      </c>
      <c r="M467" s="57">
        <v>607</v>
      </c>
      <c r="N467" s="58">
        <v>688</v>
      </c>
      <c r="O467" s="43">
        <f t="shared" si="86"/>
        <v>0.30000000000000004</v>
      </c>
      <c r="P467" s="43">
        <f t="shared" si="91"/>
        <v>61.979235521235523</v>
      </c>
      <c r="Q467" s="43">
        <f t="shared" si="92"/>
        <v>2.4130812244507331E-5</v>
      </c>
      <c r="R467" s="43">
        <v>35</v>
      </c>
      <c r="S467" s="43">
        <f t="shared" si="93"/>
        <v>1</v>
      </c>
      <c r="T467" s="43">
        <f t="shared" si="94"/>
        <v>105.88001878882719</v>
      </c>
      <c r="U467" s="43" t="str" cm="1">
        <f t="array" ref="U467">_xlfn.IFS(T467&lt;3,"Group I",T467&lt;5,"Group II",T467&lt;10,"Group III",T467&lt;20,"Group IV",T467&lt;50,"Group V",T467&lt;100,"Group VI",T467&lt;200,"Group VII",T467&lt;500,"Group VIII",T467&lt;1000,"Group IX",TRUE,"Group X")</f>
        <v>Group VII</v>
      </c>
      <c r="V467" s="43">
        <f t="shared" si="95"/>
        <v>2.0248140096965872</v>
      </c>
      <c r="W467" s="43">
        <f t="shared" si="96"/>
        <v>0.29008555240793205</v>
      </c>
      <c r="X467" s="43">
        <f t="shared" si="87"/>
        <v>-0.53747390051742894</v>
      </c>
      <c r="Y467" s="43">
        <f t="shared" si="97"/>
        <v>1.1334431630971993</v>
      </c>
      <c r="Z467" s="43">
        <f t="shared" si="88"/>
        <v>5.4399747160253704E-2</v>
      </c>
      <c r="AA467" s="43">
        <f t="shared" si="89"/>
        <v>5.6974717944638833</v>
      </c>
      <c r="AB467" s="43">
        <f t="shared" si="90"/>
        <v>0.75160921053586049</v>
      </c>
    </row>
    <row r="468" spans="1:28">
      <c r="A468" s="48" t="s">
        <v>56</v>
      </c>
      <c r="B468" s="50">
        <v>200</v>
      </c>
      <c r="C468" s="50">
        <v>400</v>
      </c>
      <c r="D468" s="50">
        <v>11.34</v>
      </c>
      <c r="E468" s="50">
        <v>23.021235521235521</v>
      </c>
      <c r="F468" s="50">
        <v>866.31274131274131</v>
      </c>
      <c r="G468" s="57" t="s">
        <v>98</v>
      </c>
      <c r="H468" s="50">
        <v>0.129</v>
      </c>
      <c r="I468" s="50">
        <v>35.299999999999997</v>
      </c>
      <c r="J468" s="50">
        <v>327</v>
      </c>
      <c r="K468" s="50">
        <v>1749</v>
      </c>
      <c r="L468" s="50">
        <v>0.7</v>
      </c>
      <c r="M468" s="50">
        <v>397</v>
      </c>
      <c r="N468" s="51">
        <v>494</v>
      </c>
      <c r="O468" s="43">
        <f t="shared" si="86"/>
        <v>0.30000000000000004</v>
      </c>
      <c r="P468" s="43">
        <f t="shared" si="91"/>
        <v>61.979235521235523</v>
      </c>
      <c r="Q468" s="43">
        <f t="shared" si="92"/>
        <v>2.4130812244507331E-5</v>
      </c>
      <c r="R468" s="43">
        <v>35</v>
      </c>
      <c r="S468" s="43">
        <f t="shared" si="93"/>
        <v>0.5</v>
      </c>
      <c r="T468" s="43">
        <f t="shared" si="94"/>
        <v>74.868479277738771</v>
      </c>
      <c r="U468" s="43" t="str" cm="1">
        <f t="array" ref="U468">_xlfn.IFS(T468&lt;3,"Group I",T468&lt;5,"Group II",T468&lt;10,"Group III",T468&lt;20,"Group IV",T468&lt;50,"Group V",T468&lt;100,"Group VI",T468&lt;200,"Group VII",T468&lt;500,"Group VIII",T468&lt;1000,"Group IX",TRUE,"Group X")</f>
        <v>Group VI</v>
      </c>
      <c r="V468" s="43">
        <f t="shared" si="95"/>
        <v>1.8742990118645966</v>
      </c>
      <c r="W468" s="43">
        <f t="shared" si="96"/>
        <v>0.58017110481586409</v>
      </c>
      <c r="X468" s="43">
        <f t="shared" si="87"/>
        <v>-0.23644390485344774</v>
      </c>
      <c r="Y468" s="43">
        <f t="shared" si="97"/>
        <v>1.2443324937027709</v>
      </c>
      <c r="Z468" s="43">
        <f t="shared" si="88"/>
        <v>9.4936442160531889E-2</v>
      </c>
      <c r="AA468" s="43">
        <f t="shared" si="89"/>
        <v>4.1562772011753752</v>
      </c>
      <c r="AB468" s="43">
        <f t="shared" si="90"/>
        <v>0.67788133431728714</v>
      </c>
    </row>
    <row r="469" spans="1:28">
      <c r="A469" s="48" t="s">
        <v>56</v>
      </c>
      <c r="B469" s="50">
        <v>200</v>
      </c>
      <c r="C469" s="50">
        <v>600</v>
      </c>
      <c r="D469" s="50">
        <v>11.34</v>
      </c>
      <c r="E469" s="50">
        <v>23.021235521235521</v>
      </c>
      <c r="F469" s="50">
        <v>866.31274131274131</v>
      </c>
      <c r="G469" s="57" t="s">
        <v>98</v>
      </c>
      <c r="H469" s="50">
        <v>0.129</v>
      </c>
      <c r="I469" s="50">
        <v>35.299999999999997</v>
      </c>
      <c r="J469" s="50">
        <v>327</v>
      </c>
      <c r="K469" s="50">
        <v>1749</v>
      </c>
      <c r="L469" s="50">
        <v>0.7</v>
      </c>
      <c r="M469" s="50">
        <v>424</v>
      </c>
      <c r="N469" s="51">
        <v>417</v>
      </c>
      <c r="O469" s="43">
        <f t="shared" si="86"/>
        <v>0.30000000000000004</v>
      </c>
      <c r="P469" s="43">
        <f t="shared" si="91"/>
        <v>61.979235521235523</v>
      </c>
      <c r="Q469" s="43">
        <f t="shared" si="92"/>
        <v>2.4130812244507331E-5</v>
      </c>
      <c r="R469" s="43">
        <v>35</v>
      </c>
      <c r="S469" s="43">
        <f t="shared" si="93"/>
        <v>0.33333333333333331</v>
      </c>
      <c r="T469" s="43">
        <f t="shared" si="94"/>
        <v>61.12985734953201</v>
      </c>
      <c r="U469" s="43" t="str" cm="1">
        <f t="array" ref="U469">_xlfn.IFS(T469&lt;3,"Group I",T469&lt;5,"Group II",T469&lt;10,"Group III",T469&lt;20,"Group IV",T469&lt;50,"Group V",T469&lt;100,"Group VI",T469&lt;200,"Group VII",T469&lt;500,"Group VIII",T469&lt;1000,"Group IX",TRUE,"Group X")</f>
        <v>Group VI</v>
      </c>
      <c r="V469" s="43">
        <f t="shared" si="95"/>
        <v>1.7862533823367559</v>
      </c>
      <c r="W469" s="43">
        <f t="shared" si="96"/>
        <v>0.87025665722379608</v>
      </c>
      <c r="X469" s="43">
        <f t="shared" si="87"/>
        <v>-6.0352645797766537E-2</v>
      </c>
      <c r="Y469" s="43">
        <f t="shared" si="97"/>
        <v>0.98349056603773588</v>
      </c>
      <c r="Z469" s="43">
        <f t="shared" si="88"/>
        <v>-7.2298016189750996E-3</v>
      </c>
      <c r="AA469" s="43">
        <f t="shared" si="89"/>
        <v>3.4560315567419799</v>
      </c>
      <c r="AB469" s="43">
        <f t="shared" si="90"/>
        <v>0.63815309899781114</v>
      </c>
    </row>
    <row r="470" spans="1:28">
      <c r="A470" s="48" t="s">
        <v>56</v>
      </c>
      <c r="B470" s="50">
        <v>200</v>
      </c>
      <c r="C470" s="50">
        <v>800</v>
      </c>
      <c r="D470" s="50">
        <v>11.34</v>
      </c>
      <c r="E470" s="50">
        <v>23.021235521235521</v>
      </c>
      <c r="F470" s="50">
        <v>866.31274131274131</v>
      </c>
      <c r="G470" s="57" t="s">
        <v>98</v>
      </c>
      <c r="H470" s="50">
        <v>0.129</v>
      </c>
      <c r="I470" s="50">
        <v>35.299999999999997</v>
      </c>
      <c r="J470" s="50">
        <v>327</v>
      </c>
      <c r="K470" s="50">
        <v>1749</v>
      </c>
      <c r="L470" s="50">
        <v>0.7</v>
      </c>
      <c r="M470" s="50">
        <v>405</v>
      </c>
      <c r="N470" s="51">
        <v>375</v>
      </c>
      <c r="O470" s="43">
        <f t="shared" si="86"/>
        <v>0.30000000000000004</v>
      </c>
      <c r="P470" s="43">
        <f t="shared" si="91"/>
        <v>61.979235521235523</v>
      </c>
      <c r="Q470" s="43">
        <f t="shared" si="92"/>
        <v>2.4130812244507331E-5</v>
      </c>
      <c r="R470" s="43">
        <v>35</v>
      </c>
      <c r="S470" s="43">
        <f t="shared" si="93"/>
        <v>0.25</v>
      </c>
      <c r="T470" s="43">
        <f t="shared" si="94"/>
        <v>52.940009394413593</v>
      </c>
      <c r="U470" s="43" t="str" cm="1">
        <f t="array" ref="U470">_xlfn.IFS(T470&lt;3,"Group I",T470&lt;5,"Group II",T470&lt;10,"Group III",T470&lt;20,"Group IV",T470&lt;50,"Group V",T470&lt;100,"Group VI",T470&lt;200,"Group VII",T470&lt;500,"Group VIII",T470&lt;1000,"Group IX",TRUE,"Group X")</f>
        <v>Group VI</v>
      </c>
      <c r="V470" s="43">
        <f t="shared" si="95"/>
        <v>1.7237840140326059</v>
      </c>
      <c r="W470" s="43">
        <f t="shared" si="96"/>
        <v>1.1603422096317282</v>
      </c>
      <c r="X470" s="43">
        <f t="shared" si="87"/>
        <v>6.4586090810533445E-2</v>
      </c>
      <c r="Y470" s="43">
        <f t="shared" si="97"/>
        <v>0.92592592592592593</v>
      </c>
      <c r="Z470" s="43">
        <f t="shared" si="88"/>
        <v>-3.3423755486949702E-2</v>
      </c>
      <c r="AA470" s="43">
        <f t="shared" si="89"/>
        <v>3.0319834474293699</v>
      </c>
      <c r="AB470" s="43">
        <f t="shared" si="90"/>
        <v>0.61138567353128626</v>
      </c>
    </row>
    <row r="471" spans="1:28">
      <c r="A471" s="48" t="s">
        <v>56</v>
      </c>
      <c r="B471" s="50">
        <v>200</v>
      </c>
      <c r="C471" s="50">
        <v>1200</v>
      </c>
      <c r="D471" s="50">
        <v>11.34</v>
      </c>
      <c r="E471" s="50">
        <v>23.021235521235521</v>
      </c>
      <c r="F471" s="50">
        <v>866.31274131274131</v>
      </c>
      <c r="G471" s="57" t="s">
        <v>98</v>
      </c>
      <c r="H471" s="50">
        <v>0.129</v>
      </c>
      <c r="I471" s="50">
        <v>35.299999999999997</v>
      </c>
      <c r="J471" s="50">
        <v>327</v>
      </c>
      <c r="K471" s="50">
        <v>1749</v>
      </c>
      <c r="L471" s="50">
        <v>0.7</v>
      </c>
      <c r="M471" s="50">
        <v>365</v>
      </c>
      <c r="N471" s="51">
        <v>308</v>
      </c>
      <c r="O471" s="43">
        <f t="shared" si="86"/>
        <v>0.30000000000000004</v>
      </c>
      <c r="P471" s="43">
        <f t="shared" si="91"/>
        <v>61.979235521235523</v>
      </c>
      <c r="Q471" s="43">
        <f t="shared" si="92"/>
        <v>2.4130812244507331E-5</v>
      </c>
      <c r="R471" s="43">
        <v>35</v>
      </c>
      <c r="S471" s="43">
        <f t="shared" si="93"/>
        <v>0.16666666666666666</v>
      </c>
      <c r="T471" s="43">
        <f t="shared" si="94"/>
        <v>43.225336664820396</v>
      </c>
      <c r="U471" s="43" t="str" cm="1">
        <f t="array" ref="U471">_xlfn.IFS(T471&lt;3,"Group I",T471&lt;5,"Group II",T471&lt;10,"Group III",T471&lt;20,"Group IV",T471&lt;50,"Group V",T471&lt;100,"Group VI",T471&lt;200,"Group VII",T471&lt;500,"Group VIII",T471&lt;1000,"Group IX",TRUE,"Group X")</f>
        <v>Group V</v>
      </c>
      <c r="V471" s="43">
        <f t="shared" si="95"/>
        <v>1.6357383845047655</v>
      </c>
      <c r="W471" s="43">
        <f t="shared" si="96"/>
        <v>1.7405133144475922</v>
      </c>
      <c r="X471" s="43">
        <f t="shared" si="87"/>
        <v>0.24067734986621467</v>
      </c>
      <c r="Y471" s="43">
        <f t="shared" si="97"/>
        <v>0.84383561643835614</v>
      </c>
      <c r="Z471" s="43">
        <f t="shared" si="88"/>
        <v>-7.3742147956030457E-2</v>
      </c>
      <c r="AA471" s="43">
        <f t="shared" si="89"/>
        <v>2.5211577492646393</v>
      </c>
      <c r="AB471" s="43">
        <f t="shared" si="90"/>
        <v>0.5755545144782499</v>
      </c>
    </row>
    <row r="472" spans="1:28">
      <c r="A472" s="48" t="s">
        <v>56</v>
      </c>
      <c r="B472" s="50">
        <v>200</v>
      </c>
      <c r="C472" s="50">
        <v>1600</v>
      </c>
      <c r="D472" s="50">
        <v>11.34</v>
      </c>
      <c r="E472" s="50">
        <v>23.021235521235521</v>
      </c>
      <c r="F472" s="50">
        <v>866.31274131274131</v>
      </c>
      <c r="G472" s="57" t="s">
        <v>98</v>
      </c>
      <c r="H472" s="50">
        <v>0.129</v>
      </c>
      <c r="I472" s="50">
        <v>35.299999999999997</v>
      </c>
      <c r="J472" s="50">
        <v>327</v>
      </c>
      <c r="K472" s="50">
        <v>1749</v>
      </c>
      <c r="L472" s="50">
        <v>0.7</v>
      </c>
      <c r="M472" s="50">
        <v>318</v>
      </c>
      <c r="N472" s="51">
        <v>280</v>
      </c>
      <c r="O472" s="43">
        <f t="shared" si="86"/>
        <v>0.30000000000000004</v>
      </c>
      <c r="P472" s="43">
        <f t="shared" si="91"/>
        <v>61.979235521235523</v>
      </c>
      <c r="Q472" s="43">
        <f t="shared" si="92"/>
        <v>2.4130812244507331E-5</v>
      </c>
      <c r="R472" s="43">
        <v>35</v>
      </c>
      <c r="S472" s="43">
        <f t="shared" si="93"/>
        <v>0.125</v>
      </c>
      <c r="T472" s="43">
        <f t="shared" si="94"/>
        <v>37.434239638869386</v>
      </c>
      <c r="U472" s="43" t="str" cm="1">
        <f t="array" ref="U472">_xlfn.IFS(T472&lt;3,"Group I",T472&lt;5,"Group II",T472&lt;10,"Group III",T472&lt;20,"Group IV",T472&lt;50,"Group V",T472&lt;100,"Group VI",T472&lt;200,"Group VII",T472&lt;500,"Group VIII",T472&lt;1000,"Group IX",TRUE,"Group X")</f>
        <v>Group V</v>
      </c>
      <c r="V472" s="43">
        <f t="shared" si="95"/>
        <v>1.5732690162006153</v>
      </c>
      <c r="W472" s="43">
        <f t="shared" si="96"/>
        <v>2.3206844192634564</v>
      </c>
      <c r="X472" s="43">
        <f t="shared" si="87"/>
        <v>0.36561608647451466</v>
      </c>
      <c r="Y472" s="43">
        <f t="shared" si="97"/>
        <v>0.88050314465408808</v>
      </c>
      <c r="Z472" s="43">
        <f t="shared" si="88"/>
        <v>-5.5269088642213443E-2</v>
      </c>
      <c r="AA472" s="43">
        <f t="shared" si="89"/>
        <v>2.2118167726844531</v>
      </c>
      <c r="AB472" s="43">
        <f t="shared" si="90"/>
        <v>0.55141279583359704</v>
      </c>
    </row>
    <row r="473" spans="1:28">
      <c r="A473" s="48" t="s">
        <v>56</v>
      </c>
      <c r="B473" s="50">
        <v>200</v>
      </c>
      <c r="C473" s="50">
        <v>2000</v>
      </c>
      <c r="D473" s="50">
        <v>11.34</v>
      </c>
      <c r="E473" s="50">
        <v>23.021235521235521</v>
      </c>
      <c r="F473" s="50">
        <v>866.31274131274131</v>
      </c>
      <c r="G473" s="57" t="s">
        <v>98</v>
      </c>
      <c r="H473" s="50">
        <v>0.129</v>
      </c>
      <c r="I473" s="50">
        <v>35.299999999999997</v>
      </c>
      <c r="J473" s="50">
        <v>327</v>
      </c>
      <c r="K473" s="50">
        <v>1749</v>
      </c>
      <c r="L473" s="50">
        <v>0.7</v>
      </c>
      <c r="M473" s="50">
        <v>276</v>
      </c>
      <c r="N473" s="51">
        <v>240</v>
      </c>
      <c r="O473" s="43">
        <f t="shared" si="86"/>
        <v>0.30000000000000004</v>
      </c>
      <c r="P473" s="43">
        <f t="shared" si="91"/>
        <v>61.979235521235523</v>
      </c>
      <c r="Q473" s="43">
        <f t="shared" si="92"/>
        <v>2.4130812244507331E-5</v>
      </c>
      <c r="R473" s="43">
        <v>35</v>
      </c>
      <c r="S473" s="43">
        <f t="shared" si="93"/>
        <v>0.1</v>
      </c>
      <c r="T473" s="43">
        <f t="shared" si="94"/>
        <v>33.482201807411649</v>
      </c>
      <c r="U473" s="43" t="str" cm="1">
        <f t="array" ref="U473">_xlfn.IFS(T473&lt;3,"Group I",T473&lt;5,"Group II",T473&lt;10,"Group III",T473&lt;20,"Group IV",T473&lt;50,"Group V",T473&lt;100,"Group VI",T473&lt;200,"Group VII",T473&lt;500,"Group VIII",T473&lt;1000,"Group IX",TRUE,"Group X")</f>
        <v>Group V</v>
      </c>
      <c r="V473" s="43">
        <f t="shared" si="95"/>
        <v>1.5248140096965872</v>
      </c>
      <c r="W473" s="43">
        <f t="shared" si="96"/>
        <v>2.9008555240793203</v>
      </c>
      <c r="X473" s="43">
        <f t="shared" si="87"/>
        <v>0.46252609948257106</v>
      </c>
      <c r="Y473" s="43">
        <f t="shared" si="97"/>
        <v>0.86956521739130432</v>
      </c>
      <c r="Z473" s="43">
        <f t="shared" si="88"/>
        <v>-6.0697840353611698E-2</v>
      </c>
      <c r="AA473" s="43">
        <f t="shared" si="89"/>
        <v>1.9982608689617753</v>
      </c>
      <c r="AB473" s="43">
        <f t="shared" si="90"/>
        <v>0.5333865908585903</v>
      </c>
    </row>
    <row r="474" spans="1:28">
      <c r="A474" s="48" t="s">
        <v>56</v>
      </c>
      <c r="B474" s="50">
        <v>200</v>
      </c>
      <c r="C474" s="50">
        <v>2400</v>
      </c>
      <c r="D474" s="50">
        <v>11.34</v>
      </c>
      <c r="E474" s="50">
        <v>23.021235521235521</v>
      </c>
      <c r="F474" s="50">
        <v>866.31274131274131</v>
      </c>
      <c r="G474" s="57" t="s">
        <v>98</v>
      </c>
      <c r="H474" s="50">
        <v>0.129</v>
      </c>
      <c r="I474" s="50">
        <v>35.299999999999997</v>
      </c>
      <c r="J474" s="50">
        <v>327</v>
      </c>
      <c r="K474" s="50">
        <v>1749</v>
      </c>
      <c r="L474" s="50">
        <v>0.7</v>
      </c>
      <c r="M474" s="50">
        <v>184</v>
      </c>
      <c r="N474" s="51">
        <v>208</v>
      </c>
      <c r="O474" s="43">
        <f t="shared" si="86"/>
        <v>0.30000000000000004</v>
      </c>
      <c r="P474" s="43">
        <f t="shared" si="91"/>
        <v>61.979235521235523</v>
      </c>
      <c r="Q474" s="43">
        <f t="shared" si="92"/>
        <v>2.4130812244507331E-5</v>
      </c>
      <c r="R474" s="43">
        <v>35</v>
      </c>
      <c r="S474" s="43">
        <f t="shared" si="93"/>
        <v>8.3333333333333329E-2</v>
      </c>
      <c r="T474" s="43">
        <f t="shared" si="94"/>
        <v>30.564928674766005</v>
      </c>
      <c r="U474" s="43" t="str" cm="1">
        <f t="array" ref="U474">_xlfn.IFS(T474&lt;3,"Group I",T474&lt;5,"Group II",T474&lt;10,"Group III",T474&lt;20,"Group IV",T474&lt;50,"Group V",T474&lt;100,"Group VI",T474&lt;200,"Group VII",T474&lt;500,"Group VIII",T474&lt;1000,"Group IX",TRUE,"Group X")</f>
        <v>Group V</v>
      </c>
      <c r="V474" s="43">
        <f t="shared" si="95"/>
        <v>1.4852233866727749</v>
      </c>
      <c r="W474" s="43">
        <f t="shared" si="96"/>
        <v>3.4810266288951843</v>
      </c>
      <c r="X474" s="43">
        <f t="shared" si="87"/>
        <v>0.54170734553019584</v>
      </c>
      <c r="Y474" s="43">
        <f t="shared" si="97"/>
        <v>1.1304347826086956</v>
      </c>
      <c r="Z474" s="43">
        <f t="shared" si="88"/>
        <v>5.324551195322505E-2</v>
      </c>
      <c r="AA474" s="43">
        <f t="shared" si="89"/>
        <v>1.8391719787041529</v>
      </c>
      <c r="AB474" s="43">
        <f t="shared" si="90"/>
        <v>0.51909643572447839</v>
      </c>
    </row>
    <row r="475" spans="1:28">
      <c r="A475" s="48" t="s">
        <v>56</v>
      </c>
      <c r="B475" s="50">
        <v>350</v>
      </c>
      <c r="C475" s="50">
        <v>400</v>
      </c>
      <c r="D475" s="50">
        <v>11.34</v>
      </c>
      <c r="E475" s="50">
        <v>23.021235521235521</v>
      </c>
      <c r="F475" s="50">
        <v>866.31274131274131</v>
      </c>
      <c r="G475" s="57" t="s">
        <v>98</v>
      </c>
      <c r="H475" s="50">
        <v>0.129</v>
      </c>
      <c r="I475" s="50">
        <v>35.299999999999997</v>
      </c>
      <c r="J475" s="50">
        <v>327</v>
      </c>
      <c r="K475" s="50">
        <v>1749</v>
      </c>
      <c r="L475" s="50">
        <v>0.7</v>
      </c>
      <c r="M475" s="50">
        <v>566</v>
      </c>
      <c r="N475" s="51">
        <v>2085</v>
      </c>
      <c r="O475" s="43">
        <f t="shared" si="86"/>
        <v>0.30000000000000004</v>
      </c>
      <c r="P475" s="43">
        <f t="shared" si="91"/>
        <v>61.979235521235523</v>
      </c>
      <c r="Q475" s="43">
        <f t="shared" si="92"/>
        <v>2.4130812244507331E-5</v>
      </c>
      <c r="R475" s="43">
        <v>35</v>
      </c>
      <c r="S475" s="43">
        <f t="shared" si="93"/>
        <v>0.875</v>
      </c>
      <c r="T475" s="43">
        <f t="shared" si="94"/>
        <v>131.01983873604286</v>
      </c>
      <c r="U475" s="43" t="str" cm="1">
        <f t="array" ref="U475">_xlfn.IFS(T475&lt;3,"Group I",T475&lt;5,"Group II",T475&lt;10,"Group III",T475&lt;20,"Group IV",T475&lt;50,"Group V",T475&lt;100,"Group VI",T475&lt;200,"Group VII",T475&lt;500,"Group VIII",T475&lt;1000,"Group IX",TRUE,"Group X")</f>
        <v>Group VII</v>
      </c>
      <c r="V475" s="43">
        <f t="shared" si="95"/>
        <v>2.117337060550891</v>
      </c>
      <c r="W475" s="43">
        <f t="shared" si="96"/>
        <v>0.58017110481586409</v>
      </c>
      <c r="X475" s="43">
        <f t="shared" si="87"/>
        <v>-0.23644390485344774</v>
      </c>
      <c r="Y475" s="43">
        <f t="shared" si="97"/>
        <v>3.6837455830388692</v>
      </c>
      <c r="Z475" s="43">
        <f t="shared" si="88"/>
        <v>0.56628962812150485</v>
      </c>
      <c r="AA475" s="43">
        <f t="shared" si="89"/>
        <v>7.2734851020569069</v>
      </c>
      <c r="AB475" s="43">
        <f t="shared" si="90"/>
        <v>0.80085651021849658</v>
      </c>
    </row>
    <row r="476" spans="1:28">
      <c r="A476" s="48" t="s">
        <v>56</v>
      </c>
      <c r="B476" s="50">
        <v>350</v>
      </c>
      <c r="C476" s="50">
        <v>600</v>
      </c>
      <c r="D476" s="50">
        <v>11.34</v>
      </c>
      <c r="E476" s="50">
        <v>23.021235521235521</v>
      </c>
      <c r="F476" s="50">
        <v>866.31274131274131</v>
      </c>
      <c r="G476" s="57" t="s">
        <v>98</v>
      </c>
      <c r="H476" s="50">
        <v>0.129</v>
      </c>
      <c r="I476" s="50">
        <v>35.299999999999997</v>
      </c>
      <c r="J476" s="50">
        <v>327</v>
      </c>
      <c r="K476" s="50">
        <v>1749</v>
      </c>
      <c r="L476" s="50">
        <v>0.7</v>
      </c>
      <c r="M476" s="50">
        <v>589</v>
      </c>
      <c r="N476" s="51">
        <v>1569</v>
      </c>
      <c r="O476" s="43">
        <f t="shared" si="86"/>
        <v>0.30000000000000004</v>
      </c>
      <c r="P476" s="43">
        <f t="shared" si="91"/>
        <v>61.979235521235523</v>
      </c>
      <c r="Q476" s="43">
        <f t="shared" si="92"/>
        <v>2.4130812244507331E-5</v>
      </c>
      <c r="R476" s="43">
        <v>35</v>
      </c>
      <c r="S476" s="43">
        <f t="shared" si="93"/>
        <v>0.58333333333333337</v>
      </c>
      <c r="T476" s="43">
        <f t="shared" si="94"/>
        <v>106.97725036168102</v>
      </c>
      <c r="U476" s="43" t="str" cm="1">
        <f t="array" ref="U476">_xlfn.IFS(T476&lt;3,"Group I",T476&lt;5,"Group II",T476&lt;10,"Group III",T476&lt;20,"Group IV",T476&lt;50,"Group V",T476&lt;100,"Group VI",T476&lt;200,"Group VII",T476&lt;500,"Group VIII",T476&lt;1000,"Group IX",TRUE,"Group X")</f>
        <v>Group VII</v>
      </c>
      <c r="V476" s="43">
        <f t="shared" si="95"/>
        <v>2.0292914310230503</v>
      </c>
      <c r="W476" s="43">
        <f t="shared" si="96"/>
        <v>0.87025665722379608</v>
      </c>
      <c r="X476" s="43">
        <f t="shared" si="87"/>
        <v>-6.0352645797766537E-2</v>
      </c>
      <c r="Y476" s="43">
        <f t="shared" si="97"/>
        <v>2.6638370118845502</v>
      </c>
      <c r="Z476" s="43">
        <f t="shared" si="88"/>
        <v>0.42550764879983505</v>
      </c>
      <c r="AA476" s="43">
        <f t="shared" si="89"/>
        <v>6.0480552242984649</v>
      </c>
      <c r="AB476" s="43">
        <f t="shared" si="90"/>
        <v>0.75392113335472999</v>
      </c>
    </row>
    <row r="477" spans="1:28">
      <c r="A477" s="48" t="s">
        <v>56</v>
      </c>
      <c r="B477" s="50">
        <v>350</v>
      </c>
      <c r="C477" s="50">
        <v>800</v>
      </c>
      <c r="D477" s="50">
        <v>11.34</v>
      </c>
      <c r="E477" s="50">
        <v>23.021235521235521</v>
      </c>
      <c r="F477" s="50">
        <v>866.31274131274131</v>
      </c>
      <c r="G477" s="57" t="s">
        <v>98</v>
      </c>
      <c r="H477" s="50">
        <v>0.129</v>
      </c>
      <c r="I477" s="50">
        <v>35.299999999999997</v>
      </c>
      <c r="J477" s="50">
        <v>327</v>
      </c>
      <c r="K477" s="50">
        <v>1749</v>
      </c>
      <c r="L477" s="50">
        <v>0.7</v>
      </c>
      <c r="M477" s="50">
        <v>555</v>
      </c>
      <c r="N477" s="51">
        <v>1236</v>
      </c>
      <c r="O477" s="43">
        <f t="shared" si="86"/>
        <v>0.30000000000000004</v>
      </c>
      <c r="P477" s="43">
        <f t="shared" si="91"/>
        <v>61.979235521235523</v>
      </c>
      <c r="Q477" s="43">
        <f t="shared" si="92"/>
        <v>2.4130812244507331E-5</v>
      </c>
      <c r="R477" s="43">
        <v>35</v>
      </c>
      <c r="S477" s="43">
        <f t="shared" si="93"/>
        <v>0.4375</v>
      </c>
      <c r="T477" s="43">
        <f t="shared" si="94"/>
        <v>92.645016440223785</v>
      </c>
      <c r="U477" s="43" t="str" cm="1">
        <f t="array" ref="U477">_xlfn.IFS(T477&lt;3,"Group I",T477&lt;5,"Group II",T477&lt;10,"Group III",T477&lt;20,"Group IV",T477&lt;50,"Group V",T477&lt;100,"Group VI",T477&lt;200,"Group VII",T477&lt;500,"Group VIII",T477&lt;1000,"Group IX",TRUE,"Group X")</f>
        <v>Group VI</v>
      </c>
      <c r="V477" s="43">
        <f t="shared" si="95"/>
        <v>1.9668220627189004</v>
      </c>
      <c r="W477" s="43">
        <f t="shared" si="96"/>
        <v>1.1603422096317282</v>
      </c>
      <c r="X477" s="43">
        <f t="shared" si="87"/>
        <v>6.4586090810533445E-2</v>
      </c>
      <c r="Y477" s="43">
        <f t="shared" si="97"/>
        <v>2.2270270270270269</v>
      </c>
      <c r="Z477" s="43">
        <f t="shared" si="88"/>
        <v>0.34772548763012079</v>
      </c>
      <c r="AA477" s="43">
        <f t="shared" si="89"/>
        <v>5.3059710330013967</v>
      </c>
      <c r="AB477" s="43">
        <f t="shared" si="90"/>
        <v>0.72229780068361493</v>
      </c>
    </row>
    <row r="478" spans="1:28">
      <c r="A478" s="48" t="s">
        <v>56</v>
      </c>
      <c r="B478" s="50">
        <v>350</v>
      </c>
      <c r="C478" s="50">
        <v>1000</v>
      </c>
      <c r="D478" s="50">
        <v>11.34</v>
      </c>
      <c r="E478" s="50">
        <v>23.021235521235521</v>
      </c>
      <c r="F478" s="50">
        <v>866.31274131274131</v>
      </c>
      <c r="G478" s="57" t="s">
        <v>98</v>
      </c>
      <c r="H478" s="50">
        <v>0.129</v>
      </c>
      <c r="I478" s="50">
        <v>35.299999999999997</v>
      </c>
      <c r="J478" s="50">
        <v>327</v>
      </c>
      <c r="K478" s="50">
        <v>1749</v>
      </c>
      <c r="L478" s="50">
        <v>0.7</v>
      </c>
      <c r="M478" s="50">
        <v>572</v>
      </c>
      <c r="N478" s="51">
        <v>831</v>
      </c>
      <c r="O478" s="43">
        <f t="shared" si="86"/>
        <v>0.30000000000000004</v>
      </c>
      <c r="P478" s="43">
        <f t="shared" si="91"/>
        <v>61.979235521235523</v>
      </c>
      <c r="Q478" s="43">
        <f t="shared" si="92"/>
        <v>2.4130812244507331E-5</v>
      </c>
      <c r="R478" s="43">
        <v>35</v>
      </c>
      <c r="S478" s="43">
        <f t="shared" si="93"/>
        <v>0.35</v>
      </c>
      <c r="T478" s="43">
        <f t="shared" si="94"/>
        <v>82.864221814770389</v>
      </c>
      <c r="U478" s="43" t="str" cm="1">
        <f t="array" ref="U478">_xlfn.IFS(T478&lt;3,"Group I",T478&lt;5,"Group II",T478&lt;10,"Group III",T478&lt;20,"Group IV",T478&lt;50,"Group V",T478&lt;100,"Group VI",T478&lt;200,"Group VII",T478&lt;500,"Group VIII",T478&lt;1000,"Group IX",TRUE,"Group X")</f>
        <v>Group VI</v>
      </c>
      <c r="V478" s="43">
        <f t="shared" si="95"/>
        <v>1.9183670562148722</v>
      </c>
      <c r="W478" s="43">
        <f t="shared" si="96"/>
        <v>1.4504277620396602</v>
      </c>
      <c r="X478" s="43">
        <f t="shared" si="87"/>
        <v>0.16149610381858984</v>
      </c>
      <c r="Y478" s="43">
        <f t="shared" si="97"/>
        <v>1.4527972027972027</v>
      </c>
      <c r="Z478" s="43">
        <f t="shared" si="88"/>
        <v>0.16220499499108676</v>
      </c>
      <c r="AA478" s="43">
        <f t="shared" si="89"/>
        <v>4.7936675487920306</v>
      </c>
      <c r="AB478" s="43">
        <f t="shared" si="90"/>
        <v>0.69868520353951735</v>
      </c>
    </row>
    <row r="479" spans="1:28">
      <c r="A479" s="48" t="s">
        <v>56</v>
      </c>
      <c r="B479" s="50">
        <v>350</v>
      </c>
      <c r="C479" s="50">
        <v>1200</v>
      </c>
      <c r="D479" s="50">
        <v>11.34</v>
      </c>
      <c r="E479" s="50">
        <v>23.021235521235521</v>
      </c>
      <c r="F479" s="50">
        <v>866.31274131274131</v>
      </c>
      <c r="G479" s="57" t="s">
        <v>98</v>
      </c>
      <c r="H479" s="50">
        <v>0.129</v>
      </c>
      <c r="I479" s="50">
        <v>35.299999999999997</v>
      </c>
      <c r="J479" s="50">
        <v>327</v>
      </c>
      <c r="K479" s="50">
        <v>1749</v>
      </c>
      <c r="L479" s="50">
        <v>0.7</v>
      </c>
      <c r="M479" s="50">
        <v>539</v>
      </c>
      <c r="N479" s="51">
        <v>644</v>
      </c>
      <c r="O479" s="43">
        <f t="shared" si="86"/>
        <v>0.30000000000000004</v>
      </c>
      <c r="P479" s="43">
        <f t="shared" si="91"/>
        <v>61.979235521235523</v>
      </c>
      <c r="Q479" s="43">
        <f t="shared" si="92"/>
        <v>2.4130812244507331E-5</v>
      </c>
      <c r="R479" s="43">
        <v>35</v>
      </c>
      <c r="S479" s="43">
        <f t="shared" si="93"/>
        <v>0.29166666666666669</v>
      </c>
      <c r="T479" s="43">
        <f t="shared" si="94"/>
        <v>75.644339163435703</v>
      </c>
      <c r="U479" s="43" t="str" cm="1">
        <f t="array" ref="U479">_xlfn.IFS(T479&lt;3,"Group I",T479&lt;5,"Group II",T479&lt;10,"Group III",T479&lt;20,"Group IV",T479&lt;50,"Group V",T479&lt;100,"Group VI",T479&lt;200,"Group VII",T479&lt;500,"Group VIII",T479&lt;1000,"Group IX",TRUE,"Group X")</f>
        <v>Group VI</v>
      </c>
      <c r="V479" s="43">
        <f t="shared" si="95"/>
        <v>1.8787764331910599</v>
      </c>
      <c r="W479" s="43">
        <f t="shared" si="96"/>
        <v>1.7405133144475922</v>
      </c>
      <c r="X479" s="43">
        <f t="shared" si="87"/>
        <v>0.24067734986621467</v>
      </c>
      <c r="Y479" s="43">
        <f t="shared" si="97"/>
        <v>1.1948051948051948</v>
      </c>
      <c r="Z479" s="43">
        <f t="shared" si="88"/>
        <v>7.7297102173073381E-2</v>
      </c>
      <c r="AA479" s="43">
        <f t="shared" si="89"/>
        <v>4.412026061213119</v>
      </c>
      <c r="AB479" s="43">
        <f t="shared" si="90"/>
        <v>0.67996647284848799</v>
      </c>
    </row>
    <row r="480" spans="1:28">
      <c r="A480" s="48" t="s">
        <v>56</v>
      </c>
      <c r="B480" s="50">
        <v>350</v>
      </c>
      <c r="C480" s="50">
        <v>1600</v>
      </c>
      <c r="D480" s="50">
        <v>11.34</v>
      </c>
      <c r="E480" s="50">
        <v>23.021235521235521</v>
      </c>
      <c r="F480" s="50">
        <v>866.31274131274131</v>
      </c>
      <c r="G480" s="57" t="s">
        <v>98</v>
      </c>
      <c r="H480" s="50">
        <v>0.129</v>
      </c>
      <c r="I480" s="50">
        <v>35.299999999999997</v>
      </c>
      <c r="J480" s="50">
        <v>327</v>
      </c>
      <c r="K480" s="50">
        <v>1749</v>
      </c>
      <c r="L480" s="50">
        <v>0.7</v>
      </c>
      <c r="M480" s="50">
        <v>347</v>
      </c>
      <c r="N480" s="51">
        <v>498</v>
      </c>
      <c r="O480" s="43">
        <f t="shared" si="86"/>
        <v>0.30000000000000004</v>
      </c>
      <c r="P480" s="43">
        <f t="shared" si="91"/>
        <v>61.979235521235523</v>
      </c>
      <c r="Q480" s="43">
        <f t="shared" si="92"/>
        <v>2.4130812244507331E-5</v>
      </c>
      <c r="R480" s="43">
        <v>35</v>
      </c>
      <c r="S480" s="43">
        <f t="shared" si="93"/>
        <v>0.21875</v>
      </c>
      <c r="T480" s="43">
        <f t="shared" si="94"/>
        <v>65.509919368021428</v>
      </c>
      <c r="U480" s="43" t="str" cm="1">
        <f t="array" ref="U480">_xlfn.IFS(T480&lt;3,"Group I",T480&lt;5,"Group II",T480&lt;10,"Group III",T480&lt;20,"Group IV",T480&lt;50,"Group V",T480&lt;100,"Group VI",T480&lt;200,"Group VII",T480&lt;500,"Group VIII",T480&lt;1000,"Group IX",TRUE,"Group X")</f>
        <v>Group VI</v>
      </c>
      <c r="V480" s="43">
        <f t="shared" si="95"/>
        <v>1.81630706488691</v>
      </c>
      <c r="W480" s="43">
        <f t="shared" si="96"/>
        <v>2.3206844192634564</v>
      </c>
      <c r="X480" s="43">
        <f t="shared" si="87"/>
        <v>0.36561608647451466</v>
      </c>
      <c r="Y480" s="43">
        <f t="shared" si="97"/>
        <v>1.4351585014409223</v>
      </c>
      <c r="Z480" s="43">
        <f t="shared" si="88"/>
        <v>0.15689986796884384</v>
      </c>
      <c r="AA480" s="43">
        <f t="shared" si="89"/>
        <v>3.8706793521977931</v>
      </c>
      <c r="AB480" s="43">
        <f t="shared" si="90"/>
        <v>0.65144517927443579</v>
      </c>
    </row>
    <row r="481" spans="1:28">
      <c r="A481" s="48" t="s">
        <v>56</v>
      </c>
      <c r="B481" s="50">
        <v>350</v>
      </c>
      <c r="C481" s="50">
        <v>2000</v>
      </c>
      <c r="D481" s="50">
        <v>11.34</v>
      </c>
      <c r="E481" s="50">
        <v>23.021235521235521</v>
      </c>
      <c r="F481" s="50">
        <v>866.31274131274131</v>
      </c>
      <c r="G481" s="57" t="s">
        <v>98</v>
      </c>
      <c r="H481" s="50">
        <v>0.129</v>
      </c>
      <c r="I481" s="50">
        <v>35.299999999999997</v>
      </c>
      <c r="J481" s="50">
        <v>327</v>
      </c>
      <c r="K481" s="50">
        <v>1749</v>
      </c>
      <c r="L481" s="50">
        <v>0.7</v>
      </c>
      <c r="M481" s="50">
        <v>331</v>
      </c>
      <c r="N481" s="51">
        <v>415</v>
      </c>
      <c r="O481" s="43">
        <f t="shared" si="86"/>
        <v>0.30000000000000004</v>
      </c>
      <c r="P481" s="43">
        <f t="shared" si="91"/>
        <v>61.979235521235523</v>
      </c>
      <c r="Q481" s="43">
        <f t="shared" si="92"/>
        <v>2.4130812244507331E-5</v>
      </c>
      <c r="R481" s="43">
        <v>35</v>
      </c>
      <c r="S481" s="43">
        <f t="shared" si="93"/>
        <v>0.17499999999999999</v>
      </c>
      <c r="T481" s="43">
        <f t="shared" si="94"/>
        <v>58.59385316297039</v>
      </c>
      <c r="U481" s="43" t="str" cm="1">
        <f t="array" ref="U481">_xlfn.IFS(T481&lt;3,"Group I",T481&lt;5,"Group II",T481&lt;10,"Group III",T481&lt;20,"Group IV",T481&lt;50,"Group V",T481&lt;100,"Group VI",T481&lt;200,"Group VII",T481&lt;500,"Group VIII",T481&lt;1000,"Group IX",TRUE,"Group X")</f>
        <v>Group VI</v>
      </c>
      <c r="V481" s="43">
        <f t="shared" si="95"/>
        <v>1.7678520583828816</v>
      </c>
      <c r="W481" s="43">
        <f t="shared" si="96"/>
        <v>2.9008555240793203</v>
      </c>
      <c r="X481" s="43">
        <f t="shared" si="87"/>
        <v>0.46252609948257106</v>
      </c>
      <c r="Y481" s="43">
        <f t="shared" si="97"/>
        <v>1.2537764350453173</v>
      </c>
      <c r="Z481" s="43">
        <f t="shared" si="88"/>
        <v>9.822010293637401E-2</v>
      </c>
      <c r="AA481" s="43">
        <f t="shared" si="89"/>
        <v>3.4969565206831073</v>
      </c>
      <c r="AB481" s="43">
        <f t="shared" si="90"/>
        <v>0.63014882122777782</v>
      </c>
    </row>
    <row r="482" spans="1:28">
      <c r="A482" s="48" t="s">
        <v>56</v>
      </c>
      <c r="B482" s="50">
        <v>350</v>
      </c>
      <c r="C482" s="50">
        <v>2400</v>
      </c>
      <c r="D482" s="50">
        <v>11.34</v>
      </c>
      <c r="E482" s="50">
        <v>23.021235521235521</v>
      </c>
      <c r="F482" s="50">
        <v>866.31274131274131</v>
      </c>
      <c r="G482" s="57" t="s">
        <v>98</v>
      </c>
      <c r="H482" s="50">
        <v>0.129</v>
      </c>
      <c r="I482" s="50">
        <v>35.299999999999997</v>
      </c>
      <c r="J482" s="50">
        <v>327</v>
      </c>
      <c r="K482" s="50">
        <v>1749</v>
      </c>
      <c r="L482" s="50">
        <v>0.7</v>
      </c>
      <c r="M482" s="50">
        <v>254</v>
      </c>
      <c r="N482" s="51">
        <v>287</v>
      </c>
      <c r="O482" s="43">
        <f t="shared" ref="O482:O541" si="98">1-L482</f>
        <v>0.30000000000000004</v>
      </c>
      <c r="P482" s="43">
        <f t="shared" si="91"/>
        <v>61.979235521235523</v>
      </c>
      <c r="Q482" s="43">
        <f t="shared" si="92"/>
        <v>2.4130812244507331E-5</v>
      </c>
      <c r="R482" s="43">
        <v>35</v>
      </c>
      <c r="S482" s="43">
        <f t="shared" si="93"/>
        <v>0.14583333333333334</v>
      </c>
      <c r="T482" s="43">
        <f t="shared" si="94"/>
        <v>53.488625180840508</v>
      </c>
      <c r="U482" s="43" t="str" cm="1">
        <f t="array" ref="U482">_xlfn.IFS(T482&lt;3,"Group I",T482&lt;5,"Group II",T482&lt;10,"Group III",T482&lt;20,"Group IV",T482&lt;50,"Group V",T482&lt;100,"Group VI",T482&lt;200,"Group VII",T482&lt;500,"Group VIII",T482&lt;1000,"Group IX",TRUE,"Group X")</f>
        <v>Group VI</v>
      </c>
      <c r="V482" s="43">
        <f t="shared" si="95"/>
        <v>1.7282614353590693</v>
      </c>
      <c r="W482" s="43">
        <f t="shared" si="96"/>
        <v>3.4810266288951843</v>
      </c>
      <c r="X482" s="43">
        <f t="shared" si="87"/>
        <v>0.54170734553019584</v>
      </c>
      <c r="Y482" s="43">
        <f t="shared" si="97"/>
        <v>1.1299212598425197</v>
      </c>
      <c r="Z482" s="43">
        <f t="shared" si="88"/>
        <v>5.3048180114054259E-2</v>
      </c>
      <c r="AA482" s="43">
        <f t="shared" si="89"/>
        <v>3.2185509627322677</v>
      </c>
      <c r="AB482" s="43">
        <f t="shared" si="90"/>
        <v>0.61326627380860199</v>
      </c>
    </row>
    <row r="483" spans="1:28">
      <c r="A483" s="48" t="s">
        <v>56</v>
      </c>
      <c r="B483" s="50">
        <v>100</v>
      </c>
      <c r="C483" s="50">
        <v>300</v>
      </c>
      <c r="D483" s="50">
        <v>11.34</v>
      </c>
      <c r="E483" s="50">
        <v>23.021235521235521</v>
      </c>
      <c r="F483" s="50">
        <v>866.31274131274131</v>
      </c>
      <c r="G483" s="57" t="s">
        <v>98</v>
      </c>
      <c r="H483" s="50">
        <v>0.129</v>
      </c>
      <c r="I483" s="50">
        <v>35.299999999999997</v>
      </c>
      <c r="J483" s="50">
        <v>327</v>
      </c>
      <c r="K483" s="50">
        <v>1749</v>
      </c>
      <c r="L483" s="50">
        <v>0.7</v>
      </c>
      <c r="M483" s="50">
        <v>447</v>
      </c>
      <c r="N483" s="51">
        <v>274</v>
      </c>
      <c r="O483" s="43">
        <f t="shared" si="98"/>
        <v>0.30000000000000004</v>
      </c>
      <c r="P483" s="43">
        <f t="shared" si="91"/>
        <v>61.979235521235523</v>
      </c>
      <c r="Q483" s="43">
        <f t="shared" si="92"/>
        <v>2.4130812244507331E-5</v>
      </c>
      <c r="R483" s="43">
        <v>35</v>
      </c>
      <c r="S483" s="43">
        <f t="shared" si="93"/>
        <v>0.33333333333333331</v>
      </c>
      <c r="T483" s="43">
        <f t="shared" si="94"/>
        <v>43.225336664820396</v>
      </c>
      <c r="U483" s="43" t="str" cm="1">
        <f t="array" ref="U483">_xlfn.IFS(T483&lt;3,"Group I",T483&lt;5,"Group II",T483&lt;10,"Group III",T483&lt;20,"Group IV",T483&lt;50,"Group V",T483&lt;100,"Group VI",T483&lt;200,"Group VII",T483&lt;500,"Group VIII",T483&lt;1000,"Group IX",TRUE,"Group X")</f>
        <v>Group V</v>
      </c>
      <c r="V483" s="43">
        <f t="shared" si="95"/>
        <v>1.6357383845047655</v>
      </c>
      <c r="W483" s="43">
        <f t="shared" si="96"/>
        <v>0.43512832861189804</v>
      </c>
      <c r="X483" s="43">
        <f t="shared" si="87"/>
        <v>-0.36138264146174776</v>
      </c>
      <c r="Y483" s="43">
        <f t="shared" si="97"/>
        <v>0.61297539149888147</v>
      </c>
      <c r="Z483" s="43">
        <f t="shared" si="88"/>
        <v>-0.21255696031154847</v>
      </c>
      <c r="AA483" s="43">
        <f t="shared" si="89"/>
        <v>2.3687835726820774</v>
      </c>
      <c r="AB483" s="43">
        <f t="shared" si="90"/>
        <v>0.5755545144782499</v>
      </c>
    </row>
    <row r="484" spans="1:28">
      <c r="A484" s="48" t="s">
        <v>56</v>
      </c>
      <c r="B484" s="50">
        <v>150</v>
      </c>
      <c r="C484" s="50">
        <v>300</v>
      </c>
      <c r="D484" s="50">
        <v>11.34</v>
      </c>
      <c r="E484" s="50">
        <v>23.021235521235521</v>
      </c>
      <c r="F484" s="50">
        <v>866.31274131274131</v>
      </c>
      <c r="G484" s="57" t="s">
        <v>98</v>
      </c>
      <c r="H484" s="50">
        <v>0.129</v>
      </c>
      <c r="I484" s="50">
        <v>35.299999999999997</v>
      </c>
      <c r="J484" s="50">
        <v>327</v>
      </c>
      <c r="K484" s="50">
        <v>1749</v>
      </c>
      <c r="L484" s="50">
        <v>0.7</v>
      </c>
      <c r="M484" s="50">
        <v>476</v>
      </c>
      <c r="N484" s="51">
        <v>359</v>
      </c>
      <c r="O484" s="43">
        <f t="shared" si="98"/>
        <v>0.30000000000000004</v>
      </c>
      <c r="P484" s="43">
        <f t="shared" si="91"/>
        <v>61.979235521235523</v>
      </c>
      <c r="Q484" s="43">
        <f t="shared" si="92"/>
        <v>2.4130812244507331E-5</v>
      </c>
      <c r="R484" s="43">
        <v>35</v>
      </c>
      <c r="S484" s="43">
        <f t="shared" si="93"/>
        <v>0.5</v>
      </c>
      <c r="T484" s="43">
        <f t="shared" si="94"/>
        <v>64.838004997230598</v>
      </c>
      <c r="U484" s="43" t="str" cm="1">
        <f t="array" ref="U484">_xlfn.IFS(T484&lt;3,"Group I",T484&lt;5,"Group II",T484&lt;10,"Group III",T484&lt;20,"Group IV",T484&lt;50,"Group V",T484&lt;100,"Group VI",T484&lt;200,"Group VII",T484&lt;500,"Group VIII",T484&lt;1000,"Group IX",TRUE,"Group X")</f>
        <v>Group VI</v>
      </c>
      <c r="V484" s="43">
        <f t="shared" si="95"/>
        <v>1.8118296435604466</v>
      </c>
      <c r="W484" s="43">
        <f t="shared" si="96"/>
        <v>0.43512832861189804</v>
      </c>
      <c r="X484" s="43">
        <f t="shared" ref="X484:X547" si="99">LOG(W484)</f>
        <v>-0.36138264146174776</v>
      </c>
      <c r="Y484" s="43">
        <f t="shared" si="97"/>
        <v>0.75420168067226889</v>
      </c>
      <c r="Z484" s="43">
        <f t="shared" ref="Z484:Z547" si="100">LOG(Y484)</f>
        <v>-0.12251250414217402</v>
      </c>
      <c r="AA484" s="43">
        <f t="shared" ref="AA484:AA547" si="101">(10^-0.7321)*W484^0.04497*T484*0.307</f>
        <v>3.5531753590231165</v>
      </c>
      <c r="AB484" s="43">
        <f t="shared" ref="AB484:AB547" si="102">(10^-0.7272)*T484^0.2979</f>
        <v>0.64944750218518188</v>
      </c>
    </row>
    <row r="485" spans="1:28">
      <c r="A485" s="48" t="s">
        <v>56</v>
      </c>
      <c r="B485" s="50">
        <v>200</v>
      </c>
      <c r="C485" s="50">
        <v>300</v>
      </c>
      <c r="D485" s="50">
        <v>11.34</v>
      </c>
      <c r="E485" s="50">
        <v>23.021235521235521</v>
      </c>
      <c r="F485" s="50">
        <v>866.31274131274131</v>
      </c>
      <c r="G485" s="57" t="s">
        <v>98</v>
      </c>
      <c r="H485" s="50">
        <v>0.129</v>
      </c>
      <c r="I485" s="50">
        <v>35.299999999999997</v>
      </c>
      <c r="J485" s="50">
        <v>327</v>
      </c>
      <c r="K485" s="50">
        <v>1749</v>
      </c>
      <c r="L485" s="50">
        <v>0.7</v>
      </c>
      <c r="M485" s="50">
        <v>523.70000000000005</v>
      </c>
      <c r="N485" s="51">
        <v>400.2</v>
      </c>
      <c r="O485" s="43">
        <f t="shared" si="98"/>
        <v>0.30000000000000004</v>
      </c>
      <c r="P485" s="43">
        <f t="shared" si="91"/>
        <v>61.979235521235523</v>
      </c>
      <c r="Q485" s="43">
        <f t="shared" si="92"/>
        <v>2.4130812244507331E-5</v>
      </c>
      <c r="R485" s="43">
        <v>35</v>
      </c>
      <c r="S485" s="43">
        <f t="shared" si="93"/>
        <v>0.66666666666666663</v>
      </c>
      <c r="T485" s="43">
        <f t="shared" si="94"/>
        <v>86.450673329640793</v>
      </c>
      <c r="U485" s="43" t="str" cm="1">
        <f t="array" ref="U485">_xlfn.IFS(T485&lt;3,"Group I",T485&lt;5,"Group II",T485&lt;10,"Group III",T485&lt;20,"Group IV",T485&lt;50,"Group V",T485&lt;100,"Group VI",T485&lt;200,"Group VII",T485&lt;500,"Group VIII",T485&lt;1000,"Group IX",TRUE,"Group X")</f>
        <v>Group VI</v>
      </c>
      <c r="V485" s="43">
        <f t="shared" si="95"/>
        <v>1.9367683801687465</v>
      </c>
      <c r="W485" s="43">
        <f t="shared" si="96"/>
        <v>0.43512832861189804</v>
      </c>
      <c r="X485" s="43">
        <f t="shared" si="99"/>
        <v>-0.36138264146174776</v>
      </c>
      <c r="Y485" s="43">
        <f t="shared" si="97"/>
        <v>0.76417796448348285</v>
      </c>
      <c r="Z485" s="43">
        <f t="shared" si="100"/>
        <v>-0.11680548960129333</v>
      </c>
      <c r="AA485" s="43">
        <f t="shared" si="101"/>
        <v>4.7375671453641548</v>
      </c>
      <c r="AB485" s="43">
        <f t="shared" si="102"/>
        <v>0.70756004429863539</v>
      </c>
    </row>
    <row r="486" spans="1:28">
      <c r="A486" s="48" t="s">
        <v>56</v>
      </c>
      <c r="B486" s="50">
        <v>250</v>
      </c>
      <c r="C486" s="50">
        <v>300</v>
      </c>
      <c r="D486" s="50">
        <v>11.34</v>
      </c>
      <c r="E486" s="50">
        <v>23.021235521235521</v>
      </c>
      <c r="F486" s="50">
        <v>866.31274131274131</v>
      </c>
      <c r="G486" s="57" t="s">
        <v>98</v>
      </c>
      <c r="H486" s="50">
        <v>0.129</v>
      </c>
      <c r="I486" s="50">
        <v>35.299999999999997</v>
      </c>
      <c r="J486" s="50">
        <v>327</v>
      </c>
      <c r="K486" s="50">
        <v>1749</v>
      </c>
      <c r="L486" s="50">
        <v>0.7</v>
      </c>
      <c r="M486" s="50">
        <v>556</v>
      </c>
      <c r="N486" s="51">
        <v>802</v>
      </c>
      <c r="O486" s="43">
        <f t="shared" si="98"/>
        <v>0.30000000000000004</v>
      </c>
      <c r="P486" s="43">
        <f t="shared" si="91"/>
        <v>61.979235521235523</v>
      </c>
      <c r="Q486" s="43">
        <f t="shared" si="92"/>
        <v>2.4130812244507331E-5</v>
      </c>
      <c r="R486" s="43">
        <v>35</v>
      </c>
      <c r="S486" s="43">
        <f t="shared" si="93"/>
        <v>0.83333333333333337</v>
      </c>
      <c r="T486" s="43">
        <f t="shared" si="94"/>
        <v>108.063341662051</v>
      </c>
      <c r="U486" s="43" t="str" cm="1">
        <f t="array" ref="U486">_xlfn.IFS(T486&lt;3,"Group I",T486&lt;5,"Group II",T486&lt;10,"Group III",T486&lt;20,"Group IV",T486&lt;50,"Group V",T486&lt;100,"Group VI",T486&lt;200,"Group VII",T486&lt;500,"Group VIII",T486&lt;1000,"Group IX",TRUE,"Group X")</f>
        <v>Group VII</v>
      </c>
      <c r="V486" s="43">
        <f t="shared" si="95"/>
        <v>2.0336783931768032</v>
      </c>
      <c r="W486" s="43">
        <f t="shared" si="96"/>
        <v>0.43512832861189804</v>
      </c>
      <c r="X486" s="43">
        <f t="shared" si="99"/>
        <v>-0.36138264146174776</v>
      </c>
      <c r="Y486" s="43">
        <f t="shared" si="97"/>
        <v>1.4424460431654675</v>
      </c>
      <c r="Z486" s="43">
        <f t="shared" si="100"/>
        <v>0.159099576702106</v>
      </c>
      <c r="AA486" s="43">
        <f t="shared" si="101"/>
        <v>5.9219589317051948</v>
      </c>
      <c r="AB486" s="43">
        <f t="shared" si="102"/>
        <v>0.75619324464041571</v>
      </c>
    </row>
    <row r="487" spans="1:28">
      <c r="A487" s="48" t="s">
        <v>56</v>
      </c>
      <c r="B487" s="50">
        <v>300</v>
      </c>
      <c r="C487" s="50">
        <v>300</v>
      </c>
      <c r="D487" s="50">
        <v>11.34</v>
      </c>
      <c r="E487" s="50">
        <v>23.021235521235521</v>
      </c>
      <c r="F487" s="50">
        <v>866.31274131274131</v>
      </c>
      <c r="G487" s="57" t="s">
        <v>98</v>
      </c>
      <c r="H487" s="50">
        <v>0.129</v>
      </c>
      <c r="I487" s="50">
        <v>35.299999999999997</v>
      </c>
      <c r="J487" s="50">
        <v>327</v>
      </c>
      <c r="K487" s="50">
        <v>1749</v>
      </c>
      <c r="L487" s="50">
        <v>0.7</v>
      </c>
      <c r="M487" s="50">
        <v>581.46</v>
      </c>
      <c r="N487" s="51">
        <v>1519.24</v>
      </c>
      <c r="O487" s="43">
        <f t="shared" si="98"/>
        <v>0.30000000000000004</v>
      </c>
      <c r="P487" s="43">
        <f t="shared" si="91"/>
        <v>61.979235521235523</v>
      </c>
      <c r="Q487" s="43">
        <f t="shared" si="92"/>
        <v>2.4130812244507331E-5</v>
      </c>
      <c r="R487" s="43">
        <v>35</v>
      </c>
      <c r="S487" s="43">
        <f t="shared" si="93"/>
        <v>1</v>
      </c>
      <c r="T487" s="43">
        <f t="shared" si="94"/>
        <v>129.6760099944612</v>
      </c>
      <c r="U487" s="43" t="str" cm="1">
        <f t="array" ref="U487">_xlfn.IFS(T487&lt;3,"Group I",T487&lt;5,"Group II",T487&lt;10,"Group III",T487&lt;20,"Group IV",T487&lt;50,"Group V",T487&lt;100,"Group VI",T487&lt;200,"Group VII",T487&lt;500,"Group VIII",T487&lt;1000,"Group IX",TRUE,"Group X")</f>
        <v>Group VII</v>
      </c>
      <c r="V487" s="43">
        <f t="shared" si="95"/>
        <v>2.1128596392244279</v>
      </c>
      <c r="W487" s="43">
        <f t="shared" si="96"/>
        <v>0.43512832861189804</v>
      </c>
      <c r="X487" s="43">
        <f t="shared" si="99"/>
        <v>-0.36138264146174776</v>
      </c>
      <c r="Y487" s="43">
        <f t="shared" si="97"/>
        <v>2.6128022563890894</v>
      </c>
      <c r="Z487" s="43">
        <f t="shared" si="100"/>
        <v>0.41710654244499168</v>
      </c>
      <c r="AA487" s="43">
        <f t="shared" si="101"/>
        <v>7.1063507180462331</v>
      </c>
      <c r="AB487" s="43">
        <f t="shared" si="102"/>
        <v>0.79840065859330633</v>
      </c>
    </row>
    <row r="488" spans="1:28">
      <c r="A488" s="48" t="s">
        <v>56</v>
      </c>
      <c r="B488" s="50">
        <v>100</v>
      </c>
      <c r="C488" s="50">
        <v>600</v>
      </c>
      <c r="D488" s="50">
        <v>11.34</v>
      </c>
      <c r="E488" s="50">
        <v>23.021235521235521</v>
      </c>
      <c r="F488" s="50">
        <v>866.31274131274131</v>
      </c>
      <c r="G488" s="57" t="s">
        <v>98</v>
      </c>
      <c r="H488" s="50">
        <v>0.129</v>
      </c>
      <c r="I488" s="50">
        <v>35.299999999999997</v>
      </c>
      <c r="J488" s="50">
        <v>327</v>
      </c>
      <c r="K488" s="50">
        <v>1749</v>
      </c>
      <c r="L488" s="50">
        <v>0.7</v>
      </c>
      <c r="M488" s="50">
        <v>274</v>
      </c>
      <c r="N488" s="51">
        <v>328.4</v>
      </c>
      <c r="O488" s="43">
        <f t="shared" si="98"/>
        <v>0.30000000000000004</v>
      </c>
      <c r="P488" s="43">
        <f t="shared" si="91"/>
        <v>61.979235521235523</v>
      </c>
      <c r="Q488" s="43">
        <f t="shared" si="92"/>
        <v>2.4130812244507331E-5</v>
      </c>
      <c r="R488" s="43">
        <v>35</v>
      </c>
      <c r="S488" s="43">
        <f t="shared" si="93"/>
        <v>0.16666666666666666</v>
      </c>
      <c r="T488" s="43">
        <f t="shared" si="94"/>
        <v>30.564928674766005</v>
      </c>
      <c r="U488" s="43" t="str" cm="1">
        <f t="array" ref="U488">_xlfn.IFS(T488&lt;3,"Group I",T488&lt;5,"Group II",T488&lt;10,"Group III",T488&lt;20,"Group IV",T488&lt;50,"Group V",T488&lt;100,"Group VI",T488&lt;200,"Group VII",T488&lt;500,"Group VIII",T488&lt;1000,"Group IX",TRUE,"Group X")</f>
        <v>Group V</v>
      </c>
      <c r="V488" s="43">
        <f t="shared" si="95"/>
        <v>1.4852233866727749</v>
      </c>
      <c r="W488" s="43">
        <f t="shared" si="96"/>
        <v>0.87025665722379608</v>
      </c>
      <c r="X488" s="43">
        <f t="shared" si="99"/>
        <v>-6.0352645797766537E-2</v>
      </c>
      <c r="Y488" s="43">
        <f t="shared" si="97"/>
        <v>1.1985401459854015</v>
      </c>
      <c r="Z488" s="43">
        <f t="shared" si="100"/>
        <v>7.8652585627015201E-2</v>
      </c>
      <c r="AA488" s="43">
        <f t="shared" si="101"/>
        <v>1.72801577837099</v>
      </c>
      <c r="AB488" s="43">
        <f t="shared" si="102"/>
        <v>0.51909643572447839</v>
      </c>
    </row>
    <row r="489" spans="1:28">
      <c r="A489" s="48" t="s">
        <v>56</v>
      </c>
      <c r="B489" s="50">
        <v>150</v>
      </c>
      <c r="C489" s="50">
        <v>600</v>
      </c>
      <c r="D489" s="50">
        <v>11.34</v>
      </c>
      <c r="E489" s="50">
        <v>23.021235521235521</v>
      </c>
      <c r="F489" s="50">
        <v>866.31274131274131</v>
      </c>
      <c r="G489" s="57" t="s">
        <v>98</v>
      </c>
      <c r="H489" s="50">
        <v>0.129</v>
      </c>
      <c r="I489" s="50">
        <v>35.299999999999997</v>
      </c>
      <c r="J489" s="50">
        <v>327</v>
      </c>
      <c r="K489" s="50">
        <v>1749</v>
      </c>
      <c r="L489" s="50">
        <v>0.7</v>
      </c>
      <c r="M489" s="50">
        <v>282.94</v>
      </c>
      <c r="N489" s="51">
        <v>677.11</v>
      </c>
      <c r="O489" s="43">
        <f t="shared" si="98"/>
        <v>0.30000000000000004</v>
      </c>
      <c r="P489" s="43">
        <f t="shared" si="91"/>
        <v>61.979235521235523</v>
      </c>
      <c r="Q489" s="43">
        <f t="shared" si="92"/>
        <v>2.4130812244507331E-5</v>
      </c>
      <c r="R489" s="43">
        <v>35</v>
      </c>
      <c r="S489" s="43">
        <f t="shared" si="93"/>
        <v>0.25</v>
      </c>
      <c r="T489" s="43">
        <f t="shared" si="94"/>
        <v>45.847393012149013</v>
      </c>
      <c r="U489" s="43" t="str" cm="1">
        <f t="array" ref="U489">_xlfn.IFS(T489&lt;3,"Group I",T489&lt;5,"Group II",T489&lt;10,"Group III",T489&lt;20,"Group IV",T489&lt;50,"Group V",T489&lt;100,"Group VI",T489&lt;200,"Group VII",T489&lt;500,"Group VIII",T489&lt;1000,"Group IX",TRUE,"Group X")</f>
        <v>Group V</v>
      </c>
      <c r="V489" s="43">
        <f t="shared" si="95"/>
        <v>1.661314645728456</v>
      </c>
      <c r="W489" s="43">
        <f t="shared" si="96"/>
        <v>0.87025665722379608</v>
      </c>
      <c r="X489" s="43">
        <f t="shared" si="99"/>
        <v>-6.0352645797766537E-2</v>
      </c>
      <c r="Y489" s="43">
        <f t="shared" si="97"/>
        <v>2.393122216724394</v>
      </c>
      <c r="Z489" s="43">
        <f t="shared" si="100"/>
        <v>0.37896487859405992</v>
      </c>
      <c r="AA489" s="43">
        <f t="shared" si="101"/>
        <v>2.5920236675564849</v>
      </c>
      <c r="AB489" s="43">
        <f t="shared" si="102"/>
        <v>0.58574101165743397</v>
      </c>
    </row>
    <row r="490" spans="1:28">
      <c r="A490" s="48" t="s">
        <v>56</v>
      </c>
      <c r="B490" s="50">
        <v>200</v>
      </c>
      <c r="C490" s="50">
        <v>600</v>
      </c>
      <c r="D490" s="50">
        <v>11.34</v>
      </c>
      <c r="E490" s="50">
        <v>23.021235521235521</v>
      </c>
      <c r="F490" s="50">
        <v>866.31274131274131</v>
      </c>
      <c r="G490" s="57" t="s">
        <v>98</v>
      </c>
      <c r="H490" s="50">
        <v>0.129</v>
      </c>
      <c r="I490" s="50">
        <v>35.299999999999997</v>
      </c>
      <c r="J490" s="50">
        <v>327</v>
      </c>
      <c r="K490" s="50">
        <v>1749</v>
      </c>
      <c r="L490" s="50">
        <v>0.7</v>
      </c>
      <c r="M490" s="50">
        <v>293.2</v>
      </c>
      <c r="N490" s="51">
        <v>942.48</v>
      </c>
      <c r="O490" s="43">
        <f t="shared" si="98"/>
        <v>0.30000000000000004</v>
      </c>
      <c r="P490" s="43">
        <f t="shared" si="91"/>
        <v>61.979235521235523</v>
      </c>
      <c r="Q490" s="43">
        <f t="shared" si="92"/>
        <v>2.4130812244507331E-5</v>
      </c>
      <c r="R490" s="43">
        <v>35</v>
      </c>
      <c r="S490" s="43">
        <f t="shared" si="93"/>
        <v>0.33333333333333331</v>
      </c>
      <c r="T490" s="43">
        <f t="shared" si="94"/>
        <v>61.12985734953201</v>
      </c>
      <c r="U490" s="43" t="str" cm="1">
        <f t="array" ref="U490">_xlfn.IFS(T490&lt;3,"Group I",T490&lt;5,"Group II",T490&lt;10,"Group III",T490&lt;20,"Group IV",T490&lt;50,"Group V",T490&lt;100,"Group VI",T490&lt;200,"Group VII",T490&lt;500,"Group VIII",T490&lt;1000,"Group IX",TRUE,"Group X")</f>
        <v>Group VI</v>
      </c>
      <c r="V490" s="43">
        <f t="shared" si="95"/>
        <v>1.7862533823367559</v>
      </c>
      <c r="W490" s="43">
        <f t="shared" si="96"/>
        <v>0.87025665722379608</v>
      </c>
      <c r="X490" s="43">
        <f t="shared" si="99"/>
        <v>-6.0352645797766537E-2</v>
      </c>
      <c r="Y490" s="43">
        <f t="shared" si="97"/>
        <v>3.214461118690314</v>
      </c>
      <c r="Z490" s="43">
        <f t="shared" si="100"/>
        <v>0.50710817701293398</v>
      </c>
      <c r="AA490" s="43">
        <f t="shared" si="101"/>
        <v>3.4560315567419799</v>
      </c>
      <c r="AB490" s="43">
        <f t="shared" si="102"/>
        <v>0.63815309899781114</v>
      </c>
    </row>
    <row r="491" spans="1:28">
      <c r="A491" s="48" t="s">
        <v>56</v>
      </c>
      <c r="B491" s="50">
        <v>250</v>
      </c>
      <c r="C491" s="50">
        <v>600</v>
      </c>
      <c r="D491" s="50">
        <v>11.34</v>
      </c>
      <c r="E491" s="50">
        <v>23.021235521235521</v>
      </c>
      <c r="F491" s="50">
        <v>866.31274131274131</v>
      </c>
      <c r="G491" s="57" t="s">
        <v>98</v>
      </c>
      <c r="H491" s="50">
        <v>0.129</v>
      </c>
      <c r="I491" s="50">
        <v>35.299999999999997</v>
      </c>
      <c r="J491" s="50">
        <v>327</v>
      </c>
      <c r="K491" s="50">
        <v>1749</v>
      </c>
      <c r="L491" s="50">
        <v>0.7</v>
      </c>
      <c r="M491" s="50">
        <v>532.99</v>
      </c>
      <c r="N491" s="51">
        <v>982.62</v>
      </c>
      <c r="O491" s="43">
        <f t="shared" si="98"/>
        <v>0.30000000000000004</v>
      </c>
      <c r="P491" s="43">
        <f t="shared" si="91"/>
        <v>61.979235521235523</v>
      </c>
      <c r="Q491" s="43">
        <f t="shared" si="92"/>
        <v>2.4130812244507331E-5</v>
      </c>
      <c r="R491" s="43">
        <v>35</v>
      </c>
      <c r="S491" s="43">
        <f t="shared" si="93"/>
        <v>0.41666666666666669</v>
      </c>
      <c r="T491" s="43">
        <f t="shared" si="94"/>
        <v>76.412321686915021</v>
      </c>
      <c r="U491" s="43" t="str" cm="1">
        <f t="array" ref="U491">_xlfn.IFS(T491&lt;3,"Group I",T491&lt;5,"Group II",T491&lt;10,"Group III",T491&lt;20,"Group IV",T491&lt;50,"Group V",T491&lt;100,"Group VI",T491&lt;200,"Group VII",T491&lt;500,"Group VIII",T491&lt;1000,"Group IX",TRUE,"Group X")</f>
        <v>Group VI</v>
      </c>
      <c r="V491" s="43">
        <f t="shared" si="95"/>
        <v>1.8831633953448124</v>
      </c>
      <c r="W491" s="43">
        <f t="shared" si="96"/>
        <v>0.87025665722379608</v>
      </c>
      <c r="X491" s="43">
        <f t="shared" si="99"/>
        <v>-6.0352645797766537E-2</v>
      </c>
      <c r="Y491" s="43">
        <f t="shared" si="97"/>
        <v>1.8435993170603575</v>
      </c>
      <c r="Z491" s="43">
        <f t="shared" si="100"/>
        <v>0.26566653857323935</v>
      </c>
      <c r="AA491" s="43">
        <f t="shared" si="101"/>
        <v>4.3200394459274758</v>
      </c>
      <c r="AB491" s="43">
        <f t="shared" si="102"/>
        <v>0.68201570509373921</v>
      </c>
    </row>
    <row r="492" spans="1:28">
      <c r="A492" s="48" t="s">
        <v>56</v>
      </c>
      <c r="B492" s="50">
        <v>300</v>
      </c>
      <c r="C492" s="50">
        <v>600</v>
      </c>
      <c r="D492" s="50">
        <v>11.34</v>
      </c>
      <c r="E492" s="50">
        <v>23.021235521235521</v>
      </c>
      <c r="F492" s="50">
        <v>866.31274131274131</v>
      </c>
      <c r="G492" s="57" t="s">
        <v>98</v>
      </c>
      <c r="H492" s="50">
        <v>0.129</v>
      </c>
      <c r="I492" s="50">
        <v>35.299999999999997</v>
      </c>
      <c r="J492" s="50">
        <v>327</v>
      </c>
      <c r="K492" s="50">
        <v>1749</v>
      </c>
      <c r="L492" s="50">
        <v>0.7</v>
      </c>
      <c r="M492" s="50">
        <v>543</v>
      </c>
      <c r="N492" s="51">
        <v>1181.3800000000001</v>
      </c>
      <c r="O492" s="43">
        <f t="shared" si="98"/>
        <v>0.30000000000000004</v>
      </c>
      <c r="P492" s="43">
        <f t="shared" si="91"/>
        <v>61.979235521235523</v>
      </c>
      <c r="Q492" s="43">
        <f t="shared" si="92"/>
        <v>2.4130812244507331E-5</v>
      </c>
      <c r="R492" s="43">
        <v>35</v>
      </c>
      <c r="S492" s="43">
        <f t="shared" si="93"/>
        <v>0.5</v>
      </c>
      <c r="T492" s="43">
        <f t="shared" si="94"/>
        <v>91.694786024298025</v>
      </c>
      <c r="U492" s="43" t="str" cm="1">
        <f t="array" ref="U492">_xlfn.IFS(T492&lt;3,"Group I",T492&lt;5,"Group II",T492&lt;10,"Group III",T492&lt;20,"Group IV",T492&lt;50,"Group V",T492&lt;100,"Group VI",T492&lt;200,"Group VII",T492&lt;500,"Group VIII",T492&lt;1000,"Group IX",TRUE,"Group X")</f>
        <v>Group VI</v>
      </c>
      <c r="V492" s="43">
        <f t="shared" si="95"/>
        <v>1.9623446413924373</v>
      </c>
      <c r="W492" s="43">
        <f t="shared" si="96"/>
        <v>0.87025665722379608</v>
      </c>
      <c r="X492" s="43">
        <f t="shared" si="99"/>
        <v>-6.0352645797766537E-2</v>
      </c>
      <c r="Y492" s="43">
        <f t="shared" si="97"/>
        <v>2.1756537753222838</v>
      </c>
      <c r="Z492" s="43">
        <f t="shared" si="100"/>
        <v>0.33758978467020889</v>
      </c>
      <c r="AA492" s="43">
        <f t="shared" si="101"/>
        <v>5.1840473351129699</v>
      </c>
      <c r="AB492" s="43">
        <f t="shared" si="102"/>
        <v>0.72008285180694787</v>
      </c>
    </row>
    <row r="493" spans="1:28">
      <c r="A493" s="48" t="s">
        <v>56</v>
      </c>
      <c r="B493" s="50">
        <v>100</v>
      </c>
      <c r="C493" s="50">
        <v>900</v>
      </c>
      <c r="D493" s="50">
        <v>11.34</v>
      </c>
      <c r="E493" s="50">
        <v>23.021235521235521</v>
      </c>
      <c r="F493" s="50">
        <v>866.31274131274131</v>
      </c>
      <c r="G493" s="57" t="s">
        <v>98</v>
      </c>
      <c r="H493" s="50">
        <v>0.129</v>
      </c>
      <c r="I493" s="50">
        <v>35.299999999999997</v>
      </c>
      <c r="J493" s="50">
        <v>327</v>
      </c>
      <c r="K493" s="50">
        <v>1749</v>
      </c>
      <c r="L493" s="50">
        <v>0.7</v>
      </c>
      <c r="M493" s="50">
        <v>216</v>
      </c>
      <c r="N493" s="51">
        <v>146</v>
      </c>
      <c r="O493" s="43">
        <f t="shared" si="98"/>
        <v>0.30000000000000004</v>
      </c>
      <c r="P493" s="43">
        <f t="shared" si="91"/>
        <v>61.979235521235523</v>
      </c>
      <c r="Q493" s="43">
        <f t="shared" si="92"/>
        <v>2.4130812244507331E-5</v>
      </c>
      <c r="R493" s="43">
        <v>35</v>
      </c>
      <c r="S493" s="43">
        <f t="shared" si="93"/>
        <v>0.1111111111111111</v>
      </c>
      <c r="T493" s="43">
        <f t="shared" si="94"/>
        <v>24.956159759246258</v>
      </c>
      <c r="U493" s="43" t="str" cm="1">
        <f t="array" ref="U493">_xlfn.IFS(T493&lt;3,"Group I",T493&lt;5,"Group II",T493&lt;10,"Group III",T493&lt;20,"Group IV",T493&lt;50,"Group V",T493&lt;100,"Group VI",T493&lt;200,"Group VII",T493&lt;500,"Group VIII",T493&lt;1000,"Group IX",TRUE,"Group X")</f>
        <v>Group V</v>
      </c>
      <c r="V493" s="43">
        <f t="shared" si="95"/>
        <v>1.3971777571449342</v>
      </c>
      <c r="W493" s="43">
        <f t="shared" si="96"/>
        <v>1.3053849858356943</v>
      </c>
      <c r="X493" s="43">
        <f t="shared" si="99"/>
        <v>0.11573861325791476</v>
      </c>
      <c r="Y493" s="43">
        <f t="shared" si="97"/>
        <v>0.67592592592592593</v>
      </c>
      <c r="Z493" s="43">
        <f t="shared" si="100"/>
        <v>-0.17010089536649381</v>
      </c>
      <c r="AA493" s="43">
        <f t="shared" si="101"/>
        <v>1.436881317470674</v>
      </c>
      <c r="AB493" s="43">
        <f t="shared" si="102"/>
        <v>0.48867402355888451</v>
      </c>
    </row>
    <row r="494" spans="1:28">
      <c r="A494" s="48" t="s">
        <v>56</v>
      </c>
      <c r="B494" s="50">
        <v>150</v>
      </c>
      <c r="C494" s="50">
        <v>900</v>
      </c>
      <c r="D494" s="50">
        <v>11.34</v>
      </c>
      <c r="E494" s="50">
        <v>23.021235521235521</v>
      </c>
      <c r="F494" s="50">
        <v>866.31274131274131</v>
      </c>
      <c r="G494" s="57" t="s">
        <v>98</v>
      </c>
      <c r="H494" s="50">
        <v>0.129</v>
      </c>
      <c r="I494" s="50">
        <v>35.299999999999997</v>
      </c>
      <c r="J494" s="50">
        <v>327</v>
      </c>
      <c r="K494" s="50">
        <v>1749</v>
      </c>
      <c r="L494" s="50">
        <v>0.7</v>
      </c>
      <c r="M494" s="50">
        <v>294</v>
      </c>
      <c r="N494" s="51">
        <v>258.22000000000003</v>
      </c>
      <c r="O494" s="43">
        <f t="shared" si="98"/>
        <v>0.30000000000000004</v>
      </c>
      <c r="P494" s="43">
        <f t="shared" si="91"/>
        <v>61.979235521235523</v>
      </c>
      <c r="Q494" s="43">
        <f t="shared" si="92"/>
        <v>2.4130812244507331E-5</v>
      </c>
      <c r="R494" s="43">
        <v>35</v>
      </c>
      <c r="S494" s="43">
        <f t="shared" si="93"/>
        <v>0.16666666666666666</v>
      </c>
      <c r="T494" s="43">
        <f t="shared" si="94"/>
        <v>37.434239638869386</v>
      </c>
      <c r="U494" s="43" t="str" cm="1">
        <f t="array" ref="U494">_xlfn.IFS(T494&lt;3,"Group I",T494&lt;5,"Group II",T494&lt;10,"Group III",T494&lt;20,"Group IV",T494&lt;50,"Group V",T494&lt;100,"Group VI",T494&lt;200,"Group VII",T494&lt;500,"Group VIII",T494&lt;1000,"Group IX",TRUE,"Group X")</f>
        <v>Group V</v>
      </c>
      <c r="V494" s="43">
        <f t="shared" si="95"/>
        <v>1.5732690162006153</v>
      </c>
      <c r="W494" s="43">
        <f t="shared" si="96"/>
        <v>1.3053849858356943</v>
      </c>
      <c r="X494" s="43">
        <f t="shared" si="99"/>
        <v>0.11573861325791476</v>
      </c>
      <c r="Y494" s="43">
        <f t="shared" si="97"/>
        <v>0.87829931972789121</v>
      </c>
      <c r="Z494" s="43">
        <f t="shared" si="100"/>
        <v>-5.6357453623297887E-2</v>
      </c>
      <c r="AA494" s="43">
        <f t="shared" si="101"/>
        <v>2.155321976206011</v>
      </c>
      <c r="AB494" s="43">
        <f t="shared" si="102"/>
        <v>0.55141279583359704</v>
      </c>
    </row>
    <row r="495" spans="1:28">
      <c r="A495" s="48" t="s">
        <v>56</v>
      </c>
      <c r="B495" s="50">
        <v>200</v>
      </c>
      <c r="C495" s="50">
        <v>900</v>
      </c>
      <c r="D495" s="50">
        <v>11.34</v>
      </c>
      <c r="E495" s="50">
        <v>23.021235521235521</v>
      </c>
      <c r="F495" s="50">
        <v>866.31274131274131</v>
      </c>
      <c r="G495" s="57" t="s">
        <v>98</v>
      </c>
      <c r="H495" s="50">
        <v>0.129</v>
      </c>
      <c r="I495" s="50">
        <v>35.299999999999997</v>
      </c>
      <c r="J495" s="50">
        <v>327</v>
      </c>
      <c r="K495" s="50">
        <v>1749</v>
      </c>
      <c r="L495" s="50">
        <v>0.7</v>
      </c>
      <c r="M495" s="50">
        <v>356</v>
      </c>
      <c r="N495" s="51">
        <v>285</v>
      </c>
      <c r="O495" s="43">
        <f t="shared" si="98"/>
        <v>0.30000000000000004</v>
      </c>
      <c r="P495" s="43">
        <f t="shared" si="91"/>
        <v>61.979235521235523</v>
      </c>
      <c r="Q495" s="43">
        <f t="shared" si="92"/>
        <v>2.4130812244507331E-5</v>
      </c>
      <c r="R495" s="43">
        <v>35</v>
      </c>
      <c r="S495" s="43">
        <f t="shared" si="93"/>
        <v>0.22222222222222221</v>
      </c>
      <c r="T495" s="43">
        <f t="shared" si="94"/>
        <v>49.912319518492517</v>
      </c>
      <c r="U495" s="43" t="str" cm="1">
        <f t="array" ref="U495">_xlfn.IFS(T495&lt;3,"Group I",T495&lt;5,"Group II",T495&lt;10,"Group III",T495&lt;20,"Group IV",T495&lt;50,"Group V",T495&lt;100,"Group VI",T495&lt;200,"Group VII",T495&lt;500,"Group VIII",T495&lt;1000,"Group IX",TRUE,"Group X")</f>
        <v>Group V</v>
      </c>
      <c r="V495" s="43">
        <f t="shared" si="95"/>
        <v>1.6982077528089154</v>
      </c>
      <c r="W495" s="43">
        <f t="shared" si="96"/>
        <v>1.3053849858356943</v>
      </c>
      <c r="X495" s="43">
        <f t="shared" si="99"/>
        <v>0.11573861325791476</v>
      </c>
      <c r="Y495" s="43">
        <f t="shared" si="97"/>
        <v>0.800561797752809</v>
      </c>
      <c r="Z495" s="43">
        <f t="shared" si="100"/>
        <v>-9.660513796436497E-2</v>
      </c>
      <c r="AA495" s="43">
        <f t="shared" si="101"/>
        <v>2.8737626349413481</v>
      </c>
      <c r="AB495" s="43">
        <f t="shared" si="102"/>
        <v>0.6007531954994042</v>
      </c>
    </row>
    <row r="496" spans="1:28">
      <c r="A496" s="48" t="s">
        <v>56</v>
      </c>
      <c r="B496" s="50">
        <v>250</v>
      </c>
      <c r="C496" s="50">
        <v>900</v>
      </c>
      <c r="D496" s="50">
        <v>11.34</v>
      </c>
      <c r="E496" s="50">
        <v>23.021235521235521</v>
      </c>
      <c r="F496" s="50">
        <v>866.31274131274131</v>
      </c>
      <c r="G496" s="57" t="s">
        <v>98</v>
      </c>
      <c r="H496" s="50">
        <v>0.129</v>
      </c>
      <c r="I496" s="50">
        <v>35.299999999999997</v>
      </c>
      <c r="J496" s="50">
        <v>327</v>
      </c>
      <c r="K496" s="50">
        <v>1749</v>
      </c>
      <c r="L496" s="50">
        <v>0.7</v>
      </c>
      <c r="M496" s="50">
        <v>393.12</v>
      </c>
      <c r="N496" s="51">
        <v>333.35</v>
      </c>
      <c r="O496" s="43">
        <f t="shared" si="98"/>
        <v>0.30000000000000004</v>
      </c>
      <c r="P496" s="43">
        <f t="shared" si="91"/>
        <v>61.979235521235523</v>
      </c>
      <c r="Q496" s="43">
        <f t="shared" si="92"/>
        <v>2.4130812244507331E-5</v>
      </c>
      <c r="R496" s="43">
        <v>35</v>
      </c>
      <c r="S496" s="43">
        <f t="shared" si="93"/>
        <v>0.27777777777777779</v>
      </c>
      <c r="T496" s="43">
        <f t="shared" si="94"/>
        <v>62.390399398115648</v>
      </c>
      <c r="U496" s="43" t="str" cm="1">
        <f t="array" ref="U496">_xlfn.IFS(T496&lt;3,"Group I",T496&lt;5,"Group II",T496&lt;10,"Group III",T496&lt;20,"Group IV",T496&lt;50,"Group V",T496&lt;100,"Group VI",T496&lt;200,"Group VII",T496&lt;500,"Group VIII",T496&lt;1000,"Group IX",TRUE,"Group X")</f>
        <v>Group VI</v>
      </c>
      <c r="V496" s="43">
        <f t="shared" si="95"/>
        <v>1.7951177658169719</v>
      </c>
      <c r="W496" s="43">
        <f t="shared" si="96"/>
        <v>1.3053849858356943</v>
      </c>
      <c r="X496" s="43">
        <f t="shared" si="99"/>
        <v>0.11573861325791476</v>
      </c>
      <c r="Y496" s="43">
        <f t="shared" si="97"/>
        <v>0.84795991045991048</v>
      </c>
      <c r="Z496" s="43">
        <f t="shared" si="100"/>
        <v>-7.1624679674422959E-2</v>
      </c>
      <c r="AA496" s="43">
        <f t="shared" si="101"/>
        <v>3.5922032936766852</v>
      </c>
      <c r="AB496" s="43">
        <f t="shared" si="102"/>
        <v>0.64204516887764651</v>
      </c>
    </row>
    <row r="497" spans="1:28" ht="18.600000000000001" thickBot="1">
      <c r="A497" s="53" t="s">
        <v>56</v>
      </c>
      <c r="B497" s="54">
        <v>300</v>
      </c>
      <c r="C497" s="54">
        <v>900</v>
      </c>
      <c r="D497" s="54">
        <v>11.34</v>
      </c>
      <c r="E497" s="54">
        <v>23.021235521235521</v>
      </c>
      <c r="F497" s="54">
        <v>866.31274131274131</v>
      </c>
      <c r="G497" s="57" t="s">
        <v>98</v>
      </c>
      <c r="H497" s="54">
        <v>0.129</v>
      </c>
      <c r="I497" s="54">
        <v>35.299999999999997</v>
      </c>
      <c r="J497" s="54">
        <v>327</v>
      </c>
      <c r="K497" s="54">
        <v>1749</v>
      </c>
      <c r="L497" s="54">
        <v>0.7</v>
      </c>
      <c r="M497" s="54">
        <v>563.38</v>
      </c>
      <c r="N497" s="55">
        <v>350.3</v>
      </c>
      <c r="O497" s="43">
        <f t="shared" si="98"/>
        <v>0.30000000000000004</v>
      </c>
      <c r="P497" s="43">
        <f t="shared" si="91"/>
        <v>61.979235521235523</v>
      </c>
      <c r="Q497" s="43">
        <f t="shared" si="92"/>
        <v>2.4130812244507331E-5</v>
      </c>
      <c r="R497" s="43">
        <v>35</v>
      </c>
      <c r="S497" s="43">
        <f t="shared" si="93"/>
        <v>0.33333333333333331</v>
      </c>
      <c r="T497" s="43">
        <f t="shared" si="94"/>
        <v>74.868479277738771</v>
      </c>
      <c r="U497" s="43" t="str" cm="1">
        <f t="array" ref="U497">_xlfn.IFS(T497&lt;3,"Group I",T497&lt;5,"Group II",T497&lt;10,"Group III",T497&lt;20,"Group IV",T497&lt;50,"Group V",T497&lt;100,"Group VI",T497&lt;200,"Group VII",T497&lt;500,"Group VIII",T497&lt;1000,"Group IX",TRUE,"Group X")</f>
        <v>Group VI</v>
      </c>
      <c r="V497" s="43">
        <f t="shared" si="95"/>
        <v>1.8742990118645966</v>
      </c>
      <c r="W497" s="43">
        <f t="shared" si="96"/>
        <v>1.3053849858356943</v>
      </c>
      <c r="X497" s="43">
        <f t="shared" si="99"/>
        <v>0.11573861325791476</v>
      </c>
      <c r="Y497" s="43">
        <f t="shared" si="97"/>
        <v>0.62178281089140552</v>
      </c>
      <c r="Z497" s="43">
        <f t="shared" si="100"/>
        <v>-0.2063612881438994</v>
      </c>
      <c r="AA497" s="43">
        <f t="shared" si="101"/>
        <v>4.3106439524120219</v>
      </c>
      <c r="AB497" s="43">
        <f t="shared" si="102"/>
        <v>0.67788133431728714</v>
      </c>
    </row>
    <row r="498" spans="1:28">
      <c r="A498" s="56" t="s">
        <v>57</v>
      </c>
      <c r="B498" s="57">
        <v>200</v>
      </c>
      <c r="C498" s="57">
        <v>200</v>
      </c>
      <c r="D498" s="57">
        <v>9.7799999999999994</v>
      </c>
      <c r="E498" s="57">
        <v>52.158001420228885</v>
      </c>
      <c r="F498" s="57">
        <v>722.5557994912441</v>
      </c>
      <c r="G498" s="57" t="s">
        <v>92</v>
      </c>
      <c r="H498" s="57">
        <v>0.122</v>
      </c>
      <c r="I498" s="57">
        <v>7.97</v>
      </c>
      <c r="J498" s="57">
        <v>271</v>
      </c>
      <c r="K498" s="57">
        <v>1564</v>
      </c>
      <c r="L498" s="57">
        <v>0.7</v>
      </c>
      <c r="M498" s="57">
        <v>246.84</v>
      </c>
      <c r="N498" s="58">
        <v>363.83</v>
      </c>
      <c r="O498" s="43">
        <f t="shared" si="98"/>
        <v>0.30000000000000004</v>
      </c>
      <c r="P498" s="43">
        <f t="shared" si="91"/>
        <v>82.170001420228886</v>
      </c>
      <c r="Q498" s="43">
        <f t="shared" si="92"/>
        <v>6.6797411914579769E-6</v>
      </c>
      <c r="R498" s="43">
        <v>35</v>
      </c>
      <c r="S498" s="43">
        <f t="shared" si="93"/>
        <v>1</v>
      </c>
      <c r="T498" s="43">
        <f t="shared" si="94"/>
        <v>176.00592275141489</v>
      </c>
      <c r="U498" s="43" t="str" cm="1">
        <f t="array" ref="U498">_xlfn.IFS(T498&lt;3,"Group I",T498&lt;5,"Group II",T498&lt;10,"Group III",T498&lt;20,"Group IV",T498&lt;50,"Group V",T498&lt;100,"Group VI",T498&lt;200,"Group VII",T498&lt;500,"Group VIII",T498&lt;1000,"Group IX",TRUE,"Group X")</f>
        <v>Group VII</v>
      </c>
      <c r="V498" s="43">
        <f t="shared" si="95"/>
        <v>2.2455272824447068</v>
      </c>
      <c r="W498" s="43">
        <f t="shared" si="96"/>
        <v>1.0479447929736512</v>
      </c>
      <c r="X498" s="43">
        <f t="shared" si="99"/>
        <v>2.0338404080494143E-2</v>
      </c>
      <c r="Y498" s="43">
        <f t="shared" si="97"/>
        <v>1.4739507373197211</v>
      </c>
      <c r="Z498" s="43">
        <f t="shared" si="100"/>
        <v>0.16848296868739446</v>
      </c>
      <c r="AA498" s="43">
        <f t="shared" si="101"/>
        <v>10.034142767534886</v>
      </c>
      <c r="AB498" s="43">
        <f t="shared" si="102"/>
        <v>0.87446529334139478</v>
      </c>
    </row>
    <row r="499" spans="1:28">
      <c r="A499" s="48" t="s">
        <v>57</v>
      </c>
      <c r="B499" s="50">
        <v>200</v>
      </c>
      <c r="C499" s="50">
        <v>400</v>
      </c>
      <c r="D499" s="50">
        <v>9.7799999999999994</v>
      </c>
      <c r="E499" s="50">
        <v>52.158001420228885</v>
      </c>
      <c r="F499" s="50">
        <v>722.5557994912441</v>
      </c>
      <c r="G499" s="57" t="s">
        <v>92</v>
      </c>
      <c r="H499" s="50">
        <v>0.122</v>
      </c>
      <c r="I499" s="50">
        <v>7.97</v>
      </c>
      <c r="J499" s="50">
        <v>271</v>
      </c>
      <c r="K499" s="50">
        <v>1564</v>
      </c>
      <c r="L499" s="50">
        <v>0.7</v>
      </c>
      <c r="M499" s="50">
        <v>287.63</v>
      </c>
      <c r="N499" s="51">
        <v>412.89</v>
      </c>
      <c r="O499" s="43">
        <f t="shared" si="98"/>
        <v>0.30000000000000004</v>
      </c>
      <c r="P499" s="43">
        <f t="shared" si="91"/>
        <v>82.170001420228886</v>
      </c>
      <c r="Q499" s="43">
        <f t="shared" si="92"/>
        <v>6.6797411914579769E-6</v>
      </c>
      <c r="R499" s="43">
        <v>35</v>
      </c>
      <c r="S499" s="43">
        <f t="shared" si="93"/>
        <v>0.5</v>
      </c>
      <c r="T499" s="43">
        <f t="shared" si="94"/>
        <v>124.45498150652112</v>
      </c>
      <c r="U499" s="43" t="str" cm="1">
        <f t="array" ref="U499">_xlfn.IFS(T499&lt;3,"Group I",T499&lt;5,"Group II",T499&lt;10,"Group III",T499&lt;20,"Group IV",T499&lt;50,"Group V",T499&lt;100,"Group VI",T499&lt;200,"Group VII",T499&lt;500,"Group VIII",T499&lt;1000,"Group IX",TRUE,"Group X")</f>
        <v>Group VII</v>
      </c>
      <c r="V499" s="43">
        <f t="shared" si="95"/>
        <v>2.0950122846127162</v>
      </c>
      <c r="W499" s="43">
        <f t="shared" si="96"/>
        <v>2.0958895859473023</v>
      </c>
      <c r="X499" s="43">
        <f t="shared" si="99"/>
        <v>0.32136839974447534</v>
      </c>
      <c r="Y499" s="43">
        <f t="shared" si="97"/>
        <v>1.4354900392865835</v>
      </c>
      <c r="Z499" s="43">
        <f t="shared" si="100"/>
        <v>0.15700018331954604</v>
      </c>
      <c r="AA499" s="43">
        <f t="shared" si="101"/>
        <v>7.3198570036919897</v>
      </c>
      <c r="AB499" s="43">
        <f t="shared" si="102"/>
        <v>0.7886860506163792</v>
      </c>
    </row>
    <row r="500" spans="1:28">
      <c r="A500" s="48" t="s">
        <v>57</v>
      </c>
      <c r="B500" s="50">
        <v>200</v>
      </c>
      <c r="C500" s="50">
        <v>600</v>
      </c>
      <c r="D500" s="50">
        <v>9.7799999999999994</v>
      </c>
      <c r="E500" s="50">
        <v>52.158001420228885</v>
      </c>
      <c r="F500" s="50">
        <v>722.5557994912441</v>
      </c>
      <c r="G500" s="57" t="s">
        <v>92</v>
      </c>
      <c r="H500" s="50">
        <v>0.122</v>
      </c>
      <c r="I500" s="50">
        <v>7.97</v>
      </c>
      <c r="J500" s="50">
        <v>271</v>
      </c>
      <c r="K500" s="50">
        <v>1564</v>
      </c>
      <c r="L500" s="50">
        <v>0.7</v>
      </c>
      <c r="M500" s="50">
        <v>299.76</v>
      </c>
      <c r="N500" s="51">
        <v>526.28</v>
      </c>
      <c r="O500" s="43">
        <f t="shared" si="98"/>
        <v>0.30000000000000004</v>
      </c>
      <c r="P500" s="43">
        <f t="shared" si="91"/>
        <v>82.170001420228886</v>
      </c>
      <c r="Q500" s="43">
        <f t="shared" si="92"/>
        <v>6.6797411914579769E-6</v>
      </c>
      <c r="R500" s="43">
        <v>35</v>
      </c>
      <c r="S500" s="43">
        <f t="shared" si="93"/>
        <v>0.33333333333333331</v>
      </c>
      <c r="T500" s="43">
        <f t="shared" si="94"/>
        <v>101.61706687949787</v>
      </c>
      <c r="U500" s="43" t="str" cm="1">
        <f t="array" ref="U500">_xlfn.IFS(T500&lt;3,"Group I",T500&lt;5,"Group II",T500&lt;10,"Group III",T500&lt;20,"Group IV",T500&lt;50,"Group V",T500&lt;100,"Group VI",T500&lt;200,"Group VII",T500&lt;500,"Group VIII",T500&lt;1000,"Group IX",TRUE,"Group X")</f>
        <v>Group VII</v>
      </c>
      <c r="V500" s="43">
        <f t="shared" si="95"/>
        <v>2.0069666550848755</v>
      </c>
      <c r="W500" s="43">
        <f t="shared" si="96"/>
        <v>3.1438343789209533</v>
      </c>
      <c r="X500" s="43">
        <f t="shared" si="99"/>
        <v>0.49745965880015658</v>
      </c>
      <c r="Y500" s="43">
        <f t="shared" si="97"/>
        <v>1.7556712036295703</v>
      </c>
      <c r="Z500" s="43">
        <f t="shared" si="100"/>
        <v>0.2444431859325257</v>
      </c>
      <c r="AA500" s="43">
        <f t="shared" si="101"/>
        <v>6.0866144318873303</v>
      </c>
      <c r="AB500" s="43">
        <f t="shared" si="102"/>
        <v>0.74246394148627326</v>
      </c>
    </row>
    <row r="501" spans="1:28">
      <c r="A501" s="48" t="s">
        <v>57</v>
      </c>
      <c r="B501" s="50">
        <v>200</v>
      </c>
      <c r="C501" s="50">
        <v>800</v>
      </c>
      <c r="D501" s="50">
        <v>9.7799999999999994</v>
      </c>
      <c r="E501" s="50">
        <v>52.158001420228885</v>
      </c>
      <c r="F501" s="50">
        <v>722.5557994912441</v>
      </c>
      <c r="G501" s="57" t="s">
        <v>92</v>
      </c>
      <c r="H501" s="50">
        <v>0.122</v>
      </c>
      <c r="I501" s="50">
        <v>7.97</v>
      </c>
      <c r="J501" s="50">
        <v>271</v>
      </c>
      <c r="K501" s="50">
        <v>1564</v>
      </c>
      <c r="L501" s="50">
        <v>0.7</v>
      </c>
      <c r="M501" s="50">
        <v>384.13</v>
      </c>
      <c r="N501" s="51">
        <v>570.44000000000005</v>
      </c>
      <c r="O501" s="43">
        <f t="shared" si="98"/>
        <v>0.30000000000000004</v>
      </c>
      <c r="P501" s="43">
        <f t="shared" si="91"/>
        <v>82.170001420228886</v>
      </c>
      <c r="Q501" s="43">
        <f t="shared" si="92"/>
        <v>6.6797411914579769E-6</v>
      </c>
      <c r="R501" s="43">
        <v>35</v>
      </c>
      <c r="S501" s="43">
        <f t="shared" si="93"/>
        <v>0.25</v>
      </c>
      <c r="T501" s="43">
        <f t="shared" si="94"/>
        <v>88.002961375707443</v>
      </c>
      <c r="U501" s="43" t="str" cm="1">
        <f t="array" ref="U501">_xlfn.IFS(T501&lt;3,"Group I",T501&lt;5,"Group II",T501&lt;10,"Group III",T501&lt;20,"Group IV",T501&lt;50,"Group V",T501&lt;100,"Group VI",T501&lt;200,"Group VII",T501&lt;500,"Group VIII",T501&lt;1000,"Group IX",TRUE,"Group X")</f>
        <v>Group VI</v>
      </c>
      <c r="V501" s="43">
        <f t="shared" si="95"/>
        <v>1.9444972867807255</v>
      </c>
      <c r="W501" s="43">
        <f t="shared" si="96"/>
        <v>4.1917791718946047</v>
      </c>
      <c r="X501" s="43">
        <f t="shared" si="99"/>
        <v>0.62239839540845654</v>
      </c>
      <c r="Y501" s="43">
        <f t="shared" si="97"/>
        <v>1.4850180928331556</v>
      </c>
      <c r="Z501" s="43">
        <f t="shared" si="100"/>
        <v>0.17173174494598153</v>
      </c>
      <c r="AA501" s="43">
        <f t="shared" si="101"/>
        <v>5.3397991035024788</v>
      </c>
      <c r="AB501" s="43">
        <f t="shared" si="102"/>
        <v>0.71132118241086151</v>
      </c>
    </row>
    <row r="502" spans="1:28">
      <c r="A502" s="48" t="s">
        <v>57</v>
      </c>
      <c r="B502" s="50">
        <v>200</v>
      </c>
      <c r="C502" s="50">
        <v>1200</v>
      </c>
      <c r="D502" s="50">
        <v>9.7799999999999994</v>
      </c>
      <c r="E502" s="50">
        <v>52.158001420228885</v>
      </c>
      <c r="F502" s="50">
        <v>722.5557994912441</v>
      </c>
      <c r="G502" s="57" t="s">
        <v>92</v>
      </c>
      <c r="H502" s="50">
        <v>0.122</v>
      </c>
      <c r="I502" s="50">
        <v>7.97</v>
      </c>
      <c r="J502" s="50">
        <v>271</v>
      </c>
      <c r="K502" s="50">
        <v>1564</v>
      </c>
      <c r="L502" s="50">
        <v>0.7</v>
      </c>
      <c r="M502" s="50">
        <v>410.67</v>
      </c>
      <c r="N502" s="51">
        <v>752.65</v>
      </c>
      <c r="O502" s="43">
        <f t="shared" si="98"/>
        <v>0.30000000000000004</v>
      </c>
      <c r="P502" s="43">
        <f t="shared" si="91"/>
        <v>82.170001420228886</v>
      </c>
      <c r="Q502" s="43">
        <f t="shared" si="92"/>
        <v>6.6797411914579769E-6</v>
      </c>
      <c r="R502" s="43">
        <v>35</v>
      </c>
      <c r="S502" s="43">
        <f t="shared" si="93"/>
        <v>0.16666666666666666</v>
      </c>
      <c r="T502" s="43">
        <f t="shared" si="94"/>
        <v>71.854117074779865</v>
      </c>
      <c r="U502" s="43" t="str" cm="1">
        <f t="array" ref="U502">_xlfn.IFS(T502&lt;3,"Group I",T502&lt;5,"Group II",T502&lt;10,"Group III",T502&lt;20,"Group IV",T502&lt;50,"Group V",T502&lt;100,"Group VI",T502&lt;200,"Group VII",T502&lt;500,"Group VIII",T502&lt;1000,"Group IX",TRUE,"Group X")</f>
        <v>Group VI</v>
      </c>
      <c r="V502" s="43">
        <f t="shared" si="95"/>
        <v>1.8564516572528849</v>
      </c>
      <c r="W502" s="43">
        <f t="shared" si="96"/>
        <v>6.2876687578419066</v>
      </c>
      <c r="X502" s="43">
        <f t="shared" si="99"/>
        <v>0.79848965446413778</v>
      </c>
      <c r="Y502" s="43">
        <f t="shared" si="97"/>
        <v>1.8327367472666616</v>
      </c>
      <c r="Z502" s="43">
        <f t="shared" si="100"/>
        <v>0.26310008775538829</v>
      </c>
      <c r="AA502" s="43">
        <f t="shared" si="101"/>
        <v>4.4401548104511077</v>
      </c>
      <c r="AB502" s="43">
        <f t="shared" si="102"/>
        <v>0.66963315547764113</v>
      </c>
    </row>
    <row r="503" spans="1:28">
      <c r="A503" s="48" t="s">
        <v>57</v>
      </c>
      <c r="B503" s="50">
        <v>200</v>
      </c>
      <c r="C503" s="50">
        <v>1600</v>
      </c>
      <c r="D503" s="50">
        <v>9.7799999999999994</v>
      </c>
      <c r="E503" s="50">
        <v>52.158001420228885</v>
      </c>
      <c r="F503" s="50">
        <v>722.5557994912441</v>
      </c>
      <c r="G503" s="57" t="s">
        <v>92</v>
      </c>
      <c r="H503" s="50">
        <v>0.122</v>
      </c>
      <c r="I503" s="50">
        <v>7.97</v>
      </c>
      <c r="J503" s="50">
        <v>271</v>
      </c>
      <c r="K503" s="50">
        <v>1564</v>
      </c>
      <c r="L503" s="50">
        <v>0.7</v>
      </c>
      <c r="M503" s="50">
        <v>364.68</v>
      </c>
      <c r="N503" s="51">
        <v>1099.56</v>
      </c>
      <c r="O503" s="43">
        <f t="shared" si="98"/>
        <v>0.30000000000000004</v>
      </c>
      <c r="P503" s="43">
        <f t="shared" si="91"/>
        <v>82.170001420228886</v>
      </c>
      <c r="Q503" s="43">
        <f t="shared" si="92"/>
        <v>6.6797411914579769E-6</v>
      </c>
      <c r="R503" s="43">
        <v>35</v>
      </c>
      <c r="S503" s="43">
        <f t="shared" si="93"/>
        <v>0.125</v>
      </c>
      <c r="T503" s="43">
        <f t="shared" si="94"/>
        <v>62.227490753260561</v>
      </c>
      <c r="U503" s="43" t="str" cm="1">
        <f t="array" ref="U503">_xlfn.IFS(T503&lt;3,"Group I",T503&lt;5,"Group II",T503&lt;10,"Group III",T503&lt;20,"Group IV",T503&lt;50,"Group V",T503&lt;100,"Group VI",T503&lt;200,"Group VII",T503&lt;500,"Group VIII",T503&lt;1000,"Group IX",TRUE,"Group X")</f>
        <v>Group VI</v>
      </c>
      <c r="V503" s="43">
        <f t="shared" si="95"/>
        <v>1.7939822889487349</v>
      </c>
      <c r="W503" s="43">
        <f t="shared" si="96"/>
        <v>8.3835583437892094</v>
      </c>
      <c r="X503" s="43">
        <f t="shared" si="99"/>
        <v>0.92342839107243768</v>
      </c>
      <c r="Y503" s="43">
        <f t="shared" si="97"/>
        <v>3.0151365580783152</v>
      </c>
      <c r="Z503" s="43">
        <f t="shared" si="100"/>
        <v>0.47930698648506975</v>
      </c>
      <c r="AA503" s="43">
        <f t="shared" si="101"/>
        <v>3.8953567605739114</v>
      </c>
      <c r="AB503" s="43">
        <f t="shared" si="102"/>
        <v>0.64154529441842034</v>
      </c>
    </row>
    <row r="504" spans="1:28">
      <c r="A504" s="48" t="s">
        <v>57</v>
      </c>
      <c r="B504" s="50">
        <v>350</v>
      </c>
      <c r="C504" s="50">
        <v>400</v>
      </c>
      <c r="D504" s="50">
        <v>9.7799999999999994</v>
      </c>
      <c r="E504" s="50">
        <v>52.158001420228885</v>
      </c>
      <c r="F504" s="50">
        <v>722.5557994912441</v>
      </c>
      <c r="G504" s="57" t="s">
        <v>92</v>
      </c>
      <c r="H504" s="50">
        <v>0.122</v>
      </c>
      <c r="I504" s="50">
        <v>7.97</v>
      </c>
      <c r="J504" s="50">
        <v>271</v>
      </c>
      <c r="K504" s="50">
        <v>1564</v>
      </c>
      <c r="L504" s="50">
        <v>0.7</v>
      </c>
      <c r="M504" s="50">
        <v>379.27</v>
      </c>
      <c r="N504" s="51">
        <v>437.33</v>
      </c>
      <c r="O504" s="43">
        <f t="shared" si="98"/>
        <v>0.30000000000000004</v>
      </c>
      <c r="P504" s="43">
        <f t="shared" si="91"/>
        <v>82.170001420228886</v>
      </c>
      <c r="Q504" s="43">
        <f t="shared" si="92"/>
        <v>6.6797411914579769E-6</v>
      </c>
      <c r="R504" s="43">
        <v>35</v>
      </c>
      <c r="S504" s="43">
        <f t="shared" si="93"/>
        <v>0.875</v>
      </c>
      <c r="T504" s="43">
        <f t="shared" si="94"/>
        <v>217.79621763641197</v>
      </c>
      <c r="U504" s="43" t="str" cm="1">
        <f t="array" ref="U504">_xlfn.IFS(T504&lt;3,"Group I",T504&lt;5,"Group II",T504&lt;10,"Group III",T504&lt;20,"Group IV",T504&lt;50,"Group V",T504&lt;100,"Group VI",T504&lt;200,"Group VII",T504&lt;500,"Group VIII",T504&lt;1000,"Group IX",TRUE,"Group X")</f>
        <v>Group VIII</v>
      </c>
      <c r="V504" s="43">
        <f t="shared" si="95"/>
        <v>2.3380503332990106</v>
      </c>
      <c r="W504" s="43">
        <f t="shared" si="96"/>
        <v>2.0958895859473023</v>
      </c>
      <c r="X504" s="43">
        <f t="shared" si="99"/>
        <v>0.32136839974447534</v>
      </c>
      <c r="Y504" s="43">
        <f t="shared" si="97"/>
        <v>1.1530835552508767</v>
      </c>
      <c r="Z504" s="43">
        <f t="shared" si="100"/>
        <v>6.1860778473896358E-2</v>
      </c>
      <c r="AA504" s="43">
        <f t="shared" si="101"/>
        <v>12.809749756460981</v>
      </c>
      <c r="AB504" s="43">
        <f t="shared" si="102"/>
        <v>0.93176242828808409</v>
      </c>
    </row>
    <row r="505" spans="1:28">
      <c r="A505" s="48" t="s">
        <v>57</v>
      </c>
      <c r="B505" s="50">
        <v>350</v>
      </c>
      <c r="C505" s="50">
        <v>600</v>
      </c>
      <c r="D505" s="50">
        <v>9.7799999999999994</v>
      </c>
      <c r="E505" s="50">
        <v>52.158001420228885</v>
      </c>
      <c r="F505" s="50">
        <v>722.5557994912441</v>
      </c>
      <c r="G505" s="57" t="s">
        <v>92</v>
      </c>
      <c r="H505" s="50">
        <v>0.122</v>
      </c>
      <c r="I505" s="50">
        <v>7.97</v>
      </c>
      <c r="J505" s="50">
        <v>271</v>
      </c>
      <c r="K505" s="50">
        <v>1564</v>
      </c>
      <c r="L505" s="50">
        <v>0.7</v>
      </c>
      <c r="M505" s="50">
        <v>336</v>
      </c>
      <c r="N505" s="51">
        <v>611.22</v>
      </c>
      <c r="O505" s="43">
        <f t="shared" si="98"/>
        <v>0.30000000000000004</v>
      </c>
      <c r="P505" s="43">
        <f t="shared" si="91"/>
        <v>82.170001420228886</v>
      </c>
      <c r="Q505" s="43">
        <f t="shared" si="92"/>
        <v>6.6797411914579769E-6</v>
      </c>
      <c r="R505" s="43">
        <v>35</v>
      </c>
      <c r="S505" s="43">
        <f t="shared" si="93"/>
        <v>0.58333333333333337</v>
      </c>
      <c r="T505" s="43">
        <f t="shared" si="94"/>
        <v>177.8298670391213</v>
      </c>
      <c r="U505" s="43" t="str" cm="1">
        <f t="array" ref="U505">_xlfn.IFS(T505&lt;3,"Group I",T505&lt;5,"Group II",T505&lt;10,"Group III",T505&lt;20,"Group IV",T505&lt;50,"Group V",T505&lt;100,"Group VI",T505&lt;200,"Group VII",T505&lt;500,"Group VIII",T505&lt;1000,"Group IX",TRUE,"Group X")</f>
        <v>Group VII</v>
      </c>
      <c r="V505" s="43">
        <f t="shared" si="95"/>
        <v>2.2500047037711699</v>
      </c>
      <c r="W505" s="43">
        <f t="shared" si="96"/>
        <v>3.1438343789209533</v>
      </c>
      <c r="X505" s="43">
        <f t="shared" si="99"/>
        <v>0.49745965880015658</v>
      </c>
      <c r="Y505" s="43">
        <f t="shared" si="97"/>
        <v>1.819107142857143</v>
      </c>
      <c r="Z505" s="43">
        <f t="shared" si="100"/>
        <v>0.25985827915214993</v>
      </c>
      <c r="AA505" s="43">
        <f t="shared" si="101"/>
        <v>10.651575255802829</v>
      </c>
      <c r="AB505" s="43">
        <f t="shared" si="102"/>
        <v>0.8771551170391968</v>
      </c>
    </row>
    <row r="506" spans="1:28">
      <c r="A506" s="48" t="s">
        <v>57</v>
      </c>
      <c r="B506" s="50">
        <v>350</v>
      </c>
      <c r="C506" s="50">
        <v>800</v>
      </c>
      <c r="D506" s="50">
        <v>9.7799999999999994</v>
      </c>
      <c r="E506" s="50">
        <v>52.158001420228885</v>
      </c>
      <c r="F506" s="50">
        <v>722.5557994912441</v>
      </c>
      <c r="G506" s="57" t="s">
        <v>92</v>
      </c>
      <c r="H506" s="50">
        <v>0.122</v>
      </c>
      <c r="I506" s="50">
        <v>7.97</v>
      </c>
      <c r="J506" s="50">
        <v>271</v>
      </c>
      <c r="K506" s="50">
        <v>1564</v>
      </c>
      <c r="L506" s="50">
        <v>0.7</v>
      </c>
      <c r="M506" s="50">
        <v>355.5</v>
      </c>
      <c r="N506" s="51">
        <v>733.58</v>
      </c>
      <c r="O506" s="43">
        <f t="shared" si="98"/>
        <v>0.30000000000000004</v>
      </c>
      <c r="P506" s="43">
        <f t="shared" si="91"/>
        <v>82.170001420228886</v>
      </c>
      <c r="Q506" s="43">
        <f t="shared" si="92"/>
        <v>6.6797411914579769E-6</v>
      </c>
      <c r="R506" s="43">
        <v>35</v>
      </c>
      <c r="S506" s="43">
        <f t="shared" si="93"/>
        <v>0.4375</v>
      </c>
      <c r="T506" s="43">
        <f t="shared" si="94"/>
        <v>154.00518240748804</v>
      </c>
      <c r="U506" s="43" t="str" cm="1">
        <f t="array" ref="U506">_xlfn.IFS(T506&lt;3,"Group I",T506&lt;5,"Group II",T506&lt;10,"Group III",T506&lt;20,"Group IV",T506&lt;50,"Group V",T506&lt;100,"Group VI",T506&lt;200,"Group VII",T506&lt;500,"Group VIII",T506&lt;1000,"Group IX",TRUE,"Group X")</f>
        <v>Group VII</v>
      </c>
      <c r="V506" s="43">
        <f t="shared" si="95"/>
        <v>2.1875353354670199</v>
      </c>
      <c r="W506" s="43">
        <f t="shared" si="96"/>
        <v>4.1917791718946047</v>
      </c>
      <c r="X506" s="43">
        <f t="shared" si="99"/>
        <v>0.62239839540845654</v>
      </c>
      <c r="Y506" s="43">
        <f t="shared" si="97"/>
        <v>2.0635161744022503</v>
      </c>
      <c r="Z506" s="43">
        <f t="shared" si="100"/>
        <v>0.31460787734530565</v>
      </c>
      <c r="AA506" s="43">
        <f t="shared" si="101"/>
        <v>9.3446484311293396</v>
      </c>
      <c r="AB506" s="43">
        <f t="shared" si="102"/>
        <v>0.84036271682238251</v>
      </c>
    </row>
    <row r="507" spans="1:28">
      <c r="A507" s="48" t="s">
        <v>57</v>
      </c>
      <c r="B507" s="50">
        <v>350</v>
      </c>
      <c r="C507" s="50">
        <v>1000</v>
      </c>
      <c r="D507" s="50">
        <v>9.7799999999999994</v>
      </c>
      <c r="E507" s="50">
        <v>52.158001420228885</v>
      </c>
      <c r="F507" s="50">
        <v>722.5557994912441</v>
      </c>
      <c r="G507" s="57" t="s">
        <v>92</v>
      </c>
      <c r="H507" s="50">
        <v>0.122</v>
      </c>
      <c r="I507" s="50">
        <v>7.97</v>
      </c>
      <c r="J507" s="50">
        <v>271</v>
      </c>
      <c r="K507" s="50">
        <v>1564</v>
      </c>
      <c r="L507" s="50">
        <v>0.7</v>
      </c>
      <c r="M507" s="50">
        <v>512.89</v>
      </c>
      <c r="N507" s="51">
        <v>665.75</v>
      </c>
      <c r="O507" s="43">
        <f t="shared" si="98"/>
        <v>0.30000000000000004</v>
      </c>
      <c r="P507" s="43">
        <f t="shared" si="91"/>
        <v>82.170001420228886</v>
      </c>
      <c r="Q507" s="43">
        <f t="shared" si="92"/>
        <v>6.6797411914579769E-6</v>
      </c>
      <c r="R507" s="43">
        <v>35</v>
      </c>
      <c r="S507" s="43">
        <f t="shared" si="93"/>
        <v>0.35</v>
      </c>
      <c r="T507" s="43">
        <f t="shared" si="94"/>
        <v>137.7464227001592</v>
      </c>
      <c r="U507" s="43" t="str" cm="1">
        <f t="array" ref="U507">_xlfn.IFS(T507&lt;3,"Group I",T507&lt;5,"Group II",T507&lt;10,"Group III",T507&lt;20,"Group IV",T507&lt;50,"Group V",T507&lt;100,"Group VI",T507&lt;200,"Group VII",T507&lt;500,"Group VIII",T507&lt;1000,"Group IX",TRUE,"Group X")</f>
        <v>Group VII</v>
      </c>
      <c r="V507" s="43">
        <f t="shared" si="95"/>
        <v>2.1390803289629918</v>
      </c>
      <c r="W507" s="43">
        <f t="shared" si="96"/>
        <v>5.2397239648682561</v>
      </c>
      <c r="X507" s="43">
        <f t="shared" si="99"/>
        <v>0.719308408416513</v>
      </c>
      <c r="Y507" s="43">
        <f t="shared" si="97"/>
        <v>1.2980366160385268</v>
      </c>
      <c r="Z507" s="43">
        <f t="shared" si="100"/>
        <v>0.1132869435577165</v>
      </c>
      <c r="AA507" s="43">
        <f t="shared" si="101"/>
        <v>8.4424015247282789</v>
      </c>
      <c r="AB507" s="43">
        <f t="shared" si="102"/>
        <v>0.81289046608526838</v>
      </c>
    </row>
    <row r="508" spans="1:28">
      <c r="A508" s="48" t="s">
        <v>57</v>
      </c>
      <c r="B508" s="50">
        <v>350</v>
      </c>
      <c r="C508" s="50">
        <v>1200</v>
      </c>
      <c r="D508" s="50">
        <v>9.7799999999999994</v>
      </c>
      <c r="E508" s="50">
        <v>52.158001420228885</v>
      </c>
      <c r="F508" s="50">
        <v>722.5557994912441</v>
      </c>
      <c r="G508" s="57" t="s">
        <v>92</v>
      </c>
      <c r="H508" s="50">
        <v>0.122</v>
      </c>
      <c r="I508" s="50">
        <v>7.97</v>
      </c>
      <c r="J508" s="50">
        <v>271</v>
      </c>
      <c r="K508" s="50">
        <v>1564</v>
      </c>
      <c r="L508" s="50">
        <v>0.7</v>
      </c>
      <c r="M508" s="50">
        <v>514.42999999999995</v>
      </c>
      <c r="N508" s="51">
        <v>1012.21</v>
      </c>
      <c r="O508" s="43">
        <f t="shared" si="98"/>
        <v>0.30000000000000004</v>
      </c>
      <c r="P508" s="43">
        <f t="shared" si="91"/>
        <v>82.170001420228886</v>
      </c>
      <c r="Q508" s="43">
        <f t="shared" si="92"/>
        <v>6.6797411914579769E-6</v>
      </c>
      <c r="R508" s="43">
        <v>35</v>
      </c>
      <c r="S508" s="43">
        <f t="shared" si="93"/>
        <v>0.29166666666666669</v>
      </c>
      <c r="T508" s="43">
        <f t="shared" si="94"/>
        <v>125.74470488086477</v>
      </c>
      <c r="U508" s="43" t="str" cm="1">
        <f t="array" ref="U508">_xlfn.IFS(T508&lt;3,"Group I",T508&lt;5,"Group II",T508&lt;10,"Group III",T508&lt;20,"Group IV",T508&lt;50,"Group V",T508&lt;100,"Group VI",T508&lt;200,"Group VII",T508&lt;500,"Group VIII",T508&lt;1000,"Group IX",TRUE,"Group X")</f>
        <v>Group VII</v>
      </c>
      <c r="V508" s="43">
        <f t="shared" si="95"/>
        <v>2.0994897059391793</v>
      </c>
      <c r="W508" s="43">
        <f t="shared" si="96"/>
        <v>6.2876687578419066</v>
      </c>
      <c r="X508" s="43">
        <f t="shared" si="99"/>
        <v>0.79848965446413778</v>
      </c>
      <c r="Y508" s="43">
        <f t="shared" si="97"/>
        <v>1.9676340804385439</v>
      </c>
      <c r="Z508" s="43">
        <f t="shared" si="100"/>
        <v>0.29394433615717563</v>
      </c>
      <c r="AA508" s="43">
        <f t="shared" si="101"/>
        <v>7.7702709182894401</v>
      </c>
      <c r="AB508" s="43">
        <f t="shared" si="102"/>
        <v>0.79111202045786655</v>
      </c>
    </row>
    <row r="509" spans="1:28">
      <c r="A509" s="48" t="s">
        <v>57</v>
      </c>
      <c r="B509" s="50">
        <v>350</v>
      </c>
      <c r="C509" s="50">
        <v>1600</v>
      </c>
      <c r="D509" s="50">
        <v>9.7799999999999994</v>
      </c>
      <c r="E509" s="50">
        <v>52.158001420228885</v>
      </c>
      <c r="F509" s="50">
        <v>722.5557994912441</v>
      </c>
      <c r="G509" s="57" t="s">
        <v>92</v>
      </c>
      <c r="H509" s="50">
        <v>0.122</v>
      </c>
      <c r="I509" s="50">
        <v>7.97</v>
      </c>
      <c r="J509" s="50">
        <v>271</v>
      </c>
      <c r="K509" s="50">
        <v>1564</v>
      </c>
      <c r="L509" s="50">
        <v>0.7</v>
      </c>
      <c r="M509" s="50">
        <v>541.1</v>
      </c>
      <c r="N509" s="51">
        <v>1062.9100000000001</v>
      </c>
      <c r="O509" s="43">
        <f t="shared" si="98"/>
        <v>0.30000000000000004</v>
      </c>
      <c r="P509" s="43">
        <f t="shared" si="91"/>
        <v>82.170001420228886</v>
      </c>
      <c r="Q509" s="43">
        <f t="shared" si="92"/>
        <v>6.6797411914579769E-6</v>
      </c>
      <c r="R509" s="43">
        <v>35</v>
      </c>
      <c r="S509" s="43">
        <f t="shared" si="93"/>
        <v>0.21875</v>
      </c>
      <c r="T509" s="43">
        <f t="shared" si="94"/>
        <v>108.89810881820598</v>
      </c>
      <c r="U509" s="43" t="str" cm="1">
        <f t="array" ref="U509">_xlfn.IFS(T509&lt;3,"Group I",T509&lt;5,"Group II",T509&lt;10,"Group III",T509&lt;20,"Group IV",T509&lt;50,"Group V",T509&lt;100,"Group VI",T509&lt;200,"Group VII",T509&lt;500,"Group VIII",T509&lt;1000,"Group IX",TRUE,"Group X")</f>
        <v>Group VII</v>
      </c>
      <c r="V509" s="43">
        <f t="shared" si="95"/>
        <v>2.0370203376350293</v>
      </c>
      <c r="W509" s="43">
        <f t="shared" si="96"/>
        <v>8.3835583437892094</v>
      </c>
      <c r="X509" s="43">
        <f t="shared" si="99"/>
        <v>0.92342839107243768</v>
      </c>
      <c r="Y509" s="43">
        <f t="shared" si="97"/>
        <v>1.9643503973387544</v>
      </c>
      <c r="Z509" s="43">
        <f t="shared" si="100"/>
        <v>0.29321895904027812</v>
      </c>
      <c r="AA509" s="43">
        <f t="shared" si="101"/>
        <v>6.8168743310043451</v>
      </c>
      <c r="AB509" s="43">
        <f t="shared" si="102"/>
        <v>0.75792871056478028</v>
      </c>
    </row>
    <row r="510" spans="1:28">
      <c r="A510" s="48" t="s">
        <v>57</v>
      </c>
      <c r="B510" s="50">
        <v>350</v>
      </c>
      <c r="C510" s="50">
        <v>2000</v>
      </c>
      <c r="D510" s="50">
        <v>9.7799999999999994</v>
      </c>
      <c r="E510" s="50">
        <v>52.158001420228885</v>
      </c>
      <c r="F510" s="50">
        <v>722.5557994912441</v>
      </c>
      <c r="G510" s="57" t="s">
        <v>92</v>
      </c>
      <c r="H510" s="50">
        <v>0.122</v>
      </c>
      <c r="I510" s="50">
        <v>7.97</v>
      </c>
      <c r="J510" s="50">
        <v>271</v>
      </c>
      <c r="K510" s="50">
        <v>1564</v>
      </c>
      <c r="L510" s="50">
        <v>0.7</v>
      </c>
      <c r="M510" s="50">
        <v>545</v>
      </c>
      <c r="N510" s="51">
        <v>1467.26</v>
      </c>
      <c r="O510" s="43">
        <f t="shared" si="98"/>
        <v>0.30000000000000004</v>
      </c>
      <c r="P510" s="43">
        <f t="shared" si="91"/>
        <v>82.170001420228886</v>
      </c>
      <c r="Q510" s="43">
        <f t="shared" si="92"/>
        <v>6.6797411914579769E-6</v>
      </c>
      <c r="R510" s="43">
        <v>35</v>
      </c>
      <c r="S510" s="43">
        <f t="shared" si="93"/>
        <v>0.17499999999999999</v>
      </c>
      <c r="T510" s="43">
        <f t="shared" si="94"/>
        <v>97.401429575471141</v>
      </c>
      <c r="U510" s="43" t="str" cm="1">
        <f t="array" ref="U510">_xlfn.IFS(T510&lt;3,"Group I",T510&lt;5,"Group II",T510&lt;10,"Group III",T510&lt;20,"Group IV",T510&lt;50,"Group V",T510&lt;100,"Group VI",T510&lt;200,"Group VII",T510&lt;500,"Group VIII",T510&lt;1000,"Group IX",TRUE,"Group X")</f>
        <v>Group VI</v>
      </c>
      <c r="V510" s="43">
        <f t="shared" si="95"/>
        <v>1.9885653311310012</v>
      </c>
      <c r="W510" s="43">
        <f t="shared" si="96"/>
        <v>10.479447929736512</v>
      </c>
      <c r="X510" s="43">
        <f t="shared" si="99"/>
        <v>1.0203384040804941</v>
      </c>
      <c r="Y510" s="43">
        <f t="shared" si="97"/>
        <v>2.6922201834862385</v>
      </c>
      <c r="Z510" s="43">
        <f t="shared" si="100"/>
        <v>0.43011057582038076</v>
      </c>
      <c r="AA510" s="43">
        <f t="shared" si="101"/>
        <v>6.1586897217273782</v>
      </c>
      <c r="AB510" s="43">
        <f t="shared" si="102"/>
        <v>0.73315130533168449</v>
      </c>
    </row>
    <row r="511" spans="1:28">
      <c r="A511" s="48" t="s">
        <v>57</v>
      </c>
      <c r="B511" s="50">
        <v>350</v>
      </c>
      <c r="C511" s="50">
        <v>2400</v>
      </c>
      <c r="D511" s="50">
        <v>9.7799999999999994</v>
      </c>
      <c r="E511" s="50">
        <v>52.158001420228885</v>
      </c>
      <c r="F511" s="50">
        <v>722.5557994912441</v>
      </c>
      <c r="G511" s="57" t="s">
        <v>92</v>
      </c>
      <c r="H511" s="50">
        <v>0.122</v>
      </c>
      <c r="I511" s="50">
        <v>7.97</v>
      </c>
      <c r="J511" s="50">
        <v>271</v>
      </c>
      <c r="K511" s="50">
        <v>1564</v>
      </c>
      <c r="L511" s="50">
        <v>0.7</v>
      </c>
      <c r="M511" s="50">
        <v>501.22</v>
      </c>
      <c r="N511" s="51">
        <v>1927</v>
      </c>
      <c r="O511" s="43">
        <f t="shared" si="98"/>
        <v>0.30000000000000004</v>
      </c>
      <c r="P511" s="43">
        <f t="shared" si="91"/>
        <v>82.170001420228886</v>
      </c>
      <c r="Q511" s="43">
        <f t="shared" si="92"/>
        <v>6.6797411914579769E-6</v>
      </c>
      <c r="R511" s="43">
        <v>35</v>
      </c>
      <c r="S511" s="43">
        <f t="shared" si="93"/>
        <v>0.14583333333333334</v>
      </c>
      <c r="T511" s="43">
        <f t="shared" si="94"/>
        <v>88.914933519560648</v>
      </c>
      <c r="U511" s="43" t="str" cm="1">
        <f t="array" ref="U511">_xlfn.IFS(T511&lt;3,"Group I",T511&lt;5,"Group II",T511&lt;10,"Group III",T511&lt;20,"Group IV",T511&lt;50,"Group V",T511&lt;100,"Group VI",T511&lt;200,"Group VII",T511&lt;500,"Group VIII",T511&lt;1000,"Group IX",TRUE,"Group X")</f>
        <v>Group VI</v>
      </c>
      <c r="V511" s="43">
        <f t="shared" si="95"/>
        <v>1.9489747081071889</v>
      </c>
      <c r="W511" s="43">
        <f t="shared" si="96"/>
        <v>12.575337515683813</v>
      </c>
      <c r="X511" s="43">
        <f t="shared" si="99"/>
        <v>1.099519650128119</v>
      </c>
      <c r="Y511" s="43">
        <f t="shared" si="97"/>
        <v>3.8446191293244483</v>
      </c>
      <c r="Z511" s="43">
        <f t="shared" si="100"/>
        <v>0.58485332249227751</v>
      </c>
      <c r="AA511" s="43">
        <f t="shared" si="101"/>
        <v>5.6683738032759052</v>
      </c>
      <c r="AB511" s="43">
        <f t="shared" si="102"/>
        <v>0.71350918070852531</v>
      </c>
    </row>
    <row r="512" spans="1:28">
      <c r="A512" s="48" t="s">
        <v>57</v>
      </c>
      <c r="B512" s="50">
        <v>100</v>
      </c>
      <c r="C512" s="50">
        <v>300</v>
      </c>
      <c r="D512" s="50">
        <v>9.7799999999999994</v>
      </c>
      <c r="E512" s="50">
        <v>52.158001420228885</v>
      </c>
      <c r="F512" s="50">
        <v>722.5557994912441</v>
      </c>
      <c r="G512" s="57" t="s">
        <v>92</v>
      </c>
      <c r="H512" s="50">
        <v>0.122</v>
      </c>
      <c r="I512" s="50">
        <v>7.97</v>
      </c>
      <c r="J512" s="50">
        <v>271</v>
      </c>
      <c r="K512" s="50">
        <v>1564</v>
      </c>
      <c r="L512" s="50">
        <v>0.7</v>
      </c>
      <c r="M512" s="50">
        <v>469.67</v>
      </c>
      <c r="N512" s="51">
        <v>363.24</v>
      </c>
      <c r="O512" s="43">
        <f t="shared" si="98"/>
        <v>0.30000000000000004</v>
      </c>
      <c r="P512" s="43">
        <f t="shared" si="91"/>
        <v>82.170001420228886</v>
      </c>
      <c r="Q512" s="43">
        <f t="shared" si="92"/>
        <v>6.6797411914579769E-6</v>
      </c>
      <c r="R512" s="43">
        <v>35</v>
      </c>
      <c r="S512" s="43">
        <f t="shared" si="93"/>
        <v>0.33333333333333331</v>
      </c>
      <c r="T512" s="43">
        <f t="shared" si="94"/>
        <v>71.854117074779865</v>
      </c>
      <c r="U512" s="43" t="str" cm="1">
        <f t="array" ref="U512">_xlfn.IFS(T512&lt;3,"Group I",T512&lt;5,"Group II",T512&lt;10,"Group III",T512&lt;20,"Group IV",T512&lt;50,"Group V",T512&lt;100,"Group VI",T512&lt;200,"Group VII",T512&lt;500,"Group VIII",T512&lt;1000,"Group IX",TRUE,"Group X")</f>
        <v>Group VI</v>
      </c>
      <c r="V512" s="43">
        <f t="shared" si="95"/>
        <v>1.8564516572528849</v>
      </c>
      <c r="W512" s="43">
        <f t="shared" si="96"/>
        <v>1.5719171894604766</v>
      </c>
      <c r="X512" s="43">
        <f t="shared" si="99"/>
        <v>0.19642966313617535</v>
      </c>
      <c r="Y512" s="43">
        <f t="shared" si="97"/>
        <v>0.77339408520876363</v>
      </c>
      <c r="Z512" s="43">
        <f t="shared" si="100"/>
        <v>-0.11159915366328729</v>
      </c>
      <c r="AA512" s="43">
        <f t="shared" si="101"/>
        <v>4.1717999511254957</v>
      </c>
      <c r="AB512" s="43">
        <f t="shared" si="102"/>
        <v>0.66963315547764113</v>
      </c>
    </row>
    <row r="513" spans="1:28">
      <c r="A513" s="48" t="s">
        <v>57</v>
      </c>
      <c r="B513" s="50">
        <v>150</v>
      </c>
      <c r="C513" s="50">
        <v>300</v>
      </c>
      <c r="D513" s="50">
        <v>9.7799999999999994</v>
      </c>
      <c r="E513" s="50">
        <v>52.158001420228885</v>
      </c>
      <c r="F513" s="50">
        <v>722.5557994912441</v>
      </c>
      <c r="G513" s="57" t="s">
        <v>92</v>
      </c>
      <c r="H513" s="50">
        <v>0.122</v>
      </c>
      <c r="I513" s="50">
        <v>7.97</v>
      </c>
      <c r="J513" s="50">
        <v>271</v>
      </c>
      <c r="K513" s="50">
        <v>1564</v>
      </c>
      <c r="L513" s="50">
        <v>0.7</v>
      </c>
      <c r="M513" s="50">
        <v>476</v>
      </c>
      <c r="N513" s="51">
        <v>1075.19</v>
      </c>
      <c r="O513" s="43">
        <f t="shared" si="98"/>
        <v>0.30000000000000004</v>
      </c>
      <c r="P513" s="43">
        <f t="shared" si="91"/>
        <v>82.170001420228886</v>
      </c>
      <c r="Q513" s="43">
        <f t="shared" si="92"/>
        <v>6.6797411914579769E-6</v>
      </c>
      <c r="R513" s="43">
        <v>35</v>
      </c>
      <c r="S513" s="43">
        <f t="shared" si="93"/>
        <v>0.5</v>
      </c>
      <c r="T513" s="43">
        <f t="shared" si="94"/>
        <v>107.7811756121698</v>
      </c>
      <c r="U513" s="43" t="str" cm="1">
        <f t="array" ref="U513">_xlfn.IFS(T513&lt;3,"Group I",T513&lt;5,"Group II",T513&lt;10,"Group III",T513&lt;20,"Group IV",T513&lt;50,"Group V",T513&lt;100,"Group VI",T513&lt;200,"Group VII",T513&lt;500,"Group VIII",T513&lt;1000,"Group IX",TRUE,"Group X")</f>
        <v>Group VII</v>
      </c>
      <c r="V513" s="43">
        <f t="shared" si="95"/>
        <v>2.0325429163085662</v>
      </c>
      <c r="W513" s="43">
        <f t="shared" si="96"/>
        <v>1.5719171894604766</v>
      </c>
      <c r="X513" s="43">
        <f t="shared" si="99"/>
        <v>0.19642966313617535</v>
      </c>
      <c r="Y513" s="43">
        <f t="shared" si="97"/>
        <v>2.2588025210084033</v>
      </c>
      <c r="Z513" s="43">
        <f t="shared" si="100"/>
        <v>0.35387826377328296</v>
      </c>
      <c r="AA513" s="43">
        <f t="shared" si="101"/>
        <v>6.257699926688244</v>
      </c>
      <c r="AB513" s="43">
        <f t="shared" si="102"/>
        <v>0.75560449838460975</v>
      </c>
    </row>
    <row r="514" spans="1:28">
      <c r="A514" s="48" t="s">
        <v>57</v>
      </c>
      <c r="B514" s="50">
        <v>200</v>
      </c>
      <c r="C514" s="50">
        <v>300</v>
      </c>
      <c r="D514" s="50">
        <v>9.7799999999999994</v>
      </c>
      <c r="E514" s="50">
        <v>52.158001420228885</v>
      </c>
      <c r="F514" s="50">
        <v>722.5557994912441</v>
      </c>
      <c r="G514" s="57" t="s">
        <v>92</v>
      </c>
      <c r="H514" s="50">
        <v>0.122</v>
      </c>
      <c r="I514" s="50">
        <v>7.97</v>
      </c>
      <c r="J514" s="50">
        <v>271</v>
      </c>
      <c r="K514" s="50">
        <v>1564</v>
      </c>
      <c r="L514" s="50">
        <v>0.7</v>
      </c>
      <c r="M514" s="50">
        <v>374.79</v>
      </c>
      <c r="N514" s="51">
        <v>1318.93</v>
      </c>
      <c r="O514" s="43">
        <f t="shared" si="98"/>
        <v>0.30000000000000004</v>
      </c>
      <c r="P514" s="43">
        <f t="shared" si="91"/>
        <v>82.170001420228886</v>
      </c>
      <c r="Q514" s="43">
        <f t="shared" si="92"/>
        <v>6.6797411914579769E-6</v>
      </c>
      <c r="R514" s="43">
        <v>35</v>
      </c>
      <c r="S514" s="43">
        <f t="shared" si="93"/>
        <v>0.66666666666666663</v>
      </c>
      <c r="T514" s="43">
        <f t="shared" si="94"/>
        <v>143.70823414955973</v>
      </c>
      <c r="U514" s="43" t="str" cm="1">
        <f t="array" ref="U514">_xlfn.IFS(T514&lt;3,"Group I",T514&lt;5,"Group II",T514&lt;10,"Group III",T514&lt;20,"Group IV",T514&lt;50,"Group V",T514&lt;100,"Group VI",T514&lt;200,"Group VII",T514&lt;500,"Group VIII",T514&lt;1000,"Group IX",TRUE,"Group X")</f>
        <v>Group VII</v>
      </c>
      <c r="V514" s="43">
        <f t="shared" si="95"/>
        <v>2.1574816529168661</v>
      </c>
      <c r="W514" s="43">
        <f t="shared" si="96"/>
        <v>1.5719171894604766</v>
      </c>
      <c r="X514" s="43">
        <f t="shared" si="99"/>
        <v>0.19642966313617535</v>
      </c>
      <c r="Y514" s="43">
        <f t="shared" si="97"/>
        <v>3.5191173723952081</v>
      </c>
      <c r="Z514" s="43">
        <f t="shared" si="100"/>
        <v>0.54643375201094946</v>
      </c>
      <c r="AA514" s="43">
        <f t="shared" si="101"/>
        <v>8.3435999022509915</v>
      </c>
      <c r="AB514" s="43">
        <f t="shared" si="102"/>
        <v>0.82321596518638684</v>
      </c>
    </row>
    <row r="515" spans="1:28">
      <c r="A515" s="48" t="s">
        <v>57</v>
      </c>
      <c r="B515" s="50">
        <v>100</v>
      </c>
      <c r="C515" s="50">
        <v>600</v>
      </c>
      <c r="D515" s="50">
        <v>9.7799999999999994</v>
      </c>
      <c r="E515" s="50">
        <v>52.158001420228885</v>
      </c>
      <c r="F515" s="50">
        <v>722.5557994912441</v>
      </c>
      <c r="G515" s="57" t="s">
        <v>92</v>
      </c>
      <c r="H515" s="50">
        <v>0.122</v>
      </c>
      <c r="I515" s="50">
        <v>7.97</v>
      </c>
      <c r="J515" s="50">
        <v>271</v>
      </c>
      <c r="K515" s="50">
        <v>1564</v>
      </c>
      <c r="L515" s="50">
        <v>0.7</v>
      </c>
      <c r="M515" s="50">
        <v>304.54000000000002</v>
      </c>
      <c r="N515" s="51">
        <v>185.2</v>
      </c>
      <c r="O515" s="43">
        <f t="shared" si="98"/>
        <v>0.30000000000000004</v>
      </c>
      <c r="P515" s="43">
        <f t="shared" si="91"/>
        <v>82.170001420228886</v>
      </c>
      <c r="Q515" s="43">
        <f t="shared" si="92"/>
        <v>6.6797411914579769E-6</v>
      </c>
      <c r="R515" s="43">
        <v>35</v>
      </c>
      <c r="S515" s="43">
        <f t="shared" si="93"/>
        <v>0.16666666666666666</v>
      </c>
      <c r="T515" s="43">
        <f t="shared" si="94"/>
        <v>50.808533439748935</v>
      </c>
      <c r="U515" s="43" t="str" cm="1">
        <f t="array" ref="U515">_xlfn.IFS(T515&lt;3,"Group I",T515&lt;5,"Group II",T515&lt;10,"Group III",T515&lt;20,"Group IV",T515&lt;50,"Group V",T515&lt;100,"Group VI",T515&lt;200,"Group VII",T515&lt;500,"Group VIII",T515&lt;1000,"Group IX",TRUE,"Group X")</f>
        <v>Group VI</v>
      </c>
      <c r="V515" s="43">
        <f t="shared" si="95"/>
        <v>1.7059366594208942</v>
      </c>
      <c r="W515" s="43">
        <f t="shared" si="96"/>
        <v>3.1438343789209533</v>
      </c>
      <c r="X515" s="43">
        <f t="shared" si="99"/>
        <v>0.49745965880015658</v>
      </c>
      <c r="Y515" s="43">
        <f t="shared" si="97"/>
        <v>0.60813029487095283</v>
      </c>
      <c r="Z515" s="43">
        <f t="shared" si="100"/>
        <v>-0.21600336105441542</v>
      </c>
      <c r="AA515" s="43">
        <f t="shared" si="101"/>
        <v>3.0433072159436652</v>
      </c>
      <c r="AB515" s="43">
        <f t="shared" si="102"/>
        <v>0.6039465863046668</v>
      </c>
    </row>
    <row r="516" spans="1:28">
      <c r="A516" s="48" t="s">
        <v>57</v>
      </c>
      <c r="B516" s="50">
        <v>150</v>
      </c>
      <c r="C516" s="50">
        <v>600</v>
      </c>
      <c r="D516" s="50">
        <v>9.7799999999999994</v>
      </c>
      <c r="E516" s="50">
        <v>52.158001420228885</v>
      </c>
      <c r="F516" s="50">
        <v>722.5557994912441</v>
      </c>
      <c r="G516" s="57" t="s">
        <v>92</v>
      </c>
      <c r="H516" s="50">
        <v>0.122</v>
      </c>
      <c r="I516" s="50">
        <v>7.97</v>
      </c>
      <c r="J516" s="50">
        <v>271</v>
      </c>
      <c r="K516" s="50">
        <v>1564</v>
      </c>
      <c r="L516" s="50">
        <v>0.7</v>
      </c>
      <c r="M516" s="50">
        <v>286.98</v>
      </c>
      <c r="N516" s="51">
        <v>1081.5899999999999</v>
      </c>
      <c r="O516" s="43">
        <f t="shared" si="98"/>
        <v>0.30000000000000004</v>
      </c>
      <c r="P516" s="43">
        <f t="shared" ref="P516:P579" si="103">H516*(J516-25)+E516</f>
        <v>82.170001420228886</v>
      </c>
      <c r="Q516" s="43">
        <f t="shared" ref="Q516:Q579" si="104">I516/(D516*H516*10^6)</f>
        <v>6.6797411914579769E-6</v>
      </c>
      <c r="R516" s="43">
        <v>35</v>
      </c>
      <c r="S516" s="43">
        <f t="shared" ref="S516:S579" si="105">B516/C516</f>
        <v>0.25</v>
      </c>
      <c r="T516" s="43">
        <f t="shared" ref="T516:T579" si="106">(O516*B516)/(D516*P516*1000000*SQRT(PI()*(R516*0.000001)^3*Q516*(C516/1000)))</f>
        <v>76.212800159623413</v>
      </c>
      <c r="U516" s="43" t="str" cm="1">
        <f t="array" ref="U516">_xlfn.IFS(T516&lt;3,"Group I",T516&lt;5,"Group II",T516&lt;10,"Group III",T516&lt;20,"Group IV",T516&lt;50,"Group V",T516&lt;100,"Group VI",T516&lt;200,"Group VII",T516&lt;500,"Group VIII",T516&lt;1000,"Group IX",TRUE,"Group X")</f>
        <v>Group VI</v>
      </c>
      <c r="V516" s="43">
        <f t="shared" ref="V516:V579" si="107">LOG(T516)</f>
        <v>1.8820279184765756</v>
      </c>
      <c r="W516" s="43">
        <f t="shared" ref="W516:W579" si="108">(C516/1000)*(R516/1000000)/Q516</f>
        <v>3.1438343789209533</v>
      </c>
      <c r="X516" s="43">
        <f t="shared" si="99"/>
        <v>0.49745965880015658</v>
      </c>
      <c r="Y516" s="43">
        <f t="shared" ref="Y516:Y579" si="109">N516/M516</f>
        <v>3.7688689107254856</v>
      </c>
      <c r="Z516" s="43">
        <f t="shared" si="100"/>
        <v>0.5762110320267757</v>
      </c>
      <c r="AA516" s="43">
        <f t="shared" si="101"/>
        <v>4.5649608239154986</v>
      </c>
      <c r="AB516" s="43">
        <f t="shared" si="102"/>
        <v>0.68148471093897689</v>
      </c>
    </row>
    <row r="517" spans="1:28">
      <c r="A517" s="48" t="s">
        <v>57</v>
      </c>
      <c r="B517" s="50">
        <v>200</v>
      </c>
      <c r="C517" s="50">
        <v>600</v>
      </c>
      <c r="D517" s="50">
        <v>9.7799999999999994</v>
      </c>
      <c r="E517" s="50">
        <v>52.158001420228885</v>
      </c>
      <c r="F517" s="50">
        <v>722.5557994912441</v>
      </c>
      <c r="G517" s="57" t="s">
        <v>92</v>
      </c>
      <c r="H517" s="50">
        <v>0.122</v>
      </c>
      <c r="I517" s="50">
        <v>7.97</v>
      </c>
      <c r="J517" s="50">
        <v>271</v>
      </c>
      <c r="K517" s="50">
        <v>1564</v>
      </c>
      <c r="L517" s="50">
        <v>0.7</v>
      </c>
      <c r="M517" s="50">
        <v>396.37</v>
      </c>
      <c r="N517" s="51">
        <v>1222.94</v>
      </c>
      <c r="O517" s="43">
        <f t="shared" si="98"/>
        <v>0.30000000000000004</v>
      </c>
      <c r="P517" s="43">
        <f t="shared" si="103"/>
        <v>82.170001420228886</v>
      </c>
      <c r="Q517" s="43">
        <f t="shared" si="104"/>
        <v>6.6797411914579769E-6</v>
      </c>
      <c r="R517" s="43">
        <v>35</v>
      </c>
      <c r="S517" s="43">
        <f t="shared" si="105"/>
        <v>0.33333333333333331</v>
      </c>
      <c r="T517" s="43">
        <f t="shared" si="106"/>
        <v>101.61706687949787</v>
      </c>
      <c r="U517" s="43" t="str" cm="1">
        <f t="array" ref="U517">_xlfn.IFS(T517&lt;3,"Group I",T517&lt;5,"Group II",T517&lt;10,"Group III",T517&lt;20,"Group IV",T517&lt;50,"Group V",T517&lt;100,"Group VI",T517&lt;200,"Group VII",T517&lt;500,"Group VIII",T517&lt;1000,"Group IX",TRUE,"Group X")</f>
        <v>Group VII</v>
      </c>
      <c r="V517" s="43">
        <f t="shared" si="107"/>
        <v>2.0069666550848755</v>
      </c>
      <c r="W517" s="43">
        <f t="shared" si="108"/>
        <v>3.1438343789209533</v>
      </c>
      <c r="X517" s="43">
        <f t="shared" si="99"/>
        <v>0.49745965880015658</v>
      </c>
      <c r="Y517" s="43">
        <f t="shared" si="109"/>
        <v>3.0853495471402983</v>
      </c>
      <c r="Z517" s="43">
        <f t="shared" si="100"/>
        <v>0.48930437348906747</v>
      </c>
      <c r="AA517" s="43">
        <f t="shared" si="101"/>
        <v>6.0866144318873303</v>
      </c>
      <c r="AB517" s="43">
        <f t="shared" si="102"/>
        <v>0.74246394148627326</v>
      </c>
    </row>
    <row r="518" spans="1:28">
      <c r="A518" s="48" t="s">
        <v>57</v>
      </c>
      <c r="B518" s="50">
        <v>250</v>
      </c>
      <c r="C518" s="50">
        <v>600</v>
      </c>
      <c r="D518" s="50">
        <v>9.7799999999999994</v>
      </c>
      <c r="E518" s="50">
        <v>52.158001420228885</v>
      </c>
      <c r="F518" s="50">
        <v>722.5557994912441</v>
      </c>
      <c r="G518" s="57" t="s">
        <v>92</v>
      </c>
      <c r="H518" s="50">
        <v>0.122</v>
      </c>
      <c r="I518" s="50">
        <v>7.97</v>
      </c>
      <c r="J518" s="50">
        <v>271</v>
      </c>
      <c r="K518" s="50">
        <v>1564</v>
      </c>
      <c r="L518" s="50">
        <v>0.7</v>
      </c>
      <c r="M518" s="50">
        <v>338.51</v>
      </c>
      <c r="N518" s="51">
        <v>1645.22</v>
      </c>
      <c r="O518" s="43">
        <f t="shared" si="98"/>
        <v>0.30000000000000004</v>
      </c>
      <c r="P518" s="43">
        <f t="shared" si="103"/>
        <v>82.170001420228886</v>
      </c>
      <c r="Q518" s="43">
        <f t="shared" si="104"/>
        <v>6.6797411914579769E-6</v>
      </c>
      <c r="R518" s="43">
        <v>35</v>
      </c>
      <c r="S518" s="43">
        <f t="shared" si="105"/>
        <v>0.41666666666666669</v>
      </c>
      <c r="T518" s="43">
        <f t="shared" si="106"/>
        <v>127.02133359937235</v>
      </c>
      <c r="U518" s="43" t="str" cm="1">
        <f t="array" ref="U518">_xlfn.IFS(T518&lt;3,"Group I",T518&lt;5,"Group II",T518&lt;10,"Group III",T518&lt;20,"Group IV",T518&lt;50,"Group V",T518&lt;100,"Group VI",T518&lt;200,"Group VII",T518&lt;500,"Group VIII",T518&lt;1000,"Group IX",TRUE,"Group X")</f>
        <v>Group VII</v>
      </c>
      <c r="V518" s="43">
        <f t="shared" si="107"/>
        <v>2.1038766680929317</v>
      </c>
      <c r="W518" s="43">
        <f t="shared" si="108"/>
        <v>3.1438343789209533</v>
      </c>
      <c r="X518" s="43">
        <f t="shared" si="99"/>
        <v>0.49745965880015658</v>
      </c>
      <c r="Y518" s="43">
        <f t="shared" si="109"/>
        <v>4.8601813831201444</v>
      </c>
      <c r="Z518" s="43">
        <f t="shared" si="100"/>
        <v>0.68665247753765235</v>
      </c>
      <c r="AA518" s="43">
        <f t="shared" si="101"/>
        <v>7.6082680398591647</v>
      </c>
      <c r="AB518" s="43">
        <f t="shared" si="102"/>
        <v>0.79349621486547728</v>
      </c>
    </row>
    <row r="519" spans="1:28">
      <c r="A519" s="48" t="s">
        <v>57</v>
      </c>
      <c r="B519" s="50">
        <v>300</v>
      </c>
      <c r="C519" s="50">
        <v>600</v>
      </c>
      <c r="D519" s="50">
        <v>9.7799999999999994</v>
      </c>
      <c r="E519" s="50">
        <v>52.158001420228885</v>
      </c>
      <c r="F519" s="50">
        <v>722.5557994912441</v>
      </c>
      <c r="G519" s="57" t="s">
        <v>92</v>
      </c>
      <c r="H519" s="50">
        <v>0.122</v>
      </c>
      <c r="I519" s="50">
        <v>7.97</v>
      </c>
      <c r="J519" s="50">
        <v>271</v>
      </c>
      <c r="K519" s="50">
        <v>1564</v>
      </c>
      <c r="L519" s="50">
        <v>0.7</v>
      </c>
      <c r="M519" s="50">
        <v>518.55999999999995</v>
      </c>
      <c r="N519" s="51">
        <v>1692.52</v>
      </c>
      <c r="O519" s="43">
        <f t="shared" si="98"/>
        <v>0.30000000000000004</v>
      </c>
      <c r="P519" s="43">
        <f t="shared" si="103"/>
        <v>82.170001420228886</v>
      </c>
      <c r="Q519" s="43">
        <f t="shared" si="104"/>
        <v>6.6797411914579769E-6</v>
      </c>
      <c r="R519" s="43">
        <v>35</v>
      </c>
      <c r="S519" s="43">
        <f t="shared" si="105"/>
        <v>0.5</v>
      </c>
      <c r="T519" s="43">
        <f t="shared" si="106"/>
        <v>152.42560031924683</v>
      </c>
      <c r="U519" s="43" t="str" cm="1">
        <f t="array" ref="U519">_xlfn.IFS(T519&lt;3,"Group I",T519&lt;5,"Group II",T519&lt;10,"Group III",T519&lt;20,"Group IV",T519&lt;50,"Group V",T519&lt;100,"Group VI",T519&lt;200,"Group VII",T519&lt;500,"Group VIII",T519&lt;1000,"Group IX",TRUE,"Group X")</f>
        <v>Group VII</v>
      </c>
      <c r="V519" s="43">
        <f t="shared" si="107"/>
        <v>2.1830579141405568</v>
      </c>
      <c r="W519" s="43">
        <f t="shared" si="108"/>
        <v>3.1438343789209533</v>
      </c>
      <c r="X519" s="43">
        <f t="shared" si="99"/>
        <v>0.49745965880015658</v>
      </c>
      <c r="Y519" s="43">
        <f t="shared" si="109"/>
        <v>3.2638846035174334</v>
      </c>
      <c r="Z519" s="43">
        <f t="shared" si="100"/>
        <v>0.51373479562669488</v>
      </c>
      <c r="AA519" s="43">
        <f t="shared" si="101"/>
        <v>9.1299216478309972</v>
      </c>
      <c r="AB519" s="43">
        <f t="shared" si="102"/>
        <v>0.83778571817465453</v>
      </c>
    </row>
    <row r="520" spans="1:28">
      <c r="A520" s="48" t="s">
        <v>57</v>
      </c>
      <c r="B520" s="50">
        <v>100</v>
      </c>
      <c r="C520" s="50">
        <v>900</v>
      </c>
      <c r="D520" s="50">
        <v>9.7799999999999994</v>
      </c>
      <c r="E520" s="50">
        <v>52.158001420228885</v>
      </c>
      <c r="F520" s="50">
        <v>722.5557994912441</v>
      </c>
      <c r="G520" s="57" t="s">
        <v>92</v>
      </c>
      <c r="H520" s="50">
        <v>0.122</v>
      </c>
      <c r="I520" s="50">
        <v>7.97</v>
      </c>
      <c r="J520" s="50">
        <v>271</v>
      </c>
      <c r="K520" s="50">
        <v>1564</v>
      </c>
      <c r="L520" s="50">
        <v>0.7</v>
      </c>
      <c r="M520" s="50">
        <v>264</v>
      </c>
      <c r="N520" s="51">
        <v>507</v>
      </c>
      <c r="O520" s="43">
        <f t="shared" si="98"/>
        <v>0.30000000000000004</v>
      </c>
      <c r="P520" s="43">
        <f t="shared" si="103"/>
        <v>82.170001420228886</v>
      </c>
      <c r="Q520" s="43">
        <f t="shared" si="104"/>
        <v>6.6797411914579769E-6</v>
      </c>
      <c r="R520" s="43">
        <v>35</v>
      </c>
      <c r="S520" s="43">
        <f t="shared" si="105"/>
        <v>0.1111111111111111</v>
      </c>
      <c r="T520" s="43">
        <f t="shared" si="106"/>
        <v>41.484993835507041</v>
      </c>
      <c r="U520" s="43" t="str" cm="1">
        <f t="array" ref="U520">_xlfn.IFS(T520&lt;3,"Group I",T520&lt;5,"Group II",T520&lt;10,"Group III",T520&lt;20,"Group IV",T520&lt;50,"Group V",T520&lt;100,"Group VI",T520&lt;200,"Group VII",T520&lt;500,"Group VIII",T520&lt;1000,"Group IX",TRUE,"Group X")</f>
        <v>Group V</v>
      </c>
      <c r="V520" s="43">
        <f t="shared" si="107"/>
        <v>1.6178910298930536</v>
      </c>
      <c r="W520" s="43">
        <f t="shared" si="108"/>
        <v>4.7157515683814308</v>
      </c>
      <c r="X520" s="43">
        <f t="shared" si="99"/>
        <v>0.67355091785583787</v>
      </c>
      <c r="Y520" s="43">
        <f t="shared" si="109"/>
        <v>1.9204545454545454</v>
      </c>
      <c r="Z520" s="43">
        <f t="shared" si="100"/>
        <v>0.28340403246350493</v>
      </c>
      <c r="AA520" s="43">
        <f t="shared" si="101"/>
        <v>2.5305736999898647</v>
      </c>
      <c r="AB520" s="43">
        <f t="shared" si="102"/>
        <v>0.56855140592951947</v>
      </c>
    </row>
    <row r="521" spans="1:28">
      <c r="A521" s="48" t="s">
        <v>57</v>
      </c>
      <c r="B521" s="50">
        <v>150</v>
      </c>
      <c r="C521" s="50">
        <v>900</v>
      </c>
      <c r="D521" s="50">
        <v>9.7799999999999994</v>
      </c>
      <c r="E521" s="50">
        <v>52.158001420228885</v>
      </c>
      <c r="F521" s="50">
        <v>722.5557994912441</v>
      </c>
      <c r="G521" s="57" t="s">
        <v>92</v>
      </c>
      <c r="H521" s="50">
        <v>0.122</v>
      </c>
      <c r="I521" s="50">
        <v>7.97</v>
      </c>
      <c r="J521" s="50">
        <v>271</v>
      </c>
      <c r="K521" s="50">
        <v>1564</v>
      </c>
      <c r="L521" s="50">
        <v>0.7</v>
      </c>
      <c r="M521" s="50">
        <v>322.93</v>
      </c>
      <c r="N521" s="51">
        <v>838</v>
      </c>
      <c r="O521" s="43">
        <f t="shared" si="98"/>
        <v>0.30000000000000004</v>
      </c>
      <c r="P521" s="43">
        <f t="shared" si="103"/>
        <v>82.170001420228886</v>
      </c>
      <c r="Q521" s="43">
        <f t="shared" si="104"/>
        <v>6.6797411914579769E-6</v>
      </c>
      <c r="R521" s="43">
        <v>35</v>
      </c>
      <c r="S521" s="43">
        <f t="shared" si="105"/>
        <v>0.16666666666666666</v>
      </c>
      <c r="T521" s="43">
        <f t="shared" si="106"/>
        <v>62.227490753260561</v>
      </c>
      <c r="U521" s="43" t="str" cm="1">
        <f t="array" ref="U521">_xlfn.IFS(T521&lt;3,"Group I",T521&lt;5,"Group II",T521&lt;10,"Group III",T521&lt;20,"Group IV",T521&lt;50,"Group V",T521&lt;100,"Group VI",T521&lt;200,"Group VII",T521&lt;500,"Group VIII",T521&lt;1000,"Group IX",TRUE,"Group X")</f>
        <v>Group VI</v>
      </c>
      <c r="V521" s="43">
        <f t="shared" si="107"/>
        <v>1.7939822889487349</v>
      </c>
      <c r="W521" s="43">
        <f t="shared" si="108"/>
        <v>4.7157515683814308</v>
      </c>
      <c r="X521" s="43">
        <f t="shared" si="99"/>
        <v>0.67355091785583787</v>
      </c>
      <c r="Y521" s="43">
        <f t="shared" si="109"/>
        <v>2.5949896262347876</v>
      </c>
      <c r="Z521" s="43">
        <f t="shared" si="100"/>
        <v>0.41413562604652154</v>
      </c>
      <c r="AA521" s="43">
        <f t="shared" si="101"/>
        <v>3.7958605499847975</v>
      </c>
      <c r="AB521" s="43">
        <f t="shared" si="102"/>
        <v>0.64154529441842034</v>
      </c>
    </row>
    <row r="522" spans="1:28">
      <c r="A522" s="48" t="s">
        <v>57</v>
      </c>
      <c r="B522" s="50">
        <v>200</v>
      </c>
      <c r="C522" s="50">
        <v>900</v>
      </c>
      <c r="D522" s="50">
        <v>9.7799999999999994</v>
      </c>
      <c r="E522" s="50">
        <v>52.158001420228885</v>
      </c>
      <c r="F522" s="50">
        <v>722.5557994912441</v>
      </c>
      <c r="G522" s="57" t="s">
        <v>92</v>
      </c>
      <c r="H522" s="50">
        <v>0.122</v>
      </c>
      <c r="I522" s="50">
        <v>7.97</v>
      </c>
      <c r="J522" s="50">
        <v>271</v>
      </c>
      <c r="K522" s="50">
        <v>1564</v>
      </c>
      <c r="L522" s="50">
        <v>0.7</v>
      </c>
      <c r="M522" s="50">
        <v>359.6</v>
      </c>
      <c r="N522" s="51">
        <v>722</v>
      </c>
      <c r="O522" s="43">
        <f t="shared" si="98"/>
        <v>0.30000000000000004</v>
      </c>
      <c r="P522" s="43">
        <f t="shared" si="103"/>
        <v>82.170001420228886</v>
      </c>
      <c r="Q522" s="43">
        <f t="shared" si="104"/>
        <v>6.6797411914579769E-6</v>
      </c>
      <c r="R522" s="43">
        <v>35</v>
      </c>
      <c r="S522" s="43">
        <f t="shared" si="105"/>
        <v>0.22222222222222221</v>
      </c>
      <c r="T522" s="43">
        <f t="shared" si="106"/>
        <v>82.969987671014081</v>
      </c>
      <c r="U522" s="43" t="str" cm="1">
        <f t="array" ref="U522">_xlfn.IFS(T522&lt;3,"Group I",T522&lt;5,"Group II",T522&lt;10,"Group III",T522&lt;20,"Group IV",T522&lt;50,"Group V",T522&lt;100,"Group VI",T522&lt;200,"Group VII",T522&lt;500,"Group VIII",T522&lt;1000,"Group IX",TRUE,"Group X")</f>
        <v>Group VI</v>
      </c>
      <c r="V522" s="43">
        <f t="shared" si="107"/>
        <v>1.9189210255570348</v>
      </c>
      <c r="W522" s="43">
        <f t="shared" si="108"/>
        <v>4.7157515683814308</v>
      </c>
      <c r="X522" s="43">
        <f t="shared" si="99"/>
        <v>0.67355091785583787</v>
      </c>
      <c r="Y522" s="43">
        <f t="shared" si="109"/>
        <v>2.0077864293659622</v>
      </c>
      <c r="Z522" s="43">
        <f t="shared" si="100"/>
        <v>0.30271751450844797</v>
      </c>
      <c r="AA522" s="43">
        <f t="shared" si="101"/>
        <v>5.0611473999797294</v>
      </c>
      <c r="AB522" s="43">
        <f t="shared" si="102"/>
        <v>0.69895074722890482</v>
      </c>
    </row>
    <row r="523" spans="1:28">
      <c r="A523" s="48" t="s">
        <v>57</v>
      </c>
      <c r="B523" s="50">
        <v>250</v>
      </c>
      <c r="C523" s="50">
        <v>900</v>
      </c>
      <c r="D523" s="50">
        <v>9.7799999999999994</v>
      </c>
      <c r="E523" s="50">
        <v>52.158001420228885</v>
      </c>
      <c r="F523" s="50">
        <v>722.5557994912441</v>
      </c>
      <c r="G523" s="57" t="s">
        <v>92</v>
      </c>
      <c r="H523" s="50">
        <v>0.122</v>
      </c>
      <c r="I523" s="50">
        <v>7.97</v>
      </c>
      <c r="J523" s="50">
        <v>271</v>
      </c>
      <c r="K523" s="50">
        <v>1564</v>
      </c>
      <c r="L523" s="50">
        <v>0.7</v>
      </c>
      <c r="M523" s="50">
        <v>360.38</v>
      </c>
      <c r="N523" s="51">
        <v>1193</v>
      </c>
      <c r="O523" s="43">
        <f t="shared" si="98"/>
        <v>0.30000000000000004</v>
      </c>
      <c r="P523" s="43">
        <f t="shared" si="103"/>
        <v>82.170001420228886</v>
      </c>
      <c r="Q523" s="43">
        <f t="shared" si="104"/>
        <v>6.6797411914579769E-6</v>
      </c>
      <c r="R523" s="43">
        <v>35</v>
      </c>
      <c r="S523" s="43">
        <f t="shared" si="105"/>
        <v>0.27777777777777779</v>
      </c>
      <c r="T523" s="43">
        <f t="shared" si="106"/>
        <v>103.71248458876759</v>
      </c>
      <c r="U523" s="43" t="str" cm="1">
        <f t="array" ref="U523">_xlfn.IFS(T523&lt;3,"Group I",T523&lt;5,"Group II",T523&lt;10,"Group III",T523&lt;20,"Group IV",T523&lt;50,"Group V",T523&lt;100,"Group VI",T523&lt;200,"Group VII",T523&lt;500,"Group VIII",T523&lt;1000,"Group IX",TRUE,"Group X")</f>
        <v>Group VII</v>
      </c>
      <c r="V523" s="43">
        <f t="shared" si="107"/>
        <v>2.015831038565091</v>
      </c>
      <c r="W523" s="43">
        <f t="shared" si="108"/>
        <v>4.7157515683814308</v>
      </c>
      <c r="X523" s="43">
        <f t="shared" si="99"/>
        <v>0.67355091785583787</v>
      </c>
      <c r="Y523" s="43">
        <f t="shared" si="109"/>
        <v>3.3103945834951998</v>
      </c>
      <c r="Z523" s="43">
        <f t="shared" si="100"/>
        <v>0.51987976272473135</v>
      </c>
      <c r="AA523" s="43">
        <f t="shared" si="101"/>
        <v>6.3264342499746613</v>
      </c>
      <c r="AB523" s="43">
        <f t="shared" si="102"/>
        <v>0.74699219896564739</v>
      </c>
    </row>
    <row r="524" spans="1:28" ht="18.600000000000001" thickBot="1">
      <c r="A524" s="53" t="s">
        <v>57</v>
      </c>
      <c r="B524" s="54">
        <v>300</v>
      </c>
      <c r="C524" s="54">
        <v>900</v>
      </c>
      <c r="D524" s="54">
        <v>9.7799999999999994</v>
      </c>
      <c r="E524" s="54">
        <v>52.158001420228885</v>
      </c>
      <c r="F524" s="54">
        <v>722.5557994912441</v>
      </c>
      <c r="G524" s="57" t="s">
        <v>92</v>
      </c>
      <c r="H524" s="54">
        <v>0.122</v>
      </c>
      <c r="I524" s="54">
        <v>7.97</v>
      </c>
      <c r="J524" s="54">
        <v>271</v>
      </c>
      <c r="K524" s="54">
        <v>1564</v>
      </c>
      <c r="L524" s="54">
        <v>0.7</v>
      </c>
      <c r="M524" s="54">
        <v>364.45</v>
      </c>
      <c r="N524" s="55">
        <v>1233</v>
      </c>
      <c r="O524" s="43">
        <f t="shared" si="98"/>
        <v>0.30000000000000004</v>
      </c>
      <c r="P524" s="43">
        <f t="shared" si="103"/>
        <v>82.170001420228886</v>
      </c>
      <c r="Q524" s="43">
        <f t="shared" si="104"/>
        <v>6.6797411914579769E-6</v>
      </c>
      <c r="R524" s="43">
        <v>35</v>
      </c>
      <c r="S524" s="43">
        <f t="shared" si="105"/>
        <v>0.33333333333333331</v>
      </c>
      <c r="T524" s="43">
        <f t="shared" si="106"/>
        <v>124.45498150652112</v>
      </c>
      <c r="U524" s="43" t="str" cm="1">
        <f t="array" ref="U524">_xlfn.IFS(T524&lt;3,"Group I",T524&lt;5,"Group II",T524&lt;10,"Group III",T524&lt;20,"Group IV",T524&lt;50,"Group V",T524&lt;100,"Group VI",T524&lt;200,"Group VII",T524&lt;500,"Group VIII",T524&lt;1000,"Group IX",TRUE,"Group X")</f>
        <v>Group VII</v>
      </c>
      <c r="V524" s="43">
        <f t="shared" si="107"/>
        <v>2.0950122846127162</v>
      </c>
      <c r="W524" s="43">
        <f t="shared" si="108"/>
        <v>4.7157515683814308</v>
      </c>
      <c r="X524" s="43">
        <f t="shared" si="99"/>
        <v>0.67355091785583787</v>
      </c>
      <c r="Y524" s="43">
        <f t="shared" si="109"/>
        <v>3.3831801344491699</v>
      </c>
      <c r="Z524" s="43">
        <f t="shared" si="100"/>
        <v>0.52932512203112492</v>
      </c>
      <c r="AA524" s="43">
        <f t="shared" si="101"/>
        <v>7.591721099969595</v>
      </c>
      <c r="AB524" s="43">
        <f t="shared" si="102"/>
        <v>0.7886860506163792</v>
      </c>
    </row>
    <row r="525" spans="1:28">
      <c r="A525" s="56" t="s">
        <v>58</v>
      </c>
      <c r="B525" s="57">
        <v>200</v>
      </c>
      <c r="C525" s="57">
        <v>200</v>
      </c>
      <c r="D525" s="57">
        <v>8.57</v>
      </c>
      <c r="E525" s="57">
        <v>322.90573832558522</v>
      </c>
      <c r="F525" s="57">
        <v>7319.1967353799319</v>
      </c>
      <c r="G525" s="57" t="s">
        <v>99</v>
      </c>
      <c r="H525" s="57">
        <v>0.26500000000000001</v>
      </c>
      <c r="I525" s="57">
        <v>53.7</v>
      </c>
      <c r="J525" s="57">
        <v>2477</v>
      </c>
      <c r="K525" s="57">
        <v>4744</v>
      </c>
      <c r="L525" s="57">
        <v>0.65</v>
      </c>
      <c r="M525" s="57">
        <v>245.22</v>
      </c>
      <c r="N525" s="58">
        <v>178.43</v>
      </c>
      <c r="O525" s="43">
        <f t="shared" si="98"/>
        <v>0.35</v>
      </c>
      <c r="P525" s="43">
        <f t="shared" si="103"/>
        <v>972.68573832558536</v>
      </c>
      <c r="Q525" s="43">
        <f t="shared" si="104"/>
        <v>2.3645450342352654E-5</v>
      </c>
      <c r="R525" s="43">
        <v>35</v>
      </c>
      <c r="S525" s="43">
        <f t="shared" si="105"/>
        <v>1</v>
      </c>
      <c r="T525" s="43">
        <f t="shared" si="106"/>
        <v>10.521529428600173</v>
      </c>
      <c r="U525" s="43" t="str" cm="1">
        <f t="array" ref="U525">_xlfn.IFS(T525&lt;3,"Group I",T525&lt;5,"Group II",T525&lt;10,"Group III",T525&lt;20,"Group IV",T525&lt;50,"Group V",T525&lt;100,"Group VI",T525&lt;200,"Group VII",T525&lt;500,"Group VIII",T525&lt;1000,"Group IX",TRUE,"Group X")</f>
        <v>Group IV</v>
      </c>
      <c r="V525" s="43">
        <f t="shared" si="107"/>
        <v>1.0220788742400486</v>
      </c>
      <c r="W525" s="43">
        <f t="shared" si="108"/>
        <v>0.2960400372439479</v>
      </c>
      <c r="X525" s="43">
        <f t="shared" si="99"/>
        <v>-0.52864954982529266</v>
      </c>
      <c r="Y525" s="43">
        <f t="shared" si="109"/>
        <v>0.72763233015251616</v>
      </c>
      <c r="Z525" s="43">
        <f t="shared" si="100"/>
        <v>-0.13808801261171272</v>
      </c>
      <c r="AA525" s="43">
        <f t="shared" si="101"/>
        <v>0.56668782149799291</v>
      </c>
      <c r="AB525" s="43">
        <f t="shared" si="102"/>
        <v>0.37781334741065714</v>
      </c>
    </row>
    <row r="526" spans="1:28">
      <c r="A526" s="48" t="s">
        <v>58</v>
      </c>
      <c r="B526" s="50">
        <v>200</v>
      </c>
      <c r="C526" s="50">
        <v>400</v>
      </c>
      <c r="D526" s="50">
        <v>8.57</v>
      </c>
      <c r="E526" s="50">
        <v>322.90573832558522</v>
      </c>
      <c r="F526" s="50">
        <v>7319.1967353799319</v>
      </c>
      <c r="G526" s="57" t="s">
        <v>99</v>
      </c>
      <c r="H526" s="50">
        <v>0.26500000000000001</v>
      </c>
      <c r="I526" s="50">
        <v>53.7</v>
      </c>
      <c r="J526" s="50">
        <v>2477</v>
      </c>
      <c r="K526" s="50">
        <v>4744</v>
      </c>
      <c r="L526" s="50">
        <v>0.65</v>
      </c>
      <c r="M526" s="50">
        <v>210.52</v>
      </c>
      <c r="N526" s="51">
        <v>113.7</v>
      </c>
      <c r="O526" s="43">
        <f t="shared" si="98"/>
        <v>0.35</v>
      </c>
      <c r="P526" s="43">
        <f t="shared" si="103"/>
        <v>972.68573832558536</v>
      </c>
      <c r="Q526" s="43">
        <f t="shared" si="104"/>
        <v>2.3645450342352654E-5</v>
      </c>
      <c r="R526" s="43">
        <v>35</v>
      </c>
      <c r="S526" s="43">
        <f t="shared" si="105"/>
        <v>0.5</v>
      </c>
      <c r="T526" s="43">
        <f t="shared" si="106"/>
        <v>7.4398448074170043</v>
      </c>
      <c r="U526" s="43" t="str" cm="1">
        <f t="array" ref="U526">_xlfn.IFS(T526&lt;3,"Group I",T526&lt;5,"Group II",T526&lt;10,"Group III",T526&lt;20,"Group IV",T526&lt;50,"Group V",T526&lt;100,"Group VI",T526&lt;200,"Group VII",T526&lt;500,"Group VIII",T526&lt;1000,"Group IX",TRUE,"Group X")</f>
        <v>Group III</v>
      </c>
      <c r="V526" s="43">
        <f t="shared" si="107"/>
        <v>0.8715638764080581</v>
      </c>
      <c r="W526" s="43">
        <f t="shared" si="108"/>
        <v>0.59208007448789579</v>
      </c>
      <c r="X526" s="43">
        <f t="shared" si="99"/>
        <v>-0.22761955416131152</v>
      </c>
      <c r="Y526" s="43">
        <f t="shared" si="109"/>
        <v>0.54009120273608202</v>
      </c>
      <c r="Z526" s="43">
        <f t="shared" si="100"/>
        <v>-0.26753289665750518</v>
      </c>
      <c r="AA526" s="43">
        <f t="shared" si="101"/>
        <v>0.41339593378320122</v>
      </c>
      <c r="AB526" s="43">
        <f t="shared" si="102"/>
        <v>0.3407523650262631</v>
      </c>
    </row>
    <row r="527" spans="1:28">
      <c r="A527" s="48" t="s">
        <v>58</v>
      </c>
      <c r="B527" s="50">
        <v>200</v>
      </c>
      <c r="C527" s="50">
        <v>600</v>
      </c>
      <c r="D527" s="50">
        <v>8.57</v>
      </c>
      <c r="E527" s="50">
        <v>322.90573832558522</v>
      </c>
      <c r="F527" s="50">
        <v>7319.1967353799319</v>
      </c>
      <c r="G527" s="57" t="s">
        <v>99</v>
      </c>
      <c r="H527" s="50">
        <v>0.26500000000000001</v>
      </c>
      <c r="I527" s="50">
        <v>53.7</v>
      </c>
      <c r="J527" s="50">
        <v>2477</v>
      </c>
      <c r="K527" s="50">
        <v>4744</v>
      </c>
      <c r="L527" s="50">
        <v>0.65</v>
      </c>
      <c r="M527" s="50">
        <v>111.79</v>
      </c>
      <c r="N527" s="51">
        <v>32.67</v>
      </c>
      <c r="O527" s="43">
        <f t="shared" si="98"/>
        <v>0.35</v>
      </c>
      <c r="P527" s="43">
        <f t="shared" si="103"/>
        <v>972.68573832558536</v>
      </c>
      <c r="Q527" s="43">
        <f t="shared" si="104"/>
        <v>2.3645450342352654E-5</v>
      </c>
      <c r="R527" s="43">
        <v>35</v>
      </c>
      <c r="S527" s="43">
        <f t="shared" si="105"/>
        <v>0.33333333333333331</v>
      </c>
      <c r="T527" s="43">
        <f t="shared" si="106"/>
        <v>6.0746078478888803</v>
      </c>
      <c r="U527" s="43" t="str" cm="1">
        <f t="array" ref="U527">_xlfn.IFS(T527&lt;3,"Group I",T527&lt;5,"Group II",T527&lt;10,"Group III",T527&lt;20,"Group IV",T527&lt;50,"Group V",T527&lt;100,"Group VI",T527&lt;200,"Group VII",T527&lt;500,"Group VIII",T527&lt;1000,"Group IX",TRUE,"Group X")</f>
        <v>Group III</v>
      </c>
      <c r="V527" s="43">
        <f t="shared" si="107"/>
        <v>0.78351824688021743</v>
      </c>
      <c r="W527" s="43">
        <f t="shared" si="108"/>
        <v>0.88812011173184358</v>
      </c>
      <c r="X527" s="43">
        <f t="shared" si="99"/>
        <v>-5.1528295105630326E-2</v>
      </c>
      <c r="Y527" s="43">
        <f t="shared" si="109"/>
        <v>0.29224438679667231</v>
      </c>
      <c r="Z527" s="43">
        <f t="shared" si="100"/>
        <v>-0.5342538216773024</v>
      </c>
      <c r="AA527" s="43">
        <f t="shared" si="101"/>
        <v>0.34374737858666637</v>
      </c>
      <c r="AB527" s="43">
        <f t="shared" si="102"/>
        <v>0.32078207014114829</v>
      </c>
    </row>
    <row r="528" spans="1:28">
      <c r="A528" s="48" t="s">
        <v>58</v>
      </c>
      <c r="B528" s="50">
        <v>200</v>
      </c>
      <c r="C528" s="50">
        <v>800</v>
      </c>
      <c r="D528" s="50">
        <v>8.57</v>
      </c>
      <c r="E528" s="50">
        <v>322.90573832558522</v>
      </c>
      <c r="F528" s="50">
        <v>7319.1967353799319</v>
      </c>
      <c r="G528" s="57" t="s">
        <v>99</v>
      </c>
      <c r="H528" s="50">
        <v>0.26500000000000001</v>
      </c>
      <c r="I528" s="50">
        <v>53.7</v>
      </c>
      <c r="J528" s="50">
        <v>2477</v>
      </c>
      <c r="K528" s="50">
        <v>4744</v>
      </c>
      <c r="L528" s="50">
        <v>0.65</v>
      </c>
      <c r="M528" s="50">
        <v>111.55</v>
      </c>
      <c r="N528" s="51">
        <v>28.2</v>
      </c>
      <c r="O528" s="43">
        <f t="shared" si="98"/>
        <v>0.35</v>
      </c>
      <c r="P528" s="43">
        <f t="shared" si="103"/>
        <v>972.68573832558536</v>
      </c>
      <c r="Q528" s="43">
        <f t="shared" si="104"/>
        <v>2.3645450342352654E-5</v>
      </c>
      <c r="R528" s="43">
        <v>35</v>
      </c>
      <c r="S528" s="43">
        <f t="shared" si="105"/>
        <v>0.25</v>
      </c>
      <c r="T528" s="43">
        <f t="shared" si="106"/>
        <v>5.2607647143000866</v>
      </c>
      <c r="U528" s="43" t="str" cm="1">
        <f t="array" ref="U528">_xlfn.IFS(T528&lt;3,"Group I",T528&lt;5,"Group II",T528&lt;10,"Group III",T528&lt;20,"Group IV",T528&lt;50,"Group V",T528&lt;100,"Group VI",T528&lt;200,"Group VII",T528&lt;500,"Group VIII",T528&lt;1000,"Group IX",TRUE,"Group X")</f>
        <v>Group III</v>
      </c>
      <c r="V528" s="43">
        <f t="shared" si="107"/>
        <v>0.72104887857606748</v>
      </c>
      <c r="W528" s="43">
        <f t="shared" si="108"/>
        <v>1.1841601489757916</v>
      </c>
      <c r="X528" s="43">
        <f t="shared" si="99"/>
        <v>7.3410441502669677E-2</v>
      </c>
      <c r="Y528" s="43">
        <f t="shared" si="109"/>
        <v>0.25280143433437918</v>
      </c>
      <c r="Z528" s="43">
        <f t="shared" si="100"/>
        <v>-0.59722046630049552</v>
      </c>
      <c r="AA528" s="43">
        <f t="shared" si="101"/>
        <v>0.3015702677653011</v>
      </c>
      <c r="AB528" s="43">
        <f t="shared" si="102"/>
        <v>0.30732681909404769</v>
      </c>
    </row>
    <row r="529" spans="1:28">
      <c r="A529" s="48" t="s">
        <v>58</v>
      </c>
      <c r="B529" s="50">
        <v>200</v>
      </c>
      <c r="C529" s="50">
        <v>1200</v>
      </c>
      <c r="D529" s="50">
        <v>8.57</v>
      </c>
      <c r="E529" s="50">
        <v>322.90573832558522</v>
      </c>
      <c r="F529" s="50">
        <v>7319.1967353799319</v>
      </c>
      <c r="G529" s="57" t="s">
        <v>99</v>
      </c>
      <c r="H529" s="50">
        <v>0.26500000000000001</v>
      </c>
      <c r="I529" s="50">
        <v>53.7</v>
      </c>
      <c r="J529" s="50">
        <v>2477</v>
      </c>
      <c r="K529" s="50">
        <v>4744</v>
      </c>
      <c r="L529" s="50">
        <v>0.65</v>
      </c>
      <c r="M529" s="50">
        <v>73.680000000000007</v>
      </c>
      <c r="N529" s="51">
        <v>17.91</v>
      </c>
      <c r="O529" s="43">
        <f t="shared" si="98"/>
        <v>0.35</v>
      </c>
      <c r="P529" s="43">
        <f t="shared" si="103"/>
        <v>972.68573832558536</v>
      </c>
      <c r="Q529" s="43">
        <f t="shared" si="104"/>
        <v>2.3645450342352654E-5</v>
      </c>
      <c r="R529" s="43">
        <v>35</v>
      </c>
      <c r="S529" s="43">
        <f t="shared" si="105"/>
        <v>0.16666666666666666</v>
      </c>
      <c r="T529" s="43">
        <f t="shared" si="106"/>
        <v>4.2953964022912468</v>
      </c>
      <c r="U529" s="43" t="str" cm="1">
        <f t="array" ref="U529">_xlfn.IFS(T529&lt;3,"Group I",T529&lt;5,"Group II",T529&lt;10,"Group III",T529&lt;20,"Group IV",T529&lt;50,"Group V",T529&lt;100,"Group VI",T529&lt;200,"Group VII",T529&lt;500,"Group VIII",T529&lt;1000,"Group IX",TRUE,"Group X")</f>
        <v>Group II</v>
      </c>
      <c r="V529" s="43">
        <f t="shared" si="107"/>
        <v>0.63300324904822691</v>
      </c>
      <c r="W529" s="43">
        <f t="shared" si="108"/>
        <v>1.7762402234636872</v>
      </c>
      <c r="X529" s="43">
        <f t="shared" si="99"/>
        <v>0.24950170055835086</v>
      </c>
      <c r="Y529" s="43">
        <f t="shared" si="109"/>
        <v>0.24307817589576544</v>
      </c>
      <c r="Z529" s="43">
        <f t="shared" si="100"/>
        <v>-0.61425403133976109</v>
      </c>
      <c r="AA529" s="43">
        <f t="shared" si="101"/>
        <v>0.25076199481528089</v>
      </c>
      <c r="AB529" s="43">
        <f t="shared" si="102"/>
        <v>0.28931547762341869</v>
      </c>
    </row>
    <row r="530" spans="1:28">
      <c r="A530" s="48" t="s">
        <v>58</v>
      </c>
      <c r="B530" s="50">
        <v>200</v>
      </c>
      <c r="C530" s="50">
        <v>1600</v>
      </c>
      <c r="D530" s="50">
        <v>8.57</v>
      </c>
      <c r="E530" s="50">
        <v>322.90573832558522</v>
      </c>
      <c r="F530" s="50">
        <v>7319.1967353799319</v>
      </c>
      <c r="G530" s="57" t="s">
        <v>99</v>
      </c>
      <c r="H530" s="50">
        <v>0.26500000000000001</v>
      </c>
      <c r="I530" s="50">
        <v>53.7</v>
      </c>
      <c r="J530" s="50">
        <v>2477</v>
      </c>
      <c r="K530" s="50">
        <v>4744</v>
      </c>
      <c r="L530" s="50">
        <v>0.65</v>
      </c>
      <c r="M530" s="50">
        <v>75.05</v>
      </c>
      <c r="N530" s="51">
        <v>16.66</v>
      </c>
      <c r="O530" s="43">
        <f t="shared" si="98"/>
        <v>0.35</v>
      </c>
      <c r="P530" s="43">
        <f t="shared" si="103"/>
        <v>972.68573832558536</v>
      </c>
      <c r="Q530" s="43">
        <f t="shared" si="104"/>
        <v>2.3645450342352654E-5</v>
      </c>
      <c r="R530" s="43">
        <v>35</v>
      </c>
      <c r="S530" s="43">
        <f t="shared" si="105"/>
        <v>0.125</v>
      </c>
      <c r="T530" s="43">
        <f t="shared" si="106"/>
        <v>3.7199224037085021</v>
      </c>
      <c r="U530" s="43" t="str" cm="1">
        <f t="array" ref="U530">_xlfn.IFS(T530&lt;3,"Group I",T530&lt;5,"Group II",T530&lt;10,"Group III",T530&lt;20,"Group IV",T530&lt;50,"Group V",T530&lt;100,"Group VI",T530&lt;200,"Group VII",T530&lt;500,"Group VIII",T530&lt;1000,"Group IX",TRUE,"Group X")</f>
        <v>Group II</v>
      </c>
      <c r="V530" s="43">
        <f t="shared" si="107"/>
        <v>0.57053388074407685</v>
      </c>
      <c r="W530" s="43">
        <f t="shared" si="108"/>
        <v>2.3683202979515832</v>
      </c>
      <c r="X530" s="43">
        <f t="shared" si="99"/>
        <v>0.37444043716665087</v>
      </c>
      <c r="Y530" s="43">
        <f t="shared" si="109"/>
        <v>0.22198534310459694</v>
      </c>
      <c r="Z530" s="43">
        <f t="shared" si="100"/>
        <v>-0.65367569950852045</v>
      </c>
      <c r="AA530" s="43">
        <f t="shared" si="101"/>
        <v>0.21999400324950916</v>
      </c>
      <c r="AB530" s="43">
        <f t="shared" si="102"/>
        <v>0.27718009742114613</v>
      </c>
    </row>
    <row r="531" spans="1:28">
      <c r="A531" s="48" t="s">
        <v>58</v>
      </c>
      <c r="B531" s="50">
        <v>200</v>
      </c>
      <c r="C531" s="50">
        <v>2000</v>
      </c>
      <c r="D531" s="50">
        <v>8.57</v>
      </c>
      <c r="E531" s="50">
        <v>322.90573832558522</v>
      </c>
      <c r="F531" s="50">
        <v>7319.1967353799319</v>
      </c>
      <c r="G531" s="57" t="s">
        <v>99</v>
      </c>
      <c r="H531" s="50">
        <v>0.26500000000000001</v>
      </c>
      <c r="I531" s="50">
        <v>53.7</v>
      </c>
      <c r="J531" s="50">
        <v>2477</v>
      </c>
      <c r="K531" s="50">
        <v>4744</v>
      </c>
      <c r="L531" s="50">
        <v>0.65</v>
      </c>
      <c r="M531" s="50">
        <v>55.43</v>
      </c>
      <c r="N531" s="51">
        <v>10.199999999999999</v>
      </c>
      <c r="O531" s="43">
        <f t="shared" si="98"/>
        <v>0.35</v>
      </c>
      <c r="P531" s="43">
        <f t="shared" si="103"/>
        <v>972.68573832558536</v>
      </c>
      <c r="Q531" s="43">
        <f t="shared" si="104"/>
        <v>2.3645450342352654E-5</v>
      </c>
      <c r="R531" s="43">
        <v>35</v>
      </c>
      <c r="S531" s="43">
        <f t="shared" si="105"/>
        <v>0.1</v>
      </c>
      <c r="T531" s="43">
        <f t="shared" si="106"/>
        <v>3.3271997462866496</v>
      </c>
      <c r="U531" s="43" t="str" cm="1">
        <f t="array" ref="U531">_xlfn.IFS(T531&lt;3,"Group I",T531&lt;5,"Group II",T531&lt;10,"Group III",T531&lt;20,"Group IV",T531&lt;50,"Group V",T531&lt;100,"Group VI",T531&lt;200,"Group VII",T531&lt;500,"Group VIII",T531&lt;1000,"Group IX",TRUE,"Group X")</f>
        <v>Group II</v>
      </c>
      <c r="V531" s="43">
        <f t="shared" si="107"/>
        <v>0.52207887424004862</v>
      </c>
      <c r="W531" s="43">
        <f t="shared" si="108"/>
        <v>2.9604003724394787</v>
      </c>
      <c r="X531" s="43">
        <f t="shared" si="99"/>
        <v>0.47135045017470728</v>
      </c>
      <c r="Y531" s="43">
        <f t="shared" si="109"/>
        <v>0.18401587587948762</v>
      </c>
      <c r="Z531" s="43">
        <f t="shared" si="100"/>
        <v>-0.73514470683054378</v>
      </c>
      <c r="AA531" s="43">
        <f t="shared" si="101"/>
        <v>0.19875308548555778</v>
      </c>
      <c r="AB531" s="43">
        <f t="shared" si="102"/>
        <v>0.26811881830528439</v>
      </c>
    </row>
    <row r="532" spans="1:28">
      <c r="A532" s="48" t="s">
        <v>58</v>
      </c>
      <c r="B532" s="50">
        <v>200</v>
      </c>
      <c r="C532" s="50">
        <v>2400</v>
      </c>
      <c r="D532" s="50">
        <v>8.57</v>
      </c>
      <c r="E532" s="50">
        <v>322.90573832558522</v>
      </c>
      <c r="F532" s="50">
        <v>7319.1967353799319</v>
      </c>
      <c r="G532" s="57" t="s">
        <v>99</v>
      </c>
      <c r="H532" s="50">
        <v>0.26500000000000001</v>
      </c>
      <c r="I532" s="50">
        <v>53.7</v>
      </c>
      <c r="J532" s="50">
        <v>2477</v>
      </c>
      <c r="K532" s="50">
        <v>4744</v>
      </c>
      <c r="L532" s="50">
        <v>0.65</v>
      </c>
      <c r="M532" s="50">
        <v>41.5</v>
      </c>
      <c r="N532" s="51">
        <v>7.12</v>
      </c>
      <c r="O532" s="43">
        <f t="shared" si="98"/>
        <v>0.35</v>
      </c>
      <c r="P532" s="43">
        <f t="shared" si="103"/>
        <v>972.68573832558536</v>
      </c>
      <c r="Q532" s="43">
        <f t="shared" si="104"/>
        <v>2.3645450342352654E-5</v>
      </c>
      <c r="R532" s="43">
        <v>35</v>
      </c>
      <c r="S532" s="43">
        <f t="shared" si="105"/>
        <v>8.3333333333333329E-2</v>
      </c>
      <c r="T532" s="43">
        <f t="shared" si="106"/>
        <v>3.0373039239444402</v>
      </c>
      <c r="U532" s="43" t="str" cm="1">
        <f t="array" ref="U532">_xlfn.IFS(T532&lt;3,"Group I",T532&lt;5,"Group II",T532&lt;10,"Group III",T532&lt;20,"Group IV",T532&lt;50,"Group V",T532&lt;100,"Group VI",T532&lt;200,"Group VII",T532&lt;500,"Group VIII",T532&lt;1000,"Group IX",TRUE,"Group X")</f>
        <v>Group II</v>
      </c>
      <c r="V532" s="43">
        <f t="shared" si="107"/>
        <v>0.48248825121623629</v>
      </c>
      <c r="W532" s="43">
        <f t="shared" si="108"/>
        <v>3.5524804469273743</v>
      </c>
      <c r="X532" s="43">
        <f t="shared" si="99"/>
        <v>0.55053169622233211</v>
      </c>
      <c r="Y532" s="43">
        <f t="shared" si="109"/>
        <v>0.17156626506024097</v>
      </c>
      <c r="Z532" s="43">
        <f t="shared" si="100"/>
        <v>-0.76556810307523626</v>
      </c>
      <c r="AA532" s="43">
        <f t="shared" si="101"/>
        <v>0.18292962204476892</v>
      </c>
      <c r="AB532" s="43">
        <f t="shared" si="102"/>
        <v>0.26093554903376071</v>
      </c>
    </row>
    <row r="533" spans="1:28">
      <c r="A533" s="48" t="s">
        <v>58</v>
      </c>
      <c r="B533" s="50">
        <v>350</v>
      </c>
      <c r="C533" s="50">
        <v>400</v>
      </c>
      <c r="D533" s="50">
        <v>8.57</v>
      </c>
      <c r="E533" s="50">
        <v>322.90573832558522</v>
      </c>
      <c r="F533" s="50">
        <v>7319.1967353799319</v>
      </c>
      <c r="G533" s="57" t="s">
        <v>99</v>
      </c>
      <c r="H533" s="50">
        <v>0.26500000000000001</v>
      </c>
      <c r="I533" s="50">
        <v>53.7</v>
      </c>
      <c r="J533" s="50">
        <v>2477</v>
      </c>
      <c r="K533" s="50">
        <v>4744</v>
      </c>
      <c r="L533" s="50">
        <v>0.65</v>
      </c>
      <c r="M533" s="50">
        <v>293.56</v>
      </c>
      <c r="N533" s="51">
        <v>178.25</v>
      </c>
      <c r="O533" s="43">
        <f t="shared" si="98"/>
        <v>0.35</v>
      </c>
      <c r="P533" s="43">
        <f t="shared" si="103"/>
        <v>972.68573832558536</v>
      </c>
      <c r="Q533" s="43">
        <f t="shared" si="104"/>
        <v>2.3645450342352654E-5</v>
      </c>
      <c r="R533" s="43">
        <v>35</v>
      </c>
      <c r="S533" s="43">
        <f t="shared" si="105"/>
        <v>0.875</v>
      </c>
      <c r="T533" s="43">
        <f t="shared" si="106"/>
        <v>13.019728412979756</v>
      </c>
      <c r="U533" s="43" t="str" cm="1">
        <f t="array" ref="U533">_xlfn.IFS(T533&lt;3,"Group I",T533&lt;5,"Group II",T533&lt;10,"Group III",T533&lt;20,"Group IV",T533&lt;50,"Group V",T533&lt;100,"Group VI",T533&lt;200,"Group VII",T533&lt;500,"Group VIII",T533&lt;1000,"Group IX",TRUE,"Group X")</f>
        <v>Group IV</v>
      </c>
      <c r="V533" s="43">
        <f t="shared" si="107"/>
        <v>1.1146019250943524</v>
      </c>
      <c r="W533" s="43">
        <f t="shared" si="108"/>
        <v>0.59208007448789579</v>
      </c>
      <c r="X533" s="43">
        <f t="shared" si="99"/>
        <v>-0.22761955416131152</v>
      </c>
      <c r="Y533" s="43">
        <f t="shared" si="109"/>
        <v>0.60720125357678156</v>
      </c>
      <c r="Z533" s="43">
        <f t="shared" si="100"/>
        <v>-0.21666734050368788</v>
      </c>
      <c r="AA533" s="43">
        <f t="shared" si="101"/>
        <v>0.72344288412060209</v>
      </c>
      <c r="AB533" s="43">
        <f t="shared" si="102"/>
        <v>0.40256861501942831</v>
      </c>
    </row>
    <row r="534" spans="1:28">
      <c r="A534" s="48" t="s">
        <v>58</v>
      </c>
      <c r="B534" s="50">
        <v>350</v>
      </c>
      <c r="C534" s="50">
        <v>600</v>
      </c>
      <c r="D534" s="50">
        <v>8.57</v>
      </c>
      <c r="E534" s="50">
        <v>322.90573832558522</v>
      </c>
      <c r="F534" s="50">
        <v>7319.1967353799319</v>
      </c>
      <c r="G534" s="57" t="s">
        <v>99</v>
      </c>
      <c r="H534" s="50">
        <v>0.26500000000000001</v>
      </c>
      <c r="I534" s="50">
        <v>53.7</v>
      </c>
      <c r="J534" s="50">
        <v>2477</v>
      </c>
      <c r="K534" s="50">
        <v>4744</v>
      </c>
      <c r="L534" s="50">
        <v>0.65</v>
      </c>
      <c r="M534" s="50">
        <v>211.12</v>
      </c>
      <c r="N534" s="51">
        <v>103.84</v>
      </c>
      <c r="O534" s="43">
        <f t="shared" si="98"/>
        <v>0.35</v>
      </c>
      <c r="P534" s="43">
        <f t="shared" si="103"/>
        <v>972.68573832558536</v>
      </c>
      <c r="Q534" s="43">
        <f t="shared" si="104"/>
        <v>2.3645450342352654E-5</v>
      </c>
      <c r="R534" s="43">
        <v>35</v>
      </c>
      <c r="S534" s="43">
        <f t="shared" si="105"/>
        <v>0.58333333333333337</v>
      </c>
      <c r="T534" s="43">
        <f t="shared" si="106"/>
        <v>10.630563733805539</v>
      </c>
      <c r="U534" s="43" t="str" cm="1">
        <f t="array" ref="U534">_xlfn.IFS(T534&lt;3,"Group I",T534&lt;5,"Group II",T534&lt;10,"Group III",T534&lt;20,"Group IV",T534&lt;50,"Group V",T534&lt;100,"Group VI",T534&lt;200,"Group VII",T534&lt;500,"Group VIII",T534&lt;1000,"Group IX",TRUE,"Group X")</f>
        <v>Group IV</v>
      </c>
      <c r="V534" s="43">
        <f t="shared" si="107"/>
        <v>1.026556295566512</v>
      </c>
      <c r="W534" s="43">
        <f t="shared" si="108"/>
        <v>0.88812011173184358</v>
      </c>
      <c r="X534" s="43">
        <f t="shared" si="99"/>
        <v>-5.1528295105630326E-2</v>
      </c>
      <c r="Y534" s="43">
        <f t="shared" si="109"/>
        <v>0.49185297461159533</v>
      </c>
      <c r="Z534" s="43">
        <f t="shared" si="100"/>
        <v>-0.30816469775569921</v>
      </c>
      <c r="AA534" s="43">
        <f t="shared" si="101"/>
        <v>0.60155791252666613</v>
      </c>
      <c r="AB534" s="43">
        <f t="shared" si="102"/>
        <v>0.37897548763846173</v>
      </c>
    </row>
    <row r="535" spans="1:28">
      <c r="A535" s="48" t="s">
        <v>58</v>
      </c>
      <c r="B535" s="50">
        <v>350</v>
      </c>
      <c r="C535" s="50">
        <v>800</v>
      </c>
      <c r="D535" s="50">
        <v>8.57</v>
      </c>
      <c r="E535" s="50">
        <v>322.90573832558522</v>
      </c>
      <c r="F535" s="50">
        <v>7319.1967353799319</v>
      </c>
      <c r="G535" s="57" t="s">
        <v>99</v>
      </c>
      <c r="H535" s="50">
        <v>0.26500000000000001</v>
      </c>
      <c r="I535" s="50">
        <v>53.7</v>
      </c>
      <c r="J535" s="50">
        <v>2477</v>
      </c>
      <c r="K535" s="50">
        <v>4744</v>
      </c>
      <c r="L535" s="50">
        <v>0.65</v>
      </c>
      <c r="M535" s="50">
        <v>150.31</v>
      </c>
      <c r="N535" s="51">
        <v>71.41</v>
      </c>
      <c r="O535" s="43">
        <f t="shared" si="98"/>
        <v>0.35</v>
      </c>
      <c r="P535" s="43">
        <f t="shared" si="103"/>
        <v>972.68573832558536</v>
      </c>
      <c r="Q535" s="43">
        <f t="shared" si="104"/>
        <v>2.3645450342352654E-5</v>
      </c>
      <c r="R535" s="43">
        <v>35</v>
      </c>
      <c r="S535" s="43">
        <f t="shared" si="105"/>
        <v>0.4375</v>
      </c>
      <c r="T535" s="43">
        <f t="shared" si="106"/>
        <v>9.2063382500251496</v>
      </c>
      <c r="U535" s="43" t="str" cm="1">
        <f t="array" ref="U535">_xlfn.IFS(T535&lt;3,"Group I",T535&lt;5,"Group II",T535&lt;10,"Group III",T535&lt;20,"Group IV",T535&lt;50,"Group V",T535&lt;100,"Group VI",T535&lt;200,"Group VII",T535&lt;500,"Group VIII",T535&lt;1000,"Group IX",TRUE,"Group X")</f>
        <v>Group III</v>
      </c>
      <c r="V535" s="43">
        <f t="shared" si="107"/>
        <v>0.96408692726236178</v>
      </c>
      <c r="W535" s="43">
        <f t="shared" si="108"/>
        <v>1.1841601489757916</v>
      </c>
      <c r="X535" s="43">
        <f t="shared" si="99"/>
        <v>7.3410441502669677E-2</v>
      </c>
      <c r="Y535" s="43">
        <f t="shared" si="109"/>
        <v>0.47508482469562902</v>
      </c>
      <c r="Z535" s="43">
        <f t="shared" si="100"/>
        <v>-0.32322884172604205</v>
      </c>
      <c r="AA535" s="43">
        <f t="shared" si="101"/>
        <v>0.52774796858927686</v>
      </c>
      <c r="AB535" s="43">
        <f t="shared" si="102"/>
        <v>0.36307930514724851</v>
      </c>
    </row>
    <row r="536" spans="1:28">
      <c r="A536" s="48" t="s">
        <v>58</v>
      </c>
      <c r="B536" s="50">
        <v>350</v>
      </c>
      <c r="C536" s="50">
        <v>1000</v>
      </c>
      <c r="D536" s="50">
        <v>8.57</v>
      </c>
      <c r="E536" s="50">
        <v>322.90573832558522</v>
      </c>
      <c r="F536" s="50">
        <v>7319.1967353799319</v>
      </c>
      <c r="G536" s="57" t="s">
        <v>99</v>
      </c>
      <c r="H536" s="50">
        <v>0.26500000000000001</v>
      </c>
      <c r="I536" s="50">
        <v>53.7</v>
      </c>
      <c r="J536" s="50">
        <v>2477</v>
      </c>
      <c r="K536" s="50">
        <v>4744</v>
      </c>
      <c r="L536" s="50">
        <v>0.65</v>
      </c>
      <c r="M536" s="50">
        <v>78.5</v>
      </c>
      <c r="N536" s="51">
        <v>24.45</v>
      </c>
      <c r="O536" s="43">
        <f t="shared" si="98"/>
        <v>0.35</v>
      </c>
      <c r="P536" s="43">
        <f t="shared" si="103"/>
        <v>972.68573832558536</v>
      </c>
      <c r="Q536" s="43">
        <f t="shared" si="104"/>
        <v>2.3645450342352654E-5</v>
      </c>
      <c r="R536" s="43">
        <v>35</v>
      </c>
      <c r="S536" s="43">
        <f t="shared" si="105"/>
        <v>0.35</v>
      </c>
      <c r="T536" s="43">
        <f t="shared" si="106"/>
        <v>8.2343992603650769</v>
      </c>
      <c r="U536" s="43" t="str" cm="1">
        <f t="array" ref="U536">_xlfn.IFS(T536&lt;3,"Group I",T536&lt;5,"Group II",T536&lt;10,"Group III",T536&lt;20,"Group IV",T536&lt;50,"Group V",T536&lt;100,"Group VI",T536&lt;200,"Group VII",T536&lt;500,"Group VIII",T536&lt;1000,"Group IX",TRUE,"Group X")</f>
        <v>Group III</v>
      </c>
      <c r="V536" s="43">
        <f t="shared" si="107"/>
        <v>0.91563192075833366</v>
      </c>
      <c r="W536" s="43">
        <f t="shared" si="108"/>
        <v>1.4802001862197394</v>
      </c>
      <c r="X536" s="43">
        <f t="shared" si="99"/>
        <v>0.17032045451072605</v>
      </c>
      <c r="Y536" s="43">
        <f t="shared" si="109"/>
        <v>0.31146496815286623</v>
      </c>
      <c r="Z536" s="43">
        <f t="shared" si="100"/>
        <v>-0.50659079328561352</v>
      </c>
      <c r="AA536" s="43">
        <f t="shared" si="101"/>
        <v>0.47679271055806871</v>
      </c>
      <c r="AB536" s="43">
        <f t="shared" si="102"/>
        <v>0.35120989981929818</v>
      </c>
    </row>
    <row r="537" spans="1:28">
      <c r="A537" s="48" t="s">
        <v>58</v>
      </c>
      <c r="B537" s="50">
        <v>350</v>
      </c>
      <c r="C537" s="50">
        <v>1200</v>
      </c>
      <c r="D537" s="50">
        <v>8.57</v>
      </c>
      <c r="E537" s="50">
        <v>322.90573832558522</v>
      </c>
      <c r="F537" s="50">
        <v>7319.1967353799319</v>
      </c>
      <c r="G537" s="57" t="s">
        <v>99</v>
      </c>
      <c r="H537" s="50">
        <v>0.26500000000000001</v>
      </c>
      <c r="I537" s="50">
        <v>53.7</v>
      </c>
      <c r="J537" s="50">
        <v>2477</v>
      </c>
      <c r="K537" s="50">
        <v>4744</v>
      </c>
      <c r="L537" s="50">
        <v>0.65</v>
      </c>
      <c r="M537" s="50">
        <v>48.45</v>
      </c>
      <c r="N537" s="51">
        <v>10.78</v>
      </c>
      <c r="O537" s="43">
        <f t="shared" si="98"/>
        <v>0.35</v>
      </c>
      <c r="P537" s="43">
        <f t="shared" si="103"/>
        <v>972.68573832558536</v>
      </c>
      <c r="Q537" s="43">
        <f t="shared" si="104"/>
        <v>2.3645450342352654E-5</v>
      </c>
      <c r="R537" s="43">
        <v>35</v>
      </c>
      <c r="S537" s="43">
        <f t="shared" si="105"/>
        <v>0.29166666666666669</v>
      </c>
      <c r="T537" s="43">
        <f t="shared" si="106"/>
        <v>7.5169437040096811</v>
      </c>
      <c r="U537" s="43" t="str" cm="1">
        <f t="array" ref="U537">_xlfn.IFS(T537&lt;3,"Group I",T537&lt;5,"Group II",T537&lt;10,"Group III",T537&lt;20,"Group IV",T537&lt;50,"Group V",T537&lt;100,"Group VI",T537&lt;200,"Group VII",T537&lt;500,"Group VIII",T537&lt;1000,"Group IX",TRUE,"Group X")</f>
        <v>Group III</v>
      </c>
      <c r="V537" s="43">
        <f t="shared" si="107"/>
        <v>0.87604129773452122</v>
      </c>
      <c r="W537" s="43">
        <f t="shared" si="108"/>
        <v>1.7762402234636872</v>
      </c>
      <c r="X537" s="43">
        <f t="shared" si="99"/>
        <v>0.24950170055835086</v>
      </c>
      <c r="Y537" s="43">
        <f t="shared" si="109"/>
        <v>0.2224974200206398</v>
      </c>
      <c r="Z537" s="43">
        <f t="shared" si="100"/>
        <v>-0.6526750205360643</v>
      </c>
      <c r="AA537" s="43">
        <f t="shared" si="101"/>
        <v>0.43883349092674151</v>
      </c>
      <c r="AB537" s="43">
        <f t="shared" si="102"/>
        <v>0.3418005070091511</v>
      </c>
    </row>
    <row r="538" spans="1:28">
      <c r="A538" s="48" t="s">
        <v>58</v>
      </c>
      <c r="B538" s="50">
        <v>350</v>
      </c>
      <c r="C538" s="50">
        <v>1600</v>
      </c>
      <c r="D538" s="50">
        <v>8.57</v>
      </c>
      <c r="E538" s="50">
        <v>322.90573832558522</v>
      </c>
      <c r="F538" s="50">
        <v>7319.1967353799319</v>
      </c>
      <c r="G538" s="57" t="s">
        <v>99</v>
      </c>
      <c r="H538" s="50">
        <v>0.26500000000000001</v>
      </c>
      <c r="I538" s="50">
        <v>53.7</v>
      </c>
      <c r="J538" s="50">
        <v>2477</v>
      </c>
      <c r="K538" s="50">
        <v>4744</v>
      </c>
      <c r="L538" s="50">
        <v>0.65</v>
      </c>
      <c r="M538" s="50">
        <v>52.28</v>
      </c>
      <c r="N538" s="51">
        <v>12.36</v>
      </c>
      <c r="O538" s="43">
        <f t="shared" si="98"/>
        <v>0.35</v>
      </c>
      <c r="P538" s="43">
        <f t="shared" si="103"/>
        <v>972.68573832558536</v>
      </c>
      <c r="Q538" s="43">
        <f t="shared" si="104"/>
        <v>2.3645450342352654E-5</v>
      </c>
      <c r="R538" s="43">
        <v>35</v>
      </c>
      <c r="S538" s="43">
        <f t="shared" si="105"/>
        <v>0.21875</v>
      </c>
      <c r="T538" s="43">
        <f t="shared" si="106"/>
        <v>6.509864206489878</v>
      </c>
      <c r="U538" s="43" t="str" cm="1">
        <f t="array" ref="U538">_xlfn.IFS(T538&lt;3,"Group I",T538&lt;5,"Group II",T538&lt;10,"Group III",T538&lt;20,"Group IV",T538&lt;50,"Group V",T538&lt;100,"Group VI",T538&lt;200,"Group VII",T538&lt;500,"Group VIII",T538&lt;1000,"Group IX",TRUE,"Group X")</f>
        <v>Group III</v>
      </c>
      <c r="V538" s="43">
        <f t="shared" si="107"/>
        <v>0.81357192943037127</v>
      </c>
      <c r="W538" s="43">
        <f t="shared" si="108"/>
        <v>2.3683202979515832</v>
      </c>
      <c r="X538" s="43">
        <f t="shared" si="99"/>
        <v>0.37444043716665087</v>
      </c>
      <c r="Y538" s="43">
        <f t="shared" si="109"/>
        <v>0.23641928079571536</v>
      </c>
      <c r="Z538" s="43">
        <f t="shared" si="100"/>
        <v>-0.62631710815570973</v>
      </c>
      <c r="AA538" s="43">
        <f t="shared" si="101"/>
        <v>0.38498950568664098</v>
      </c>
      <c r="AB538" s="43">
        <f t="shared" si="102"/>
        <v>0.32746363454052857</v>
      </c>
    </row>
    <row r="539" spans="1:28">
      <c r="A539" s="48" t="s">
        <v>58</v>
      </c>
      <c r="B539" s="50">
        <v>350</v>
      </c>
      <c r="C539" s="50">
        <v>2000</v>
      </c>
      <c r="D539" s="50">
        <v>8.57</v>
      </c>
      <c r="E539" s="50">
        <v>322.90573832558522</v>
      </c>
      <c r="F539" s="50">
        <v>7319.1967353799319</v>
      </c>
      <c r="G539" s="57" t="s">
        <v>99</v>
      </c>
      <c r="H539" s="50">
        <v>0.26500000000000001</v>
      </c>
      <c r="I539" s="50">
        <v>53.7</v>
      </c>
      <c r="J539" s="50">
        <v>2477</v>
      </c>
      <c r="K539" s="50">
        <v>4744</v>
      </c>
      <c r="L539" s="50">
        <v>0.65</v>
      </c>
      <c r="M539" s="50">
        <v>48.95</v>
      </c>
      <c r="N539" s="51">
        <v>5</v>
      </c>
      <c r="O539" s="43">
        <f t="shared" si="98"/>
        <v>0.35</v>
      </c>
      <c r="P539" s="43">
        <f t="shared" si="103"/>
        <v>972.68573832558536</v>
      </c>
      <c r="Q539" s="43">
        <f t="shared" si="104"/>
        <v>2.3645450342352654E-5</v>
      </c>
      <c r="R539" s="43">
        <v>35</v>
      </c>
      <c r="S539" s="43">
        <f t="shared" si="105"/>
        <v>0.17499999999999999</v>
      </c>
      <c r="T539" s="43">
        <f t="shared" si="106"/>
        <v>5.8225995560016361</v>
      </c>
      <c r="U539" s="43" t="str" cm="1">
        <f t="array" ref="U539">_xlfn.IFS(T539&lt;3,"Group I",T539&lt;5,"Group II",T539&lt;10,"Group III",T539&lt;20,"Group IV",T539&lt;50,"Group V",T539&lt;100,"Group VI",T539&lt;200,"Group VII",T539&lt;500,"Group VIII",T539&lt;1000,"Group IX",TRUE,"Group X")</f>
        <v>Group III</v>
      </c>
      <c r="V539" s="43">
        <f t="shared" si="107"/>
        <v>0.76511692292634292</v>
      </c>
      <c r="W539" s="43">
        <f t="shared" si="108"/>
        <v>2.9604003724394787</v>
      </c>
      <c r="X539" s="43">
        <f t="shared" si="99"/>
        <v>0.47135045017470728</v>
      </c>
      <c r="Y539" s="43">
        <f t="shared" si="109"/>
        <v>0.10214504596527067</v>
      </c>
      <c r="Z539" s="43">
        <f t="shared" si="100"/>
        <v>-0.99078269180313783</v>
      </c>
      <c r="AA539" s="43">
        <f t="shared" si="101"/>
        <v>0.34781789959972609</v>
      </c>
      <c r="AB539" s="43">
        <f t="shared" si="102"/>
        <v>0.31675853911530449</v>
      </c>
    </row>
    <row r="540" spans="1:28">
      <c r="A540" s="48" t="s">
        <v>58</v>
      </c>
      <c r="B540" s="50">
        <v>350</v>
      </c>
      <c r="C540" s="50">
        <v>2400</v>
      </c>
      <c r="D540" s="50">
        <v>8.57</v>
      </c>
      <c r="E540" s="50">
        <v>322.90573832558522</v>
      </c>
      <c r="F540" s="50">
        <v>7319.1967353799319</v>
      </c>
      <c r="G540" s="57" t="s">
        <v>99</v>
      </c>
      <c r="H540" s="50">
        <v>0.26500000000000001</v>
      </c>
      <c r="I540" s="50">
        <v>53.7</v>
      </c>
      <c r="J540" s="50">
        <v>2477</v>
      </c>
      <c r="K540" s="50">
        <v>4744</v>
      </c>
      <c r="L540" s="50">
        <v>0.65</v>
      </c>
      <c r="M540" s="50">
        <v>31.67</v>
      </c>
      <c r="N540" s="51">
        <v>4.6900000000000004</v>
      </c>
      <c r="O540" s="43">
        <f t="shared" si="98"/>
        <v>0.35</v>
      </c>
      <c r="P540" s="43">
        <f t="shared" si="103"/>
        <v>972.68573832558536</v>
      </c>
      <c r="Q540" s="43">
        <f t="shared" si="104"/>
        <v>2.3645450342352654E-5</v>
      </c>
      <c r="R540" s="43">
        <v>35</v>
      </c>
      <c r="S540" s="43">
        <f t="shared" si="105"/>
        <v>0.14583333333333334</v>
      </c>
      <c r="T540" s="43">
        <f t="shared" si="106"/>
        <v>5.3152818669027697</v>
      </c>
      <c r="U540" s="43" t="str" cm="1">
        <f t="array" ref="U540">_xlfn.IFS(T540&lt;3,"Group I",T540&lt;5,"Group II",T540&lt;10,"Group III",T540&lt;20,"Group IV",T540&lt;50,"Group V",T540&lt;100,"Group VI",T540&lt;200,"Group VII",T540&lt;500,"Group VIII",T540&lt;1000,"Group IX",TRUE,"Group X")</f>
        <v>Group III</v>
      </c>
      <c r="V540" s="43">
        <f t="shared" si="107"/>
        <v>0.7255262999025307</v>
      </c>
      <c r="W540" s="43">
        <f t="shared" si="108"/>
        <v>3.5524804469273743</v>
      </c>
      <c r="X540" s="43">
        <f t="shared" si="99"/>
        <v>0.55053169622233211</v>
      </c>
      <c r="Y540" s="43">
        <f t="shared" si="109"/>
        <v>0.14808967477107673</v>
      </c>
      <c r="Z540" s="43">
        <f t="shared" si="100"/>
        <v>-0.82947522065682866</v>
      </c>
      <c r="AA540" s="43">
        <f t="shared" si="101"/>
        <v>0.32012683857834556</v>
      </c>
      <c r="AB540" s="43">
        <f t="shared" si="102"/>
        <v>0.3082721453034053</v>
      </c>
    </row>
    <row r="541" spans="1:28">
      <c r="A541" s="48" t="s">
        <v>58</v>
      </c>
      <c r="B541" s="50">
        <v>100</v>
      </c>
      <c r="C541" s="50">
        <v>300</v>
      </c>
      <c r="D541" s="50">
        <v>8.57</v>
      </c>
      <c r="E541" s="50">
        <v>322.90573832558522</v>
      </c>
      <c r="F541" s="50">
        <v>7319.1967353799319</v>
      </c>
      <c r="G541" s="57" t="s">
        <v>99</v>
      </c>
      <c r="H541" s="50">
        <v>0.26500000000000001</v>
      </c>
      <c r="I541" s="50">
        <v>53.7</v>
      </c>
      <c r="J541" s="50">
        <v>2477</v>
      </c>
      <c r="K541" s="50">
        <v>4744</v>
      </c>
      <c r="L541" s="50">
        <v>0.65</v>
      </c>
      <c r="M541" s="50">
        <v>123.74</v>
      </c>
      <c r="N541" s="51">
        <v>58</v>
      </c>
      <c r="O541" s="43">
        <f t="shared" si="98"/>
        <v>0.35</v>
      </c>
      <c r="P541" s="43">
        <f t="shared" si="103"/>
        <v>972.68573832558536</v>
      </c>
      <c r="Q541" s="43">
        <f t="shared" si="104"/>
        <v>2.3645450342352654E-5</v>
      </c>
      <c r="R541" s="43">
        <v>35</v>
      </c>
      <c r="S541" s="43">
        <f t="shared" si="105"/>
        <v>0.33333333333333331</v>
      </c>
      <c r="T541" s="43">
        <f t="shared" si="106"/>
        <v>4.2953964022912468</v>
      </c>
      <c r="U541" s="43" t="str" cm="1">
        <f t="array" ref="U541">_xlfn.IFS(T541&lt;3,"Group I",T541&lt;5,"Group II",T541&lt;10,"Group III",T541&lt;20,"Group IV",T541&lt;50,"Group V",T541&lt;100,"Group VI",T541&lt;200,"Group VII",T541&lt;500,"Group VIII",T541&lt;1000,"Group IX",TRUE,"Group X")</f>
        <v>Group II</v>
      </c>
      <c r="V541" s="43">
        <f t="shared" si="107"/>
        <v>0.63300324904822691</v>
      </c>
      <c r="W541" s="43">
        <f t="shared" si="108"/>
        <v>0.44406005586592179</v>
      </c>
      <c r="X541" s="43">
        <f t="shared" si="99"/>
        <v>-0.35255829076961154</v>
      </c>
      <c r="Y541" s="43">
        <f t="shared" si="109"/>
        <v>0.46872474543397447</v>
      </c>
      <c r="Z541" s="43">
        <f t="shared" si="100"/>
        <v>-0.32908211812104476</v>
      </c>
      <c r="AA541" s="43">
        <f t="shared" si="101"/>
        <v>0.23560639715808396</v>
      </c>
      <c r="AB541" s="43">
        <f t="shared" si="102"/>
        <v>0.28931547762341869</v>
      </c>
    </row>
    <row r="542" spans="1:28">
      <c r="A542" s="48" t="s">
        <v>58</v>
      </c>
      <c r="B542" s="50">
        <v>150</v>
      </c>
      <c r="C542" s="50">
        <v>300</v>
      </c>
      <c r="D542" s="50">
        <v>8.57</v>
      </c>
      <c r="E542" s="50">
        <v>322.90573832558522</v>
      </c>
      <c r="F542" s="50">
        <v>7319.1967353799319</v>
      </c>
      <c r="G542" s="57" t="s">
        <v>99</v>
      </c>
      <c r="H542" s="50">
        <v>0.26500000000000001</v>
      </c>
      <c r="I542" s="50">
        <v>53.7</v>
      </c>
      <c r="J542" s="50">
        <v>2477</v>
      </c>
      <c r="K542" s="50">
        <v>4744</v>
      </c>
      <c r="L542" s="50">
        <v>0.65</v>
      </c>
      <c r="M542" s="50">
        <v>278</v>
      </c>
      <c r="N542" s="51">
        <v>90.35</v>
      </c>
      <c r="O542" s="43">
        <f t="shared" ref="O542:O605" si="110">1-L542</f>
        <v>0.35</v>
      </c>
      <c r="P542" s="43">
        <f t="shared" si="103"/>
        <v>972.68573832558536</v>
      </c>
      <c r="Q542" s="43">
        <f t="shared" si="104"/>
        <v>2.3645450342352654E-5</v>
      </c>
      <c r="R542" s="43">
        <v>35</v>
      </c>
      <c r="S542" s="43">
        <f t="shared" si="105"/>
        <v>0.5</v>
      </c>
      <c r="T542" s="43">
        <f t="shared" si="106"/>
        <v>6.4430946034368697</v>
      </c>
      <c r="U542" s="43" t="str" cm="1">
        <f t="array" ref="U542">_xlfn.IFS(T542&lt;3,"Group I",T542&lt;5,"Group II",T542&lt;10,"Group III",T542&lt;20,"Group IV",T542&lt;50,"Group V",T542&lt;100,"Group VI",T542&lt;200,"Group VII",T542&lt;500,"Group VIII",T542&lt;1000,"Group IX",TRUE,"Group X")</f>
        <v>Group III</v>
      </c>
      <c r="V542" s="43">
        <f t="shared" si="107"/>
        <v>0.80909450810390804</v>
      </c>
      <c r="W542" s="43">
        <f t="shared" si="108"/>
        <v>0.44406005586592179</v>
      </c>
      <c r="X542" s="43">
        <f t="shared" si="99"/>
        <v>-0.35255829076961154</v>
      </c>
      <c r="Y542" s="43">
        <f t="shared" si="109"/>
        <v>0.32499999999999996</v>
      </c>
      <c r="Z542" s="43">
        <f t="shared" si="100"/>
        <v>-0.48811663902112568</v>
      </c>
      <c r="AA542" s="43">
        <f t="shared" si="101"/>
        <v>0.35340959573712594</v>
      </c>
      <c r="AB542" s="43">
        <f t="shared" si="102"/>
        <v>0.32645945702705914</v>
      </c>
    </row>
    <row r="543" spans="1:28">
      <c r="A543" s="48" t="s">
        <v>58</v>
      </c>
      <c r="B543" s="50">
        <v>200</v>
      </c>
      <c r="C543" s="50">
        <v>300</v>
      </c>
      <c r="D543" s="50">
        <v>8.57</v>
      </c>
      <c r="E543" s="50">
        <v>322.90573832558522</v>
      </c>
      <c r="F543" s="50">
        <v>7319.1967353799319</v>
      </c>
      <c r="G543" s="57" t="s">
        <v>99</v>
      </c>
      <c r="H543" s="50">
        <v>0.26500000000000001</v>
      </c>
      <c r="I543" s="50">
        <v>53.7</v>
      </c>
      <c r="J543" s="50">
        <v>2477</v>
      </c>
      <c r="K543" s="50">
        <v>4744</v>
      </c>
      <c r="L543" s="50">
        <v>0.65</v>
      </c>
      <c r="M543" s="50">
        <v>300.7</v>
      </c>
      <c r="N543" s="51">
        <v>139.1</v>
      </c>
      <c r="O543" s="43">
        <f t="shared" si="110"/>
        <v>0.35</v>
      </c>
      <c r="P543" s="43">
        <f t="shared" si="103"/>
        <v>972.68573832558536</v>
      </c>
      <c r="Q543" s="43">
        <f t="shared" si="104"/>
        <v>2.3645450342352654E-5</v>
      </c>
      <c r="R543" s="43">
        <v>35</v>
      </c>
      <c r="S543" s="43">
        <f t="shared" si="105"/>
        <v>0.66666666666666663</v>
      </c>
      <c r="T543" s="43">
        <f t="shared" si="106"/>
        <v>8.5907928045824935</v>
      </c>
      <c r="U543" s="43" t="str" cm="1">
        <f t="array" ref="U543">_xlfn.IFS(T543&lt;3,"Group I",T543&lt;5,"Group II",T543&lt;10,"Group III",T543&lt;20,"Group IV",T543&lt;50,"Group V",T543&lt;100,"Group VI",T543&lt;200,"Group VII",T543&lt;500,"Group VIII",T543&lt;1000,"Group IX",TRUE,"Group X")</f>
        <v>Group III</v>
      </c>
      <c r="V543" s="43">
        <f t="shared" si="107"/>
        <v>0.93403324471220806</v>
      </c>
      <c r="W543" s="43">
        <f t="shared" si="108"/>
        <v>0.44406005586592179</v>
      </c>
      <c r="X543" s="43">
        <f t="shared" si="99"/>
        <v>-0.35255829076961154</v>
      </c>
      <c r="Y543" s="43">
        <f t="shared" si="109"/>
        <v>0.46258729630861323</v>
      </c>
      <c r="Z543" s="43">
        <f t="shared" si="100"/>
        <v>-0.33480629810847112</v>
      </c>
      <c r="AA543" s="43">
        <f t="shared" si="101"/>
        <v>0.47121279431616792</v>
      </c>
      <c r="AB543" s="43">
        <f t="shared" si="102"/>
        <v>0.35567103899632924</v>
      </c>
    </row>
    <row r="544" spans="1:28">
      <c r="A544" s="48" t="s">
        <v>58</v>
      </c>
      <c r="B544" s="50">
        <v>250</v>
      </c>
      <c r="C544" s="50">
        <v>300</v>
      </c>
      <c r="D544" s="50">
        <v>8.57</v>
      </c>
      <c r="E544" s="50">
        <v>322.90573832558522</v>
      </c>
      <c r="F544" s="50">
        <v>7319.1967353799319</v>
      </c>
      <c r="G544" s="57" t="s">
        <v>99</v>
      </c>
      <c r="H544" s="50">
        <v>0.26500000000000001</v>
      </c>
      <c r="I544" s="50">
        <v>53.7</v>
      </c>
      <c r="J544" s="50">
        <v>2477</v>
      </c>
      <c r="K544" s="50">
        <v>4744</v>
      </c>
      <c r="L544" s="50">
        <v>0.65</v>
      </c>
      <c r="M544" s="50">
        <v>352</v>
      </c>
      <c r="N544" s="51">
        <v>174.9</v>
      </c>
      <c r="O544" s="43">
        <f t="shared" si="110"/>
        <v>0.35</v>
      </c>
      <c r="P544" s="43">
        <f t="shared" si="103"/>
        <v>972.68573832558536</v>
      </c>
      <c r="Q544" s="43">
        <f t="shared" si="104"/>
        <v>2.3645450342352654E-5</v>
      </c>
      <c r="R544" s="43">
        <v>35</v>
      </c>
      <c r="S544" s="43">
        <f t="shared" si="105"/>
        <v>0.83333333333333337</v>
      </c>
      <c r="T544" s="43">
        <f t="shared" si="106"/>
        <v>10.738491005728116</v>
      </c>
      <c r="U544" s="43" t="str" cm="1">
        <f t="array" ref="U544">_xlfn.IFS(T544&lt;3,"Group I",T544&lt;5,"Group II",T544&lt;10,"Group III",T544&lt;20,"Group IV",T544&lt;50,"Group V",T544&lt;100,"Group VI",T544&lt;200,"Group VII",T544&lt;500,"Group VIII",T544&lt;1000,"Group IX",TRUE,"Group X")</f>
        <v>Group IV</v>
      </c>
      <c r="V544" s="43">
        <f t="shared" si="107"/>
        <v>1.0309432577202644</v>
      </c>
      <c r="W544" s="43">
        <f t="shared" si="108"/>
        <v>0.44406005586592179</v>
      </c>
      <c r="X544" s="43">
        <f t="shared" si="99"/>
        <v>-0.35255829076961154</v>
      </c>
      <c r="Y544" s="43">
        <f t="shared" si="109"/>
        <v>0.49687500000000001</v>
      </c>
      <c r="Z544" s="43">
        <f t="shared" si="100"/>
        <v>-0.30375285399945451</v>
      </c>
      <c r="AA544" s="43">
        <f t="shared" si="101"/>
        <v>0.58901599289520989</v>
      </c>
      <c r="AB544" s="43">
        <f t="shared" si="102"/>
        <v>0.38011761569982805</v>
      </c>
    </row>
    <row r="545" spans="1:28">
      <c r="A545" s="48" t="s">
        <v>58</v>
      </c>
      <c r="B545" s="50">
        <v>300</v>
      </c>
      <c r="C545" s="50">
        <v>300</v>
      </c>
      <c r="D545" s="50">
        <v>8.57</v>
      </c>
      <c r="E545" s="50">
        <v>322.90573832558522</v>
      </c>
      <c r="F545" s="50">
        <v>7319.1967353799319</v>
      </c>
      <c r="G545" s="57" t="s">
        <v>99</v>
      </c>
      <c r="H545" s="50">
        <v>0.26500000000000001</v>
      </c>
      <c r="I545" s="50">
        <v>53.7</v>
      </c>
      <c r="J545" s="50">
        <v>2477</v>
      </c>
      <c r="K545" s="50">
        <v>4744</v>
      </c>
      <c r="L545" s="50">
        <v>0.65</v>
      </c>
      <c r="M545" s="50">
        <v>370.59</v>
      </c>
      <c r="N545" s="51">
        <v>209</v>
      </c>
      <c r="O545" s="43">
        <f t="shared" si="110"/>
        <v>0.35</v>
      </c>
      <c r="P545" s="43">
        <f t="shared" si="103"/>
        <v>972.68573832558536</v>
      </c>
      <c r="Q545" s="43">
        <f t="shared" si="104"/>
        <v>2.3645450342352654E-5</v>
      </c>
      <c r="R545" s="43">
        <v>35</v>
      </c>
      <c r="S545" s="43">
        <f t="shared" si="105"/>
        <v>1</v>
      </c>
      <c r="T545" s="43">
        <f t="shared" si="106"/>
        <v>12.886189206873739</v>
      </c>
      <c r="U545" s="43" t="str" cm="1">
        <f t="array" ref="U545">_xlfn.IFS(T545&lt;3,"Group I",T545&lt;5,"Group II",T545&lt;10,"Group III",T545&lt;20,"Group IV",T545&lt;50,"Group V",T545&lt;100,"Group VI",T545&lt;200,"Group VII",T545&lt;500,"Group VIII",T545&lt;1000,"Group IX",TRUE,"Group X")</f>
        <v>Group IV</v>
      </c>
      <c r="V545" s="43">
        <f t="shared" si="107"/>
        <v>1.1101245037678893</v>
      </c>
      <c r="W545" s="43">
        <f t="shared" si="108"/>
        <v>0.44406005586592179</v>
      </c>
      <c r="X545" s="43">
        <f t="shared" si="99"/>
        <v>-0.35255829076961154</v>
      </c>
      <c r="Y545" s="43">
        <f t="shared" si="109"/>
        <v>0.56396556841792822</v>
      </c>
      <c r="Z545" s="43">
        <f t="shared" si="100"/>
        <v>-0.24874741002829123</v>
      </c>
      <c r="AA545" s="43">
        <f t="shared" si="101"/>
        <v>0.70681919147425187</v>
      </c>
      <c r="AB545" s="43">
        <f t="shared" si="102"/>
        <v>0.40133412572598887</v>
      </c>
    </row>
    <row r="546" spans="1:28">
      <c r="A546" s="48" t="s">
        <v>58</v>
      </c>
      <c r="B546" s="50">
        <v>100</v>
      </c>
      <c r="C546" s="50">
        <v>600</v>
      </c>
      <c r="D546" s="50">
        <v>8.57</v>
      </c>
      <c r="E546" s="50">
        <v>322.90573832558522</v>
      </c>
      <c r="F546" s="50">
        <v>7319.1967353799319</v>
      </c>
      <c r="G546" s="57" t="s">
        <v>99</v>
      </c>
      <c r="H546" s="50">
        <v>0.26500000000000001</v>
      </c>
      <c r="I546" s="50">
        <v>53.7</v>
      </c>
      <c r="J546" s="50">
        <v>2477</v>
      </c>
      <c r="K546" s="50">
        <v>4744</v>
      </c>
      <c r="L546" s="50">
        <v>0.65</v>
      </c>
      <c r="M546" s="50">
        <v>184.42</v>
      </c>
      <c r="N546" s="51">
        <v>94.48</v>
      </c>
      <c r="O546" s="43">
        <f t="shared" si="110"/>
        <v>0.35</v>
      </c>
      <c r="P546" s="43">
        <f t="shared" si="103"/>
        <v>972.68573832558536</v>
      </c>
      <c r="Q546" s="43">
        <f t="shared" si="104"/>
        <v>2.3645450342352654E-5</v>
      </c>
      <c r="R546" s="43">
        <v>35</v>
      </c>
      <c r="S546" s="43">
        <f t="shared" si="105"/>
        <v>0.16666666666666666</v>
      </c>
      <c r="T546" s="43">
        <f t="shared" si="106"/>
        <v>3.0373039239444402</v>
      </c>
      <c r="U546" s="43" t="str" cm="1">
        <f t="array" ref="U546">_xlfn.IFS(T546&lt;3,"Group I",T546&lt;5,"Group II",T546&lt;10,"Group III",T546&lt;20,"Group IV",T546&lt;50,"Group V",T546&lt;100,"Group VI",T546&lt;200,"Group VII",T546&lt;500,"Group VIII",T546&lt;1000,"Group IX",TRUE,"Group X")</f>
        <v>Group II</v>
      </c>
      <c r="V546" s="43">
        <f t="shared" si="107"/>
        <v>0.48248825121623629</v>
      </c>
      <c r="W546" s="43">
        <f t="shared" si="108"/>
        <v>0.88812011173184358</v>
      </c>
      <c r="X546" s="43">
        <f t="shared" si="99"/>
        <v>-5.1528295105630326E-2</v>
      </c>
      <c r="Y546" s="43">
        <f t="shared" si="109"/>
        <v>0.51230886021038935</v>
      </c>
      <c r="Z546" s="43">
        <f t="shared" si="100"/>
        <v>-0.2904681330808988</v>
      </c>
      <c r="AA546" s="43">
        <f t="shared" si="101"/>
        <v>0.17187368929333319</v>
      </c>
      <c r="AB546" s="43">
        <f t="shared" si="102"/>
        <v>0.26093554903376071</v>
      </c>
    </row>
    <row r="547" spans="1:28">
      <c r="A547" s="48" t="s">
        <v>58</v>
      </c>
      <c r="B547" s="50">
        <v>150</v>
      </c>
      <c r="C547" s="50">
        <v>600</v>
      </c>
      <c r="D547" s="50">
        <v>8.57</v>
      </c>
      <c r="E547" s="50">
        <v>322.90573832558522</v>
      </c>
      <c r="F547" s="50">
        <v>7319.1967353799319</v>
      </c>
      <c r="G547" s="57" t="s">
        <v>99</v>
      </c>
      <c r="H547" s="50">
        <v>0.26500000000000001</v>
      </c>
      <c r="I547" s="50">
        <v>53.7</v>
      </c>
      <c r="J547" s="50">
        <v>2477</v>
      </c>
      <c r="K547" s="50">
        <v>4744</v>
      </c>
      <c r="L547" s="50">
        <v>0.65</v>
      </c>
      <c r="M547" s="50">
        <v>249.72</v>
      </c>
      <c r="N547" s="51">
        <v>125.79</v>
      </c>
      <c r="O547" s="43">
        <f t="shared" si="110"/>
        <v>0.35</v>
      </c>
      <c r="P547" s="43">
        <f t="shared" si="103"/>
        <v>972.68573832558536</v>
      </c>
      <c r="Q547" s="43">
        <f t="shared" si="104"/>
        <v>2.3645450342352654E-5</v>
      </c>
      <c r="R547" s="43">
        <v>35</v>
      </c>
      <c r="S547" s="43">
        <f t="shared" si="105"/>
        <v>0.25</v>
      </c>
      <c r="T547" s="43">
        <f t="shared" si="106"/>
        <v>4.55595588591666</v>
      </c>
      <c r="U547" s="43" t="str" cm="1">
        <f t="array" ref="U547">_xlfn.IFS(T547&lt;3,"Group I",T547&lt;5,"Group II",T547&lt;10,"Group III",T547&lt;20,"Group IV",T547&lt;50,"Group V",T547&lt;100,"Group VI",T547&lt;200,"Group VII",T547&lt;500,"Group VIII",T547&lt;1000,"Group IX",TRUE,"Group X")</f>
        <v>Group II</v>
      </c>
      <c r="V547" s="43">
        <f t="shared" si="107"/>
        <v>0.65857951027191752</v>
      </c>
      <c r="W547" s="43">
        <f t="shared" si="108"/>
        <v>0.88812011173184358</v>
      </c>
      <c r="X547" s="43">
        <f t="shared" si="99"/>
        <v>-5.1528295105630326E-2</v>
      </c>
      <c r="Y547" s="43">
        <f t="shared" si="109"/>
        <v>0.50372417107160017</v>
      </c>
      <c r="Z547" s="43">
        <f t="shared" si="100"/>
        <v>-0.29780720913602116</v>
      </c>
      <c r="AA547" s="43">
        <f t="shared" si="101"/>
        <v>0.25781053393999975</v>
      </c>
      <c r="AB547" s="43">
        <f t="shared" si="102"/>
        <v>0.29443595052836469</v>
      </c>
    </row>
    <row r="548" spans="1:28">
      <c r="A548" s="48" t="s">
        <v>58</v>
      </c>
      <c r="B548" s="50">
        <v>200</v>
      </c>
      <c r="C548" s="50">
        <v>600</v>
      </c>
      <c r="D548" s="50">
        <v>8.57</v>
      </c>
      <c r="E548" s="50">
        <v>322.90573832558522</v>
      </c>
      <c r="F548" s="50">
        <v>7319.1967353799319</v>
      </c>
      <c r="G548" s="57" t="s">
        <v>99</v>
      </c>
      <c r="H548" s="50">
        <v>0.26500000000000001</v>
      </c>
      <c r="I548" s="50">
        <v>53.7</v>
      </c>
      <c r="J548" s="50">
        <v>2477</v>
      </c>
      <c r="K548" s="50">
        <v>4744</v>
      </c>
      <c r="L548" s="50">
        <v>0.65</v>
      </c>
      <c r="M548" s="50">
        <v>301</v>
      </c>
      <c r="N548" s="51">
        <v>144.47</v>
      </c>
      <c r="O548" s="43">
        <f t="shared" si="110"/>
        <v>0.35</v>
      </c>
      <c r="P548" s="43">
        <f t="shared" si="103"/>
        <v>972.68573832558536</v>
      </c>
      <c r="Q548" s="43">
        <f t="shared" si="104"/>
        <v>2.3645450342352654E-5</v>
      </c>
      <c r="R548" s="43">
        <v>35</v>
      </c>
      <c r="S548" s="43">
        <f t="shared" si="105"/>
        <v>0.33333333333333331</v>
      </c>
      <c r="T548" s="43">
        <f t="shared" si="106"/>
        <v>6.0746078478888803</v>
      </c>
      <c r="U548" s="43" t="str" cm="1">
        <f t="array" ref="U548">_xlfn.IFS(T548&lt;3,"Group I",T548&lt;5,"Group II",T548&lt;10,"Group III",T548&lt;20,"Group IV",T548&lt;50,"Group V",T548&lt;100,"Group VI",T548&lt;200,"Group VII",T548&lt;500,"Group VIII",T548&lt;1000,"Group IX",TRUE,"Group X")</f>
        <v>Group III</v>
      </c>
      <c r="V548" s="43">
        <f t="shared" si="107"/>
        <v>0.78351824688021743</v>
      </c>
      <c r="W548" s="43">
        <f t="shared" si="108"/>
        <v>0.88812011173184358</v>
      </c>
      <c r="X548" s="43">
        <f t="shared" ref="X548:X611" si="111">LOG(W548)</f>
        <v>-5.1528295105630326E-2</v>
      </c>
      <c r="Y548" s="43">
        <f t="shared" si="109"/>
        <v>0.47996677740863786</v>
      </c>
      <c r="Z548" s="43">
        <f t="shared" ref="Z548:Z611" si="112">LOG(Y548)</f>
        <v>-0.31878882280659493</v>
      </c>
      <c r="AA548" s="43">
        <f t="shared" ref="AA548:AA611" si="113">(10^-0.7321)*W548^0.04497*T548*0.307</f>
        <v>0.34374737858666637</v>
      </c>
      <c r="AB548" s="43">
        <f t="shared" ref="AB548:AB611" si="114">(10^-0.7272)*T548^0.2979</f>
        <v>0.32078207014114829</v>
      </c>
    </row>
    <row r="549" spans="1:28">
      <c r="A549" s="48" t="s">
        <v>58</v>
      </c>
      <c r="B549" s="50">
        <v>250</v>
      </c>
      <c r="C549" s="50">
        <v>600</v>
      </c>
      <c r="D549" s="50">
        <v>8.57</v>
      </c>
      <c r="E549" s="50">
        <v>322.90573832558522</v>
      </c>
      <c r="F549" s="50">
        <v>7319.1967353799319</v>
      </c>
      <c r="G549" s="57" t="s">
        <v>99</v>
      </c>
      <c r="H549" s="50">
        <v>0.26500000000000001</v>
      </c>
      <c r="I549" s="50">
        <v>53.7</v>
      </c>
      <c r="J549" s="50">
        <v>2477</v>
      </c>
      <c r="K549" s="50">
        <v>4744</v>
      </c>
      <c r="L549" s="50">
        <v>0.65</v>
      </c>
      <c r="M549" s="50">
        <v>341.7</v>
      </c>
      <c r="N549" s="51">
        <v>159</v>
      </c>
      <c r="O549" s="43">
        <f t="shared" si="110"/>
        <v>0.35</v>
      </c>
      <c r="P549" s="43">
        <f t="shared" si="103"/>
        <v>972.68573832558536</v>
      </c>
      <c r="Q549" s="43">
        <f t="shared" si="104"/>
        <v>2.3645450342352654E-5</v>
      </c>
      <c r="R549" s="43">
        <v>35</v>
      </c>
      <c r="S549" s="43">
        <f t="shared" si="105"/>
        <v>0.41666666666666669</v>
      </c>
      <c r="T549" s="43">
        <f t="shared" si="106"/>
        <v>7.5932598098610997</v>
      </c>
      <c r="U549" s="43" t="str" cm="1">
        <f t="array" ref="U549">_xlfn.IFS(T549&lt;3,"Group I",T549&lt;5,"Group II",T549&lt;10,"Group III",T549&lt;20,"Group IV",T549&lt;50,"Group V",T549&lt;100,"Group VI",T549&lt;200,"Group VII",T549&lt;500,"Group VIII",T549&lt;1000,"Group IX",TRUE,"Group X")</f>
        <v>Group III</v>
      </c>
      <c r="V549" s="43">
        <f t="shared" si="107"/>
        <v>0.88042825988827389</v>
      </c>
      <c r="W549" s="43">
        <f t="shared" si="108"/>
        <v>0.88812011173184358</v>
      </c>
      <c r="X549" s="43">
        <f t="shared" si="111"/>
        <v>-5.1528295105630326E-2</v>
      </c>
      <c r="Y549" s="43">
        <f t="shared" si="109"/>
        <v>0.46532045654082532</v>
      </c>
      <c r="Z549" s="43">
        <f t="shared" si="112"/>
        <v>-0.33224785447831129</v>
      </c>
      <c r="AA549" s="43">
        <f t="shared" si="113"/>
        <v>0.429684223233333</v>
      </c>
      <c r="AB549" s="43">
        <f t="shared" si="114"/>
        <v>0.34283059988633691</v>
      </c>
    </row>
    <row r="550" spans="1:28">
      <c r="A550" s="48" t="s">
        <v>58</v>
      </c>
      <c r="B550" s="50">
        <v>300</v>
      </c>
      <c r="C550" s="50">
        <v>600</v>
      </c>
      <c r="D550" s="50">
        <v>8.57</v>
      </c>
      <c r="E550" s="50">
        <v>322.90573832558522</v>
      </c>
      <c r="F550" s="50">
        <v>7319.1967353799319</v>
      </c>
      <c r="G550" s="57" t="s">
        <v>99</v>
      </c>
      <c r="H550" s="50">
        <v>0.26500000000000001</v>
      </c>
      <c r="I550" s="50">
        <v>53.7</v>
      </c>
      <c r="J550" s="50">
        <v>2477</v>
      </c>
      <c r="K550" s="50">
        <v>4744</v>
      </c>
      <c r="L550" s="50">
        <v>0.65</v>
      </c>
      <c r="M550" s="50">
        <v>385.77</v>
      </c>
      <c r="N550" s="51">
        <v>191.6</v>
      </c>
      <c r="O550" s="43">
        <f t="shared" si="110"/>
        <v>0.35</v>
      </c>
      <c r="P550" s="43">
        <f t="shared" si="103"/>
        <v>972.68573832558536</v>
      </c>
      <c r="Q550" s="43">
        <f t="shared" si="104"/>
        <v>2.3645450342352654E-5</v>
      </c>
      <c r="R550" s="43">
        <v>35</v>
      </c>
      <c r="S550" s="43">
        <f t="shared" si="105"/>
        <v>0.5</v>
      </c>
      <c r="T550" s="43">
        <f t="shared" si="106"/>
        <v>9.11191177183332</v>
      </c>
      <c r="U550" s="43" t="str" cm="1">
        <f t="array" ref="U550">_xlfn.IFS(T550&lt;3,"Group I",T550&lt;5,"Group II",T550&lt;10,"Group III",T550&lt;20,"Group IV",T550&lt;50,"Group V",T550&lt;100,"Group VI",T550&lt;200,"Group VII",T550&lt;500,"Group VIII",T550&lt;1000,"Group IX",TRUE,"Group X")</f>
        <v>Group III</v>
      </c>
      <c r="V550" s="43">
        <f t="shared" si="107"/>
        <v>0.95960950593589867</v>
      </c>
      <c r="W550" s="43">
        <f t="shared" si="108"/>
        <v>0.88812011173184358</v>
      </c>
      <c r="X550" s="43">
        <f t="shared" si="111"/>
        <v>-5.1528295105630326E-2</v>
      </c>
      <c r="Y550" s="43">
        <f t="shared" si="109"/>
        <v>0.49666899966301165</v>
      </c>
      <c r="Z550" s="43">
        <f t="shared" si="112"/>
        <v>-0.30393294629720197</v>
      </c>
      <c r="AA550" s="43">
        <f t="shared" si="113"/>
        <v>0.51562106787999951</v>
      </c>
      <c r="AB550" s="43">
        <f t="shared" si="114"/>
        <v>0.36196591106198911</v>
      </c>
    </row>
    <row r="551" spans="1:28">
      <c r="A551" s="48" t="s">
        <v>58</v>
      </c>
      <c r="B551" s="50">
        <v>100</v>
      </c>
      <c r="C551" s="50">
        <v>900</v>
      </c>
      <c r="D551" s="50">
        <v>8.57</v>
      </c>
      <c r="E551" s="50">
        <v>322.90573832558522</v>
      </c>
      <c r="F551" s="50">
        <v>7319.1967353799319</v>
      </c>
      <c r="G551" s="57" t="s">
        <v>99</v>
      </c>
      <c r="H551" s="50">
        <v>0.26500000000000001</v>
      </c>
      <c r="I551" s="50">
        <v>53.7</v>
      </c>
      <c r="J551" s="50">
        <v>2477</v>
      </c>
      <c r="K551" s="50">
        <v>4744</v>
      </c>
      <c r="L551" s="50">
        <v>0.65</v>
      </c>
      <c r="M551" s="50">
        <v>237.53</v>
      </c>
      <c r="N551" s="51">
        <v>119.32</v>
      </c>
      <c r="O551" s="43">
        <f t="shared" si="110"/>
        <v>0.35</v>
      </c>
      <c r="P551" s="43">
        <f t="shared" si="103"/>
        <v>972.68573832558536</v>
      </c>
      <c r="Q551" s="43">
        <f t="shared" si="104"/>
        <v>2.3645450342352654E-5</v>
      </c>
      <c r="R551" s="43">
        <v>35</v>
      </c>
      <c r="S551" s="43">
        <f t="shared" si="105"/>
        <v>0.1111111111111111</v>
      </c>
      <c r="T551" s="43">
        <f t="shared" si="106"/>
        <v>2.4799482691390011</v>
      </c>
      <c r="U551" s="43" t="str" cm="1">
        <f t="array" ref="U551">_xlfn.IFS(T551&lt;3,"Group I",T551&lt;5,"Group II",T551&lt;10,"Group III",T551&lt;20,"Group IV",T551&lt;50,"Group V",T551&lt;100,"Group VI",T551&lt;200,"Group VII",T551&lt;500,"Group VIII",T551&lt;1000,"Group IX",TRUE,"Group X")</f>
        <v>Group I</v>
      </c>
      <c r="V551" s="43">
        <f t="shared" si="107"/>
        <v>0.39444262168839561</v>
      </c>
      <c r="W551" s="43">
        <f t="shared" si="108"/>
        <v>1.3321801675977656</v>
      </c>
      <c r="X551" s="43">
        <f t="shared" si="111"/>
        <v>0.12456296395005099</v>
      </c>
      <c r="Y551" s="43">
        <f t="shared" si="109"/>
        <v>0.50233654696248897</v>
      </c>
      <c r="Z551" s="43">
        <f t="shared" si="112"/>
        <v>-0.29900522405676611</v>
      </c>
      <c r="AA551" s="43">
        <f t="shared" si="113"/>
        <v>0.14291657298590313</v>
      </c>
      <c r="AB551" s="43">
        <f t="shared" si="114"/>
        <v>0.24564303636165669</v>
      </c>
    </row>
    <row r="552" spans="1:28">
      <c r="A552" s="48" t="s">
        <v>58</v>
      </c>
      <c r="B552" s="50">
        <v>150</v>
      </c>
      <c r="C552" s="50">
        <v>900</v>
      </c>
      <c r="D552" s="50">
        <v>8.57</v>
      </c>
      <c r="E552" s="50">
        <v>322.90573832558522</v>
      </c>
      <c r="F552" s="50">
        <v>7319.1967353799319</v>
      </c>
      <c r="G552" s="57" t="s">
        <v>99</v>
      </c>
      <c r="H552" s="50">
        <v>0.26500000000000001</v>
      </c>
      <c r="I552" s="50">
        <v>53.7</v>
      </c>
      <c r="J552" s="50">
        <v>2477</v>
      </c>
      <c r="K552" s="50">
        <v>4744</v>
      </c>
      <c r="L552" s="50">
        <v>0.65</v>
      </c>
      <c r="M552" s="50">
        <v>432</v>
      </c>
      <c r="N552" s="51">
        <v>202.59</v>
      </c>
      <c r="O552" s="43">
        <f t="shared" si="110"/>
        <v>0.35</v>
      </c>
      <c r="P552" s="43">
        <f t="shared" si="103"/>
        <v>972.68573832558536</v>
      </c>
      <c r="Q552" s="43">
        <f t="shared" si="104"/>
        <v>2.3645450342352654E-5</v>
      </c>
      <c r="R552" s="43">
        <v>35</v>
      </c>
      <c r="S552" s="43">
        <f t="shared" si="105"/>
        <v>0.16666666666666666</v>
      </c>
      <c r="T552" s="43">
        <f t="shared" si="106"/>
        <v>3.7199224037085017</v>
      </c>
      <c r="U552" s="43" t="str" cm="1">
        <f t="array" ref="U552">_xlfn.IFS(T552&lt;3,"Group I",T552&lt;5,"Group II",T552&lt;10,"Group III",T552&lt;20,"Group IV",T552&lt;50,"Group V",T552&lt;100,"Group VI",T552&lt;200,"Group VII",T552&lt;500,"Group VIII",T552&lt;1000,"Group IX",TRUE,"Group X")</f>
        <v>Group II</v>
      </c>
      <c r="V552" s="43">
        <f t="shared" si="107"/>
        <v>0.57053388074407685</v>
      </c>
      <c r="W552" s="43">
        <f t="shared" si="108"/>
        <v>1.3321801675977656</v>
      </c>
      <c r="X552" s="43">
        <f t="shared" si="111"/>
        <v>0.12456296395005099</v>
      </c>
      <c r="Y552" s="43">
        <f t="shared" si="109"/>
        <v>0.46895833333333337</v>
      </c>
      <c r="Z552" s="43">
        <f t="shared" si="112"/>
        <v>-0.32886574237506722</v>
      </c>
      <c r="AA552" s="43">
        <f t="shared" si="113"/>
        <v>0.21437485947885471</v>
      </c>
      <c r="AB552" s="43">
        <f t="shared" si="114"/>
        <v>0.27718009742114613</v>
      </c>
    </row>
    <row r="553" spans="1:28">
      <c r="A553" s="48" t="s">
        <v>58</v>
      </c>
      <c r="B553" s="50">
        <v>200</v>
      </c>
      <c r="C553" s="50">
        <v>900</v>
      </c>
      <c r="D553" s="50">
        <v>8.57</v>
      </c>
      <c r="E553" s="50">
        <v>322.90573832558522</v>
      </c>
      <c r="F553" s="50">
        <v>7319.1967353799319</v>
      </c>
      <c r="G553" s="57" t="s">
        <v>99</v>
      </c>
      <c r="H553" s="50">
        <v>0.26500000000000001</v>
      </c>
      <c r="I553" s="50">
        <v>53.7</v>
      </c>
      <c r="J553" s="50">
        <v>2477</v>
      </c>
      <c r="K553" s="50">
        <v>4744</v>
      </c>
      <c r="L553" s="50">
        <v>0.65</v>
      </c>
      <c r="M553" s="50">
        <v>363.34</v>
      </c>
      <c r="N553" s="51">
        <v>215.56</v>
      </c>
      <c r="O553" s="43">
        <f t="shared" si="110"/>
        <v>0.35</v>
      </c>
      <c r="P553" s="43">
        <f t="shared" si="103"/>
        <v>972.68573832558536</v>
      </c>
      <c r="Q553" s="43">
        <f t="shared" si="104"/>
        <v>2.3645450342352654E-5</v>
      </c>
      <c r="R553" s="43">
        <v>35</v>
      </c>
      <c r="S553" s="43">
        <f t="shared" si="105"/>
        <v>0.22222222222222221</v>
      </c>
      <c r="T553" s="43">
        <f t="shared" si="106"/>
        <v>4.9598965382780023</v>
      </c>
      <c r="U553" s="43" t="str" cm="1">
        <f t="array" ref="U553">_xlfn.IFS(T553&lt;3,"Group I",T553&lt;5,"Group II",T553&lt;10,"Group III",T553&lt;20,"Group IV",T553&lt;50,"Group V",T553&lt;100,"Group VI",T553&lt;200,"Group VII",T553&lt;500,"Group VIII",T553&lt;1000,"Group IX",TRUE,"Group X")</f>
        <v>Group II</v>
      </c>
      <c r="V553" s="43">
        <f t="shared" si="107"/>
        <v>0.69547261735237675</v>
      </c>
      <c r="W553" s="43">
        <f t="shared" si="108"/>
        <v>1.3321801675977656</v>
      </c>
      <c r="X553" s="43">
        <f t="shared" si="111"/>
        <v>0.12456296395005099</v>
      </c>
      <c r="Y553" s="43">
        <f t="shared" si="109"/>
        <v>0.59327351791710248</v>
      </c>
      <c r="Z553" s="43">
        <f t="shared" si="112"/>
        <v>-0.22674503692995682</v>
      </c>
      <c r="AA553" s="43">
        <f t="shared" si="113"/>
        <v>0.28583314597180626</v>
      </c>
      <c r="AB553" s="43">
        <f t="shared" si="114"/>
        <v>0.30198216383944854</v>
      </c>
    </row>
    <row r="554" spans="1:28">
      <c r="A554" s="48" t="s">
        <v>58</v>
      </c>
      <c r="B554" s="50">
        <v>250</v>
      </c>
      <c r="C554" s="50">
        <v>900</v>
      </c>
      <c r="D554" s="50">
        <v>8.57</v>
      </c>
      <c r="E554" s="50">
        <v>322.90573832558522</v>
      </c>
      <c r="F554" s="50">
        <v>7319.1967353799319</v>
      </c>
      <c r="G554" s="57" t="s">
        <v>99</v>
      </c>
      <c r="H554" s="50">
        <v>0.26500000000000001</v>
      </c>
      <c r="I554" s="50">
        <v>53.7</v>
      </c>
      <c r="J554" s="50">
        <v>2477</v>
      </c>
      <c r="K554" s="50">
        <v>4744</v>
      </c>
      <c r="L554" s="50">
        <v>0.65</v>
      </c>
      <c r="M554" s="50">
        <v>360.57</v>
      </c>
      <c r="N554" s="51">
        <v>231</v>
      </c>
      <c r="O554" s="43">
        <f t="shared" si="110"/>
        <v>0.35</v>
      </c>
      <c r="P554" s="43">
        <f t="shared" si="103"/>
        <v>972.68573832558536</v>
      </c>
      <c r="Q554" s="43">
        <f t="shared" si="104"/>
        <v>2.3645450342352654E-5</v>
      </c>
      <c r="R554" s="43">
        <v>35</v>
      </c>
      <c r="S554" s="43">
        <f t="shared" si="105"/>
        <v>0.27777777777777779</v>
      </c>
      <c r="T554" s="43">
        <f t="shared" si="106"/>
        <v>6.1998706728475028</v>
      </c>
      <c r="U554" s="43" t="str" cm="1">
        <f t="array" ref="U554">_xlfn.IFS(T554&lt;3,"Group I",T554&lt;5,"Group II",T554&lt;10,"Group III",T554&lt;20,"Group IV",T554&lt;50,"Group V",T554&lt;100,"Group VI",T554&lt;200,"Group VII",T554&lt;500,"Group VIII",T554&lt;1000,"Group IX",TRUE,"Group X")</f>
        <v>Group III</v>
      </c>
      <c r="V554" s="43">
        <f t="shared" si="107"/>
        <v>0.79238263036043322</v>
      </c>
      <c r="W554" s="43">
        <f t="shared" si="108"/>
        <v>1.3321801675977656</v>
      </c>
      <c r="X554" s="43">
        <f t="shared" si="111"/>
        <v>0.12456296395005099</v>
      </c>
      <c r="Y554" s="43">
        <f t="shared" si="109"/>
        <v>0.6406523005241701</v>
      </c>
      <c r="Z554" s="43">
        <f t="shared" si="112"/>
        <v>-0.19337761000269144</v>
      </c>
      <c r="AA554" s="43">
        <f t="shared" si="113"/>
        <v>0.35729143246475786</v>
      </c>
      <c r="AB554" s="43">
        <f t="shared" si="114"/>
        <v>0.32273850698232059</v>
      </c>
    </row>
    <row r="555" spans="1:28" ht="18.600000000000001" thickBot="1">
      <c r="A555" s="53" t="s">
        <v>58</v>
      </c>
      <c r="B555" s="54">
        <v>300</v>
      </c>
      <c r="C555" s="54">
        <v>900</v>
      </c>
      <c r="D555" s="54">
        <v>8.57</v>
      </c>
      <c r="E555" s="54">
        <v>322.90573832558522</v>
      </c>
      <c r="F555" s="54">
        <v>7319.1967353799319</v>
      </c>
      <c r="G555" s="57" t="s">
        <v>99</v>
      </c>
      <c r="H555" s="54">
        <v>0.26500000000000001</v>
      </c>
      <c r="I555" s="54">
        <v>53.7</v>
      </c>
      <c r="J555" s="54">
        <v>2477</v>
      </c>
      <c r="K555" s="54">
        <v>4744</v>
      </c>
      <c r="L555" s="54">
        <v>0.65</v>
      </c>
      <c r="M555" s="54">
        <v>548</v>
      </c>
      <c r="N555" s="55">
        <v>159</v>
      </c>
      <c r="O555" s="43">
        <f t="shared" si="110"/>
        <v>0.35</v>
      </c>
      <c r="P555" s="43">
        <f t="shared" si="103"/>
        <v>972.68573832558536</v>
      </c>
      <c r="Q555" s="43">
        <f t="shared" si="104"/>
        <v>2.3645450342352654E-5</v>
      </c>
      <c r="R555" s="43">
        <v>35</v>
      </c>
      <c r="S555" s="43">
        <f t="shared" si="105"/>
        <v>0.33333333333333331</v>
      </c>
      <c r="T555" s="43">
        <f t="shared" si="106"/>
        <v>7.4398448074170034</v>
      </c>
      <c r="U555" s="43" t="str" cm="1">
        <f t="array" ref="U555">_xlfn.IFS(T555&lt;3,"Group I",T555&lt;5,"Group II",T555&lt;10,"Group III",T555&lt;20,"Group IV",T555&lt;50,"Group V",T555&lt;100,"Group VI",T555&lt;200,"Group VII",T555&lt;500,"Group VIII",T555&lt;1000,"Group IX",TRUE,"Group X")</f>
        <v>Group III</v>
      </c>
      <c r="V555" s="43">
        <f t="shared" si="107"/>
        <v>0.87156387640805799</v>
      </c>
      <c r="W555" s="43">
        <f t="shared" si="108"/>
        <v>1.3321801675977656</v>
      </c>
      <c r="X555" s="43">
        <f t="shared" si="111"/>
        <v>0.12456296395005099</v>
      </c>
      <c r="Y555" s="43">
        <f t="shared" si="109"/>
        <v>0.29014598540145986</v>
      </c>
      <c r="Z555" s="43">
        <f t="shared" si="112"/>
        <v>-0.53738343416391765</v>
      </c>
      <c r="AA555" s="43">
        <f t="shared" si="113"/>
        <v>0.42874971895770941</v>
      </c>
      <c r="AB555" s="43">
        <f t="shared" si="114"/>
        <v>0.3407523650262631</v>
      </c>
    </row>
    <row r="556" spans="1:28">
      <c r="A556" s="56" t="s">
        <v>59</v>
      </c>
      <c r="B556" s="57">
        <v>200</v>
      </c>
      <c r="C556" s="57">
        <v>200</v>
      </c>
      <c r="D556" s="57">
        <v>10.28</v>
      </c>
      <c r="E556" s="57">
        <v>375.19541427826994</v>
      </c>
      <c r="F556" s="57">
        <v>6253.2569046378321</v>
      </c>
      <c r="G556" s="57" t="s">
        <v>100</v>
      </c>
      <c r="H556" s="57">
        <v>0.251</v>
      </c>
      <c r="I556" s="57">
        <v>138</v>
      </c>
      <c r="J556" s="57">
        <v>2623</v>
      </c>
      <c r="K556" s="57">
        <v>4639</v>
      </c>
      <c r="L556" s="57">
        <v>0.7</v>
      </c>
      <c r="M556" s="57">
        <v>154.19999999999999</v>
      </c>
      <c r="N556" s="58">
        <v>86.19</v>
      </c>
      <c r="O556" s="43">
        <f t="shared" si="110"/>
        <v>0.30000000000000004</v>
      </c>
      <c r="P556" s="43">
        <f t="shared" si="103"/>
        <v>1027.2934142782699</v>
      </c>
      <c r="Q556" s="43">
        <f t="shared" si="104"/>
        <v>5.3482567783341353E-5</v>
      </c>
      <c r="R556" s="43">
        <v>35</v>
      </c>
      <c r="S556" s="43">
        <f t="shared" si="105"/>
        <v>1</v>
      </c>
      <c r="T556" s="43">
        <f t="shared" si="106"/>
        <v>4.7333160722987619</v>
      </c>
      <c r="U556" s="43" t="str" cm="1">
        <f t="array" ref="U556">_xlfn.IFS(T556&lt;3,"Group I",T556&lt;5,"Group II",T556&lt;10,"Group III",T556&lt;20,"Group IV",T556&lt;50,"Group V",T556&lt;100,"Group VI",T556&lt;200,"Group VII",T556&lt;500,"Group VIII",T556&lt;1000,"Group IX",TRUE,"Group X")</f>
        <v>Group II</v>
      </c>
      <c r="V556" s="43">
        <f t="shared" si="107"/>
        <v>0.67516550591992897</v>
      </c>
      <c r="W556" s="43">
        <f t="shared" si="108"/>
        <v>0.13088376811594199</v>
      </c>
      <c r="X556" s="43">
        <f t="shared" si="111"/>
        <v>-0.88311421024668479</v>
      </c>
      <c r="Y556" s="43">
        <f t="shared" si="109"/>
        <v>0.55894941634241246</v>
      </c>
      <c r="Z556" s="43">
        <f t="shared" si="112"/>
        <v>-0.25262749300332826</v>
      </c>
      <c r="AA556" s="43">
        <f t="shared" si="113"/>
        <v>0.24574813768058523</v>
      </c>
      <c r="AB556" s="43">
        <f t="shared" si="114"/>
        <v>0.29780487598366279</v>
      </c>
    </row>
    <row r="557" spans="1:28">
      <c r="A557" s="48" t="s">
        <v>59</v>
      </c>
      <c r="B557" s="50">
        <v>200</v>
      </c>
      <c r="C557" s="50">
        <v>400</v>
      </c>
      <c r="D557" s="50">
        <v>10.28</v>
      </c>
      <c r="E557" s="50">
        <v>375.19541427826994</v>
      </c>
      <c r="F557" s="50">
        <v>6253.2569046378321</v>
      </c>
      <c r="G557" s="57" t="s">
        <v>100</v>
      </c>
      <c r="H557" s="50">
        <v>0.251</v>
      </c>
      <c r="I557" s="50">
        <v>138</v>
      </c>
      <c r="J557" s="50">
        <v>2623</v>
      </c>
      <c r="K557" s="50">
        <v>4639</v>
      </c>
      <c r="L557" s="50">
        <v>0.7</v>
      </c>
      <c r="M557" s="50">
        <v>100.11</v>
      </c>
      <c r="N557" s="51">
        <v>52.49</v>
      </c>
      <c r="O557" s="43">
        <f t="shared" si="110"/>
        <v>0.30000000000000004</v>
      </c>
      <c r="P557" s="43">
        <f t="shared" si="103"/>
        <v>1027.2934142782699</v>
      </c>
      <c r="Q557" s="43">
        <f t="shared" si="104"/>
        <v>5.3482567783341353E-5</v>
      </c>
      <c r="R557" s="43">
        <v>35</v>
      </c>
      <c r="S557" s="43">
        <f t="shared" si="105"/>
        <v>0.5</v>
      </c>
      <c r="T557" s="43">
        <f t="shared" si="106"/>
        <v>3.346959892221729</v>
      </c>
      <c r="U557" s="43" t="str" cm="1">
        <f t="array" ref="U557">_xlfn.IFS(T557&lt;3,"Group I",T557&lt;5,"Group II",T557&lt;10,"Group III",T557&lt;20,"Group IV",T557&lt;50,"Group V",T557&lt;100,"Group VI",T557&lt;200,"Group VII",T557&lt;500,"Group VIII",T557&lt;1000,"Group IX",TRUE,"Group X")</f>
        <v>Group II</v>
      </c>
      <c r="V557" s="43">
        <f t="shared" si="107"/>
        <v>0.52465050808793834</v>
      </c>
      <c r="W557" s="43">
        <f t="shared" si="108"/>
        <v>0.26176753623188398</v>
      </c>
      <c r="X557" s="43">
        <f t="shared" si="111"/>
        <v>-0.58208421458270354</v>
      </c>
      <c r="Y557" s="43">
        <f t="shared" si="109"/>
        <v>0.52432324443112577</v>
      </c>
      <c r="Z557" s="43">
        <f t="shared" si="112"/>
        <v>-0.28040088860631457</v>
      </c>
      <c r="AA557" s="43">
        <f t="shared" si="113"/>
        <v>0.17927203832155766</v>
      </c>
      <c r="AB557" s="43">
        <f t="shared" si="114"/>
        <v>0.26859219374663001</v>
      </c>
    </row>
    <row r="558" spans="1:28">
      <c r="A558" s="48" t="s">
        <v>59</v>
      </c>
      <c r="B558" s="50">
        <v>200</v>
      </c>
      <c r="C558" s="50">
        <v>600</v>
      </c>
      <c r="D558" s="50">
        <v>10.28</v>
      </c>
      <c r="E558" s="50">
        <v>375.19541427826994</v>
      </c>
      <c r="F558" s="50">
        <v>6253.2569046378321</v>
      </c>
      <c r="G558" s="57" t="s">
        <v>100</v>
      </c>
      <c r="H558" s="50">
        <v>0.251</v>
      </c>
      <c r="I558" s="50">
        <v>138</v>
      </c>
      <c r="J558" s="50">
        <v>2623</v>
      </c>
      <c r="K558" s="50">
        <v>4639</v>
      </c>
      <c r="L558" s="50">
        <v>0.7</v>
      </c>
      <c r="M558" s="50">
        <v>82.56</v>
      </c>
      <c r="N558" s="51">
        <v>44.47</v>
      </c>
      <c r="O558" s="43">
        <f t="shared" si="110"/>
        <v>0.30000000000000004</v>
      </c>
      <c r="P558" s="43">
        <f t="shared" si="103"/>
        <v>1027.2934142782699</v>
      </c>
      <c r="Q558" s="43">
        <f t="shared" si="104"/>
        <v>5.3482567783341353E-5</v>
      </c>
      <c r="R558" s="43">
        <v>35</v>
      </c>
      <c r="S558" s="43">
        <f t="shared" si="105"/>
        <v>0.33333333333333331</v>
      </c>
      <c r="T558" s="43">
        <f t="shared" si="106"/>
        <v>2.7327813085012722</v>
      </c>
      <c r="U558" s="43" t="str" cm="1">
        <f t="array" ref="U558">_xlfn.IFS(T558&lt;3,"Group I",T558&lt;5,"Group II",T558&lt;10,"Group III",T558&lt;20,"Group IV",T558&lt;50,"Group V",T558&lt;100,"Group VI",T558&lt;200,"Group VII",T558&lt;500,"Group VIII",T558&lt;1000,"Group IX",TRUE,"Group X")</f>
        <v>Group I</v>
      </c>
      <c r="V558" s="43">
        <f t="shared" si="107"/>
        <v>0.43660487856009772</v>
      </c>
      <c r="W558" s="43">
        <f t="shared" si="108"/>
        <v>0.39265130434782597</v>
      </c>
      <c r="X558" s="43">
        <f t="shared" si="111"/>
        <v>-0.4059929555270223</v>
      </c>
      <c r="Y558" s="43">
        <f t="shared" si="109"/>
        <v>0.53863856589147285</v>
      </c>
      <c r="Z558" s="43">
        <f t="shared" si="112"/>
        <v>-0.26870255483420152</v>
      </c>
      <c r="AA558" s="43">
        <f t="shared" si="113"/>
        <v>0.14906845518040751</v>
      </c>
      <c r="AB558" s="43">
        <f t="shared" si="114"/>
        <v>0.25285095211930725</v>
      </c>
    </row>
    <row r="559" spans="1:28">
      <c r="A559" s="48" t="s">
        <v>59</v>
      </c>
      <c r="B559" s="50">
        <v>200</v>
      </c>
      <c r="C559" s="50">
        <v>800</v>
      </c>
      <c r="D559" s="50">
        <v>10.28</v>
      </c>
      <c r="E559" s="50">
        <v>375.19541427826994</v>
      </c>
      <c r="F559" s="50">
        <v>6253.2569046378321</v>
      </c>
      <c r="G559" s="57" t="s">
        <v>100</v>
      </c>
      <c r="H559" s="50">
        <v>0.251</v>
      </c>
      <c r="I559" s="50">
        <v>138</v>
      </c>
      <c r="J559" s="50">
        <v>2623</v>
      </c>
      <c r="K559" s="50">
        <v>4639</v>
      </c>
      <c r="L559" s="50">
        <v>0.7</v>
      </c>
      <c r="M559" s="50">
        <v>53</v>
      </c>
      <c r="N559" s="51">
        <v>27.23</v>
      </c>
      <c r="O559" s="43">
        <f t="shared" si="110"/>
        <v>0.30000000000000004</v>
      </c>
      <c r="P559" s="43">
        <f t="shared" si="103"/>
        <v>1027.2934142782699</v>
      </c>
      <c r="Q559" s="43">
        <f t="shared" si="104"/>
        <v>5.3482567783341353E-5</v>
      </c>
      <c r="R559" s="43">
        <v>35</v>
      </c>
      <c r="S559" s="43">
        <f t="shared" si="105"/>
        <v>0.25</v>
      </c>
      <c r="T559" s="43">
        <f t="shared" si="106"/>
        <v>2.366658036149381</v>
      </c>
      <c r="U559" s="43" t="str" cm="1">
        <f t="array" ref="U559">_xlfn.IFS(T559&lt;3,"Group I",T559&lt;5,"Group II",T559&lt;10,"Group III",T559&lt;20,"Group IV",T559&lt;50,"Group V",T559&lt;100,"Group VI",T559&lt;200,"Group VII",T559&lt;500,"Group VIII",T559&lt;1000,"Group IX",TRUE,"Group X")</f>
        <v>Group I</v>
      </c>
      <c r="V559" s="43">
        <f t="shared" si="107"/>
        <v>0.37413551025594777</v>
      </c>
      <c r="W559" s="43">
        <f t="shared" si="108"/>
        <v>0.52353507246376796</v>
      </c>
      <c r="X559" s="43">
        <f t="shared" si="111"/>
        <v>-0.28105421891872234</v>
      </c>
      <c r="Y559" s="43">
        <f t="shared" si="109"/>
        <v>0.51377358490566039</v>
      </c>
      <c r="Z559" s="43">
        <f t="shared" si="112"/>
        <v>-0.28922822826082445</v>
      </c>
      <c r="AA559" s="43">
        <f t="shared" si="113"/>
        <v>0.13077805605077869</v>
      </c>
      <c r="AB559" s="43">
        <f t="shared" si="114"/>
        <v>0.24224508179505044</v>
      </c>
    </row>
    <row r="560" spans="1:28">
      <c r="A560" s="48" t="s">
        <v>59</v>
      </c>
      <c r="B560" s="50">
        <v>200</v>
      </c>
      <c r="C560" s="50">
        <v>1200</v>
      </c>
      <c r="D560" s="50">
        <v>10.28</v>
      </c>
      <c r="E560" s="50">
        <v>375.19541427826994</v>
      </c>
      <c r="F560" s="50">
        <v>6253.2569046378321</v>
      </c>
      <c r="G560" s="57" t="s">
        <v>100</v>
      </c>
      <c r="H560" s="50">
        <v>0.251</v>
      </c>
      <c r="I560" s="50">
        <v>138</v>
      </c>
      <c r="J560" s="50">
        <v>2623</v>
      </c>
      <c r="K560" s="50">
        <v>4639</v>
      </c>
      <c r="L560" s="50">
        <v>0.7</v>
      </c>
      <c r="M560" s="50">
        <v>52.61</v>
      </c>
      <c r="N560" s="51">
        <v>18.809999999999999</v>
      </c>
      <c r="O560" s="43">
        <f t="shared" si="110"/>
        <v>0.30000000000000004</v>
      </c>
      <c r="P560" s="43">
        <f t="shared" si="103"/>
        <v>1027.2934142782699</v>
      </c>
      <c r="Q560" s="43">
        <f t="shared" si="104"/>
        <v>5.3482567783341353E-5</v>
      </c>
      <c r="R560" s="43">
        <v>35</v>
      </c>
      <c r="S560" s="43">
        <f t="shared" si="105"/>
        <v>0.16666666666666666</v>
      </c>
      <c r="T560" s="43">
        <f t="shared" si="106"/>
        <v>1.9323681947410958</v>
      </c>
      <c r="U560" s="43" t="str" cm="1">
        <f t="array" ref="U560">_xlfn.IFS(T560&lt;3,"Group I",T560&lt;5,"Group II",T560&lt;10,"Group III",T560&lt;20,"Group IV",T560&lt;50,"Group V",T560&lt;100,"Group VI",T560&lt;200,"Group VII",T560&lt;500,"Group VIII",T560&lt;1000,"Group IX",TRUE,"Group X")</f>
        <v>Group I</v>
      </c>
      <c r="V560" s="43">
        <f t="shared" si="107"/>
        <v>0.28608988072810704</v>
      </c>
      <c r="W560" s="43">
        <f t="shared" si="108"/>
        <v>0.78530260869565194</v>
      </c>
      <c r="X560" s="43">
        <f t="shared" si="111"/>
        <v>-0.10496295986304111</v>
      </c>
      <c r="Y560" s="43">
        <f t="shared" si="109"/>
        <v>0.35753659000190074</v>
      </c>
      <c r="Z560" s="43">
        <f t="shared" si="112"/>
        <v>-0.44667950624678027</v>
      </c>
      <c r="AA560" s="43">
        <f t="shared" si="113"/>
        <v>0.10874469309050097</v>
      </c>
      <c r="AB560" s="43">
        <f t="shared" si="114"/>
        <v>0.2280479515196874</v>
      </c>
    </row>
    <row r="561" spans="1:28">
      <c r="A561" s="48" t="s">
        <v>59</v>
      </c>
      <c r="B561" s="50">
        <v>200</v>
      </c>
      <c r="C561" s="50">
        <v>1600</v>
      </c>
      <c r="D561" s="50">
        <v>10.28</v>
      </c>
      <c r="E561" s="50">
        <v>375.19541427826994</v>
      </c>
      <c r="F561" s="50">
        <v>6253.2569046378321</v>
      </c>
      <c r="G561" s="57" t="s">
        <v>100</v>
      </c>
      <c r="H561" s="50">
        <v>0.251</v>
      </c>
      <c r="I561" s="50">
        <v>138</v>
      </c>
      <c r="J561" s="50">
        <v>2623</v>
      </c>
      <c r="K561" s="50">
        <v>4639</v>
      </c>
      <c r="L561" s="50">
        <v>0.7</v>
      </c>
      <c r="M561" s="50">
        <v>45.51</v>
      </c>
      <c r="N561" s="51">
        <v>15.42</v>
      </c>
      <c r="O561" s="43">
        <f t="shared" si="110"/>
        <v>0.30000000000000004</v>
      </c>
      <c r="P561" s="43">
        <f t="shared" si="103"/>
        <v>1027.2934142782699</v>
      </c>
      <c r="Q561" s="43">
        <f t="shared" si="104"/>
        <v>5.3482567783341353E-5</v>
      </c>
      <c r="R561" s="43">
        <v>35</v>
      </c>
      <c r="S561" s="43">
        <f t="shared" si="105"/>
        <v>0.125</v>
      </c>
      <c r="T561" s="43">
        <f t="shared" si="106"/>
        <v>1.6734799461108645</v>
      </c>
      <c r="U561" s="43" t="str" cm="1">
        <f t="array" ref="U561">_xlfn.IFS(T561&lt;3,"Group I",T561&lt;5,"Group II",T561&lt;10,"Group III",T561&lt;20,"Group IV",T561&lt;50,"Group V",T561&lt;100,"Group VI",T561&lt;200,"Group VII",T561&lt;500,"Group VIII",T561&lt;1000,"Group IX",TRUE,"Group X")</f>
        <v>Group I</v>
      </c>
      <c r="V561" s="43">
        <f t="shared" si="107"/>
        <v>0.22362051242395711</v>
      </c>
      <c r="W561" s="43">
        <f t="shared" si="108"/>
        <v>1.0470701449275359</v>
      </c>
      <c r="X561" s="43">
        <f t="shared" si="111"/>
        <v>1.9975776745258841E-2</v>
      </c>
      <c r="Y561" s="43">
        <f t="shared" si="109"/>
        <v>0.33882663150955833</v>
      </c>
      <c r="Z561" s="43">
        <f t="shared" si="112"/>
        <v>-0.47002246179145479</v>
      </c>
      <c r="AA561" s="43">
        <f t="shared" si="113"/>
        <v>9.5401938330970382E-2</v>
      </c>
      <c r="AB561" s="43">
        <f t="shared" si="114"/>
        <v>0.21848244669853498</v>
      </c>
    </row>
    <row r="562" spans="1:28">
      <c r="A562" s="48" t="s">
        <v>59</v>
      </c>
      <c r="B562" s="50">
        <v>200</v>
      </c>
      <c r="C562" s="50">
        <v>2000</v>
      </c>
      <c r="D562" s="50">
        <v>10.28</v>
      </c>
      <c r="E562" s="50">
        <v>375.19541427826994</v>
      </c>
      <c r="F562" s="50">
        <v>6253.2569046378321</v>
      </c>
      <c r="G562" s="57" t="s">
        <v>100</v>
      </c>
      <c r="H562" s="50">
        <v>0.251</v>
      </c>
      <c r="I562" s="50">
        <v>138</v>
      </c>
      <c r="J562" s="50">
        <v>2623</v>
      </c>
      <c r="K562" s="50">
        <v>4639</v>
      </c>
      <c r="L562" s="50">
        <v>0.7</v>
      </c>
      <c r="M562" s="50">
        <v>39.76</v>
      </c>
      <c r="N562" s="51">
        <v>13.05</v>
      </c>
      <c r="O562" s="43">
        <f t="shared" si="110"/>
        <v>0.30000000000000004</v>
      </c>
      <c r="P562" s="43">
        <f t="shared" si="103"/>
        <v>1027.2934142782699</v>
      </c>
      <c r="Q562" s="43">
        <f t="shared" si="104"/>
        <v>5.3482567783341353E-5</v>
      </c>
      <c r="R562" s="43">
        <v>35</v>
      </c>
      <c r="S562" s="43">
        <f t="shared" si="105"/>
        <v>0.1</v>
      </c>
      <c r="T562" s="43">
        <f t="shared" si="106"/>
        <v>1.4968059673946312</v>
      </c>
      <c r="U562" s="43" t="str" cm="1">
        <f t="array" ref="U562">_xlfn.IFS(T562&lt;3,"Group I",T562&lt;5,"Group II",T562&lt;10,"Group III",T562&lt;20,"Group IV",T562&lt;50,"Group V",T562&lt;100,"Group VI",T562&lt;200,"Group VII",T562&lt;500,"Group VIII",T562&lt;1000,"Group IX",TRUE,"Group X")</f>
        <v>Group I</v>
      </c>
      <c r="V562" s="43">
        <f t="shared" si="107"/>
        <v>0.17516550591992894</v>
      </c>
      <c r="W562" s="43">
        <f t="shared" si="108"/>
        <v>1.30883768115942</v>
      </c>
      <c r="X562" s="43">
        <f t="shared" si="111"/>
        <v>0.11688578975331529</v>
      </c>
      <c r="Y562" s="43">
        <f t="shared" si="109"/>
        <v>0.32821931589537229</v>
      </c>
      <c r="Z562" s="43">
        <f t="shared" si="112"/>
        <v>-0.48383586405097584</v>
      </c>
      <c r="AA562" s="43">
        <f t="shared" si="113"/>
        <v>8.6190665765911431E-2</v>
      </c>
      <c r="AB562" s="43">
        <f t="shared" si="114"/>
        <v>0.21134004921086899</v>
      </c>
    </row>
    <row r="563" spans="1:28">
      <c r="A563" s="48" t="s">
        <v>59</v>
      </c>
      <c r="B563" s="50">
        <v>200</v>
      </c>
      <c r="C563" s="50">
        <v>2400</v>
      </c>
      <c r="D563" s="50">
        <v>10.28</v>
      </c>
      <c r="E563" s="50">
        <v>375.19541427826994</v>
      </c>
      <c r="F563" s="50">
        <v>6253.2569046378321</v>
      </c>
      <c r="G563" s="57" t="s">
        <v>100</v>
      </c>
      <c r="H563" s="50">
        <v>0.251</v>
      </c>
      <c r="I563" s="50">
        <v>138</v>
      </c>
      <c r="J563" s="50">
        <v>2623</v>
      </c>
      <c r="K563" s="50">
        <v>4639</v>
      </c>
      <c r="L563" s="50">
        <v>0.7</v>
      </c>
      <c r="M563" s="50">
        <v>22.25</v>
      </c>
      <c r="N563" s="51">
        <v>12</v>
      </c>
      <c r="O563" s="43">
        <f t="shared" si="110"/>
        <v>0.30000000000000004</v>
      </c>
      <c r="P563" s="43">
        <f t="shared" si="103"/>
        <v>1027.2934142782699</v>
      </c>
      <c r="Q563" s="43">
        <f t="shared" si="104"/>
        <v>5.3482567783341353E-5</v>
      </c>
      <c r="R563" s="43">
        <v>35</v>
      </c>
      <c r="S563" s="43">
        <f t="shared" si="105"/>
        <v>8.3333333333333329E-2</v>
      </c>
      <c r="T563" s="43">
        <f t="shared" si="106"/>
        <v>1.3663906542506361</v>
      </c>
      <c r="U563" s="43" t="str" cm="1">
        <f t="array" ref="U563">_xlfn.IFS(T563&lt;3,"Group I",T563&lt;5,"Group II",T563&lt;10,"Group III",T563&lt;20,"Group IV",T563&lt;50,"Group V",T563&lt;100,"Group VI",T563&lt;200,"Group VII",T563&lt;500,"Group VIII",T563&lt;1000,"Group IX",TRUE,"Group X")</f>
        <v>Group I</v>
      </c>
      <c r="V563" s="43">
        <f t="shared" si="107"/>
        <v>0.13557488289611649</v>
      </c>
      <c r="W563" s="43">
        <f t="shared" si="108"/>
        <v>1.5706052173913039</v>
      </c>
      <c r="X563" s="43">
        <f t="shared" si="111"/>
        <v>0.19606703580094009</v>
      </c>
      <c r="Y563" s="43">
        <f t="shared" si="109"/>
        <v>0.5393258426966292</v>
      </c>
      <c r="Z563" s="43">
        <f t="shared" si="112"/>
        <v>-0.26814876926932557</v>
      </c>
      <c r="AA563" s="43">
        <f t="shared" si="113"/>
        <v>7.9328710162292593E-2</v>
      </c>
      <c r="AB563" s="43">
        <f t="shared" si="114"/>
        <v>0.2056779606975212</v>
      </c>
    </row>
    <row r="564" spans="1:28">
      <c r="A564" s="48" t="s">
        <v>59</v>
      </c>
      <c r="B564" s="50">
        <v>350</v>
      </c>
      <c r="C564" s="50">
        <v>400</v>
      </c>
      <c r="D564" s="50">
        <v>10.28</v>
      </c>
      <c r="E564" s="50">
        <v>375.19541427826994</v>
      </c>
      <c r="F564" s="50">
        <v>6253.2569046378321</v>
      </c>
      <c r="G564" s="57" t="s">
        <v>100</v>
      </c>
      <c r="H564" s="50">
        <v>0.251</v>
      </c>
      <c r="I564" s="50">
        <v>138</v>
      </c>
      <c r="J564" s="50">
        <v>2623</v>
      </c>
      <c r="K564" s="50">
        <v>4639</v>
      </c>
      <c r="L564" s="50">
        <v>0.7</v>
      </c>
      <c r="M564" s="50">
        <v>128.9</v>
      </c>
      <c r="N564" s="51">
        <v>70.47</v>
      </c>
      <c r="O564" s="43">
        <f t="shared" si="110"/>
        <v>0.30000000000000004</v>
      </c>
      <c r="P564" s="43">
        <f t="shared" si="103"/>
        <v>1027.2934142782699</v>
      </c>
      <c r="Q564" s="43">
        <f t="shared" si="104"/>
        <v>5.3482567783341353E-5</v>
      </c>
      <c r="R564" s="43">
        <v>35</v>
      </c>
      <c r="S564" s="43">
        <f t="shared" si="105"/>
        <v>0.875</v>
      </c>
      <c r="T564" s="43">
        <f t="shared" si="106"/>
        <v>5.8571798113880256</v>
      </c>
      <c r="U564" s="43" t="str" cm="1">
        <f t="array" ref="U564">_xlfn.IFS(T564&lt;3,"Group I",T564&lt;5,"Group II",T564&lt;10,"Group III",T564&lt;20,"Group IV",T564&lt;50,"Group V",T564&lt;100,"Group VI",T564&lt;200,"Group VII",T564&lt;500,"Group VIII",T564&lt;1000,"Group IX",TRUE,"Group X")</f>
        <v>Group III</v>
      </c>
      <c r="V564" s="43">
        <f t="shared" si="107"/>
        <v>0.76768855677423276</v>
      </c>
      <c r="W564" s="43">
        <f t="shared" si="108"/>
        <v>0.26176753623188398</v>
      </c>
      <c r="X564" s="43">
        <f t="shared" si="111"/>
        <v>-0.58208421458270354</v>
      </c>
      <c r="Y564" s="43">
        <f t="shared" si="109"/>
        <v>0.54670287044220323</v>
      </c>
      <c r="Z564" s="43">
        <f t="shared" si="112"/>
        <v>-0.26224864585613478</v>
      </c>
      <c r="AA564" s="43">
        <f t="shared" si="113"/>
        <v>0.31372606706272593</v>
      </c>
      <c r="AB564" s="43">
        <f t="shared" si="114"/>
        <v>0.31731779010037697</v>
      </c>
    </row>
    <row r="565" spans="1:28">
      <c r="A565" s="48" t="s">
        <v>59</v>
      </c>
      <c r="B565" s="50">
        <v>350</v>
      </c>
      <c r="C565" s="50">
        <v>600</v>
      </c>
      <c r="D565" s="50">
        <v>10.28</v>
      </c>
      <c r="E565" s="50">
        <v>375.19541427826994</v>
      </c>
      <c r="F565" s="50">
        <v>6253.2569046378321</v>
      </c>
      <c r="G565" s="57" t="s">
        <v>100</v>
      </c>
      <c r="H565" s="50">
        <v>0.251</v>
      </c>
      <c r="I565" s="50">
        <v>138</v>
      </c>
      <c r="J565" s="50">
        <v>2623</v>
      </c>
      <c r="K565" s="50">
        <v>4639</v>
      </c>
      <c r="L565" s="50">
        <v>0.7</v>
      </c>
      <c r="M565" s="50">
        <v>112.47</v>
      </c>
      <c r="N565" s="51">
        <v>56.95</v>
      </c>
      <c r="O565" s="43">
        <f t="shared" si="110"/>
        <v>0.30000000000000004</v>
      </c>
      <c r="P565" s="43">
        <f t="shared" si="103"/>
        <v>1027.2934142782699</v>
      </c>
      <c r="Q565" s="43">
        <f t="shared" si="104"/>
        <v>5.3482567783341353E-5</v>
      </c>
      <c r="R565" s="43">
        <v>35</v>
      </c>
      <c r="S565" s="43">
        <f t="shared" si="105"/>
        <v>0.58333333333333337</v>
      </c>
      <c r="T565" s="43">
        <f t="shared" si="106"/>
        <v>4.782367289877226</v>
      </c>
      <c r="U565" s="43" t="str" cm="1">
        <f t="array" ref="U565">_xlfn.IFS(T565&lt;3,"Group I",T565&lt;5,"Group II",T565&lt;10,"Group III",T565&lt;20,"Group IV",T565&lt;50,"Group V",T565&lt;100,"Group VI",T565&lt;200,"Group VII",T565&lt;500,"Group VIII",T565&lt;1000,"Group IX",TRUE,"Group X")</f>
        <v>Group II</v>
      </c>
      <c r="V565" s="43">
        <f t="shared" si="107"/>
        <v>0.67964292724639208</v>
      </c>
      <c r="W565" s="43">
        <f t="shared" si="108"/>
        <v>0.39265130434782597</v>
      </c>
      <c r="X565" s="43">
        <f t="shared" si="111"/>
        <v>-0.4059929555270223</v>
      </c>
      <c r="Y565" s="43">
        <f t="shared" si="109"/>
        <v>0.50635725082244154</v>
      </c>
      <c r="Z565" s="43">
        <f t="shared" si="112"/>
        <v>-0.29554296672609398</v>
      </c>
      <c r="AA565" s="43">
        <f t="shared" si="113"/>
        <v>0.26086979656571313</v>
      </c>
      <c r="AB565" s="43">
        <f t="shared" si="114"/>
        <v>0.29872091303949705</v>
      </c>
    </row>
    <row r="566" spans="1:28">
      <c r="A566" s="48" t="s">
        <v>59</v>
      </c>
      <c r="B566" s="50">
        <v>350</v>
      </c>
      <c r="C566" s="50">
        <v>800</v>
      </c>
      <c r="D566" s="50">
        <v>10.28</v>
      </c>
      <c r="E566" s="50">
        <v>375.19541427826994</v>
      </c>
      <c r="F566" s="50">
        <v>6253.2569046378321</v>
      </c>
      <c r="G566" s="57" t="s">
        <v>100</v>
      </c>
      <c r="H566" s="50">
        <v>0.251</v>
      </c>
      <c r="I566" s="50">
        <v>138</v>
      </c>
      <c r="J566" s="50">
        <v>2623</v>
      </c>
      <c r="K566" s="50">
        <v>4639</v>
      </c>
      <c r="L566" s="50">
        <v>0.7</v>
      </c>
      <c r="M566" s="50">
        <v>96.67</v>
      </c>
      <c r="N566" s="51">
        <v>49.37</v>
      </c>
      <c r="O566" s="43">
        <f t="shared" si="110"/>
        <v>0.30000000000000004</v>
      </c>
      <c r="P566" s="43">
        <f t="shared" si="103"/>
        <v>1027.2934142782699</v>
      </c>
      <c r="Q566" s="43">
        <f t="shared" si="104"/>
        <v>5.3482567783341353E-5</v>
      </c>
      <c r="R566" s="43">
        <v>35</v>
      </c>
      <c r="S566" s="43">
        <f t="shared" si="105"/>
        <v>0.4375</v>
      </c>
      <c r="T566" s="43">
        <f t="shared" si="106"/>
        <v>4.1416515632614166</v>
      </c>
      <c r="U566" s="43" t="str" cm="1">
        <f t="array" ref="U566">_xlfn.IFS(T566&lt;3,"Group I",T566&lt;5,"Group II",T566&lt;10,"Group III",T566&lt;20,"Group IV",T566&lt;50,"Group V",T566&lt;100,"Group VI",T566&lt;200,"Group VII",T566&lt;500,"Group VIII",T566&lt;1000,"Group IX",TRUE,"Group X")</f>
        <v>Group II</v>
      </c>
      <c r="V566" s="43">
        <f t="shared" si="107"/>
        <v>0.61717355894224213</v>
      </c>
      <c r="W566" s="43">
        <f t="shared" si="108"/>
        <v>0.52353507246376796</v>
      </c>
      <c r="X566" s="43">
        <f t="shared" si="111"/>
        <v>-0.28105421891872234</v>
      </c>
      <c r="Y566" s="43">
        <f t="shared" si="109"/>
        <v>0.51070652736112543</v>
      </c>
      <c r="Z566" s="43">
        <f t="shared" si="112"/>
        <v>-0.29182859137335704</v>
      </c>
      <c r="AA566" s="43">
        <f t="shared" si="113"/>
        <v>0.22886159808886267</v>
      </c>
      <c r="AB566" s="43">
        <f t="shared" si="114"/>
        <v>0.28619102046726902</v>
      </c>
    </row>
    <row r="567" spans="1:28">
      <c r="A567" s="48" t="s">
        <v>59</v>
      </c>
      <c r="B567" s="50">
        <v>350</v>
      </c>
      <c r="C567" s="50">
        <v>1000</v>
      </c>
      <c r="D567" s="50">
        <v>10.28</v>
      </c>
      <c r="E567" s="50">
        <v>375.19541427826994</v>
      </c>
      <c r="F567" s="50">
        <v>6253.2569046378321</v>
      </c>
      <c r="G567" s="57" t="s">
        <v>100</v>
      </c>
      <c r="H567" s="50">
        <v>0.251</v>
      </c>
      <c r="I567" s="50">
        <v>138</v>
      </c>
      <c r="J567" s="50">
        <v>2623</v>
      </c>
      <c r="K567" s="50">
        <v>4639</v>
      </c>
      <c r="L567" s="50">
        <v>0.7</v>
      </c>
      <c r="M567" s="50">
        <v>81</v>
      </c>
      <c r="N567" s="51">
        <v>33.1</v>
      </c>
      <c r="O567" s="43">
        <f t="shared" si="110"/>
        <v>0.30000000000000004</v>
      </c>
      <c r="P567" s="43">
        <f t="shared" si="103"/>
        <v>1027.2934142782699</v>
      </c>
      <c r="Q567" s="43">
        <f t="shared" si="104"/>
        <v>5.3482567783341353E-5</v>
      </c>
      <c r="R567" s="43">
        <v>35</v>
      </c>
      <c r="S567" s="43">
        <f t="shared" si="105"/>
        <v>0.35</v>
      </c>
      <c r="T567" s="43">
        <f t="shared" si="106"/>
        <v>3.7044057738283191</v>
      </c>
      <c r="U567" s="43" t="str" cm="1">
        <f t="array" ref="U567">_xlfn.IFS(T567&lt;3,"Group I",T567&lt;5,"Group II",T567&lt;10,"Group III",T567&lt;20,"Group IV",T567&lt;50,"Group V",T567&lt;100,"Group VI",T567&lt;200,"Group VII",T567&lt;500,"Group VIII",T567&lt;1000,"Group IX",TRUE,"Group X")</f>
        <v>Group II</v>
      </c>
      <c r="V567" s="43">
        <f t="shared" si="107"/>
        <v>0.56871855243821401</v>
      </c>
      <c r="W567" s="43">
        <f t="shared" si="108"/>
        <v>0.65441884057971</v>
      </c>
      <c r="X567" s="43">
        <f t="shared" si="111"/>
        <v>-0.18414420591066591</v>
      </c>
      <c r="Y567" s="43">
        <f t="shared" si="109"/>
        <v>0.40864197530864199</v>
      </c>
      <c r="Z567" s="43">
        <f t="shared" si="112"/>
        <v>-0.38865702510293099</v>
      </c>
      <c r="AA567" s="43">
        <f t="shared" si="113"/>
        <v>0.20676449401999142</v>
      </c>
      <c r="AB567" s="43">
        <f t="shared" si="114"/>
        <v>0.27683516576834005</v>
      </c>
    </row>
    <row r="568" spans="1:28">
      <c r="A568" s="48" t="s">
        <v>59</v>
      </c>
      <c r="B568" s="50">
        <v>350</v>
      </c>
      <c r="C568" s="50">
        <v>1200</v>
      </c>
      <c r="D568" s="50">
        <v>10.28</v>
      </c>
      <c r="E568" s="50">
        <v>375.19541427826994</v>
      </c>
      <c r="F568" s="50">
        <v>6253.2569046378321</v>
      </c>
      <c r="G568" s="57" t="s">
        <v>100</v>
      </c>
      <c r="H568" s="50">
        <v>0.251</v>
      </c>
      <c r="I568" s="50">
        <v>138</v>
      </c>
      <c r="J568" s="50">
        <v>2623</v>
      </c>
      <c r="K568" s="50">
        <v>4639</v>
      </c>
      <c r="L568" s="50">
        <v>0.7</v>
      </c>
      <c r="M568" s="50">
        <v>58.26</v>
      </c>
      <c r="N568" s="51">
        <v>25.08</v>
      </c>
      <c r="O568" s="43">
        <f t="shared" si="110"/>
        <v>0.30000000000000004</v>
      </c>
      <c r="P568" s="43">
        <f t="shared" si="103"/>
        <v>1027.2934142782699</v>
      </c>
      <c r="Q568" s="43">
        <f t="shared" si="104"/>
        <v>5.3482567783341353E-5</v>
      </c>
      <c r="R568" s="43">
        <v>35</v>
      </c>
      <c r="S568" s="43">
        <f t="shared" si="105"/>
        <v>0.29166666666666669</v>
      </c>
      <c r="T568" s="43">
        <f t="shared" si="106"/>
        <v>3.3816443407969179</v>
      </c>
      <c r="U568" s="43" t="str" cm="1">
        <f t="array" ref="U568">_xlfn.IFS(T568&lt;3,"Group I",T568&lt;5,"Group II",T568&lt;10,"Group III",T568&lt;20,"Group IV",T568&lt;50,"Group V",T568&lt;100,"Group VI",T568&lt;200,"Group VII",T568&lt;500,"Group VIII",T568&lt;1000,"Group IX",TRUE,"Group X")</f>
        <v>Group II</v>
      </c>
      <c r="V568" s="43">
        <f t="shared" si="107"/>
        <v>0.52912792941440145</v>
      </c>
      <c r="W568" s="43">
        <f t="shared" si="108"/>
        <v>0.78530260869565194</v>
      </c>
      <c r="X568" s="43">
        <f t="shared" si="111"/>
        <v>-0.10496295986304111</v>
      </c>
      <c r="Y568" s="43">
        <f t="shared" si="109"/>
        <v>0.43048403707518024</v>
      </c>
      <c r="Z568" s="43">
        <f t="shared" si="112"/>
        <v>-0.36604294813296967</v>
      </c>
      <c r="AA568" s="43">
        <f t="shared" si="113"/>
        <v>0.19030321290837673</v>
      </c>
      <c r="AB568" s="43">
        <f t="shared" si="114"/>
        <v>0.26941837364568999</v>
      </c>
    </row>
    <row r="569" spans="1:28">
      <c r="A569" s="48" t="s">
        <v>59</v>
      </c>
      <c r="B569" s="50">
        <v>350</v>
      </c>
      <c r="C569" s="50">
        <v>1600</v>
      </c>
      <c r="D569" s="50">
        <v>10.28</v>
      </c>
      <c r="E569" s="50">
        <v>375.19541427826994</v>
      </c>
      <c r="F569" s="50">
        <v>6253.2569046378321</v>
      </c>
      <c r="G569" s="57" t="s">
        <v>100</v>
      </c>
      <c r="H569" s="50">
        <v>0.251</v>
      </c>
      <c r="I569" s="50">
        <v>138</v>
      </c>
      <c r="J569" s="50">
        <v>2623</v>
      </c>
      <c r="K569" s="50">
        <v>4639</v>
      </c>
      <c r="L569" s="50">
        <v>0.7</v>
      </c>
      <c r="M569" s="50">
        <v>52.6</v>
      </c>
      <c r="N569" s="51">
        <v>22.75</v>
      </c>
      <c r="O569" s="43">
        <f t="shared" si="110"/>
        <v>0.30000000000000004</v>
      </c>
      <c r="P569" s="43">
        <f t="shared" si="103"/>
        <v>1027.2934142782699</v>
      </c>
      <c r="Q569" s="43">
        <f t="shared" si="104"/>
        <v>5.3482567783341353E-5</v>
      </c>
      <c r="R569" s="43">
        <v>35</v>
      </c>
      <c r="S569" s="43">
        <f t="shared" si="105"/>
        <v>0.21875</v>
      </c>
      <c r="T569" s="43">
        <f t="shared" si="106"/>
        <v>2.9285899056940128</v>
      </c>
      <c r="U569" s="43" t="str" cm="1">
        <f t="array" ref="U569">_xlfn.IFS(T569&lt;3,"Group I",T569&lt;5,"Group II",T569&lt;10,"Group III",T569&lt;20,"Group IV",T569&lt;50,"Group V",T569&lt;100,"Group VI",T569&lt;200,"Group VII",T569&lt;500,"Group VIII",T569&lt;1000,"Group IX",TRUE,"Group X")</f>
        <v>Group I</v>
      </c>
      <c r="V569" s="43">
        <f t="shared" si="107"/>
        <v>0.46665856111025156</v>
      </c>
      <c r="W569" s="43">
        <f t="shared" si="108"/>
        <v>1.0470701449275359</v>
      </c>
      <c r="X569" s="43">
        <f t="shared" si="111"/>
        <v>1.9975776745258841E-2</v>
      </c>
      <c r="Y569" s="43">
        <f t="shared" si="109"/>
        <v>0.43250950570342206</v>
      </c>
      <c r="Z569" s="43">
        <f t="shared" si="112"/>
        <v>-0.36400434316060787</v>
      </c>
      <c r="AA569" s="43">
        <f t="shared" si="113"/>
        <v>0.16695339207919815</v>
      </c>
      <c r="AB569" s="43">
        <f t="shared" si="114"/>
        <v>0.25811758039216054</v>
      </c>
    </row>
    <row r="570" spans="1:28">
      <c r="A570" s="48" t="s">
        <v>59</v>
      </c>
      <c r="B570" s="50">
        <v>350</v>
      </c>
      <c r="C570" s="50">
        <v>2000</v>
      </c>
      <c r="D570" s="50">
        <v>10.28</v>
      </c>
      <c r="E570" s="50">
        <v>375.19541427826994</v>
      </c>
      <c r="F570" s="50">
        <v>6253.2569046378321</v>
      </c>
      <c r="G570" s="57" t="s">
        <v>100</v>
      </c>
      <c r="H570" s="50">
        <v>0.251</v>
      </c>
      <c r="I570" s="50">
        <v>138</v>
      </c>
      <c r="J570" s="50">
        <v>2623</v>
      </c>
      <c r="K570" s="50">
        <v>4639</v>
      </c>
      <c r="L570" s="50">
        <v>0.7</v>
      </c>
      <c r="M570" s="50">
        <v>48.71</v>
      </c>
      <c r="N570" s="51">
        <v>21</v>
      </c>
      <c r="O570" s="43">
        <f t="shared" si="110"/>
        <v>0.30000000000000004</v>
      </c>
      <c r="P570" s="43">
        <f t="shared" si="103"/>
        <v>1027.2934142782699</v>
      </c>
      <c r="Q570" s="43">
        <f t="shared" si="104"/>
        <v>5.3482567783341353E-5</v>
      </c>
      <c r="R570" s="43">
        <v>35</v>
      </c>
      <c r="S570" s="43">
        <f t="shared" si="105"/>
        <v>0.17499999999999999</v>
      </c>
      <c r="T570" s="43">
        <f t="shared" si="106"/>
        <v>2.6194104429406044</v>
      </c>
      <c r="U570" s="43" t="str" cm="1">
        <f t="array" ref="U570">_xlfn.IFS(T570&lt;3,"Group I",T570&lt;5,"Group II",T570&lt;10,"Group III",T570&lt;20,"Group IV",T570&lt;50,"Group V",T570&lt;100,"Group VI",T570&lt;200,"Group VII",T570&lt;500,"Group VIII",T570&lt;1000,"Group IX",TRUE,"Group X")</f>
        <v>Group I</v>
      </c>
      <c r="V570" s="43">
        <f t="shared" si="107"/>
        <v>0.41820355460622333</v>
      </c>
      <c r="W570" s="43">
        <f t="shared" si="108"/>
        <v>1.30883768115942</v>
      </c>
      <c r="X570" s="43">
        <f t="shared" si="111"/>
        <v>0.11688578975331529</v>
      </c>
      <c r="Y570" s="43">
        <f t="shared" si="109"/>
        <v>0.43112297269554506</v>
      </c>
      <c r="Z570" s="43">
        <f t="shared" si="112"/>
        <v>-0.36539883483785068</v>
      </c>
      <c r="AA570" s="43">
        <f t="shared" si="113"/>
        <v>0.15083366509034499</v>
      </c>
      <c r="AB570" s="43">
        <f t="shared" si="114"/>
        <v>0.24967947295802334</v>
      </c>
    </row>
    <row r="571" spans="1:28">
      <c r="A571" s="48" t="s">
        <v>59</v>
      </c>
      <c r="B571" s="50">
        <v>350</v>
      </c>
      <c r="C571" s="50">
        <v>2400</v>
      </c>
      <c r="D571" s="50">
        <v>10.28</v>
      </c>
      <c r="E571" s="50">
        <v>375.19541427826994</v>
      </c>
      <c r="F571" s="50">
        <v>6253.2569046378321</v>
      </c>
      <c r="G571" s="57" t="s">
        <v>100</v>
      </c>
      <c r="H571" s="50">
        <v>0.251</v>
      </c>
      <c r="I571" s="50">
        <v>138</v>
      </c>
      <c r="J571" s="50">
        <v>2623</v>
      </c>
      <c r="K571" s="50">
        <v>4639</v>
      </c>
      <c r="L571" s="50">
        <v>0.7</v>
      </c>
      <c r="M571" s="50">
        <v>44.18</v>
      </c>
      <c r="N571" s="51">
        <v>14.6</v>
      </c>
      <c r="O571" s="43">
        <f t="shared" si="110"/>
        <v>0.30000000000000004</v>
      </c>
      <c r="P571" s="43">
        <f t="shared" si="103"/>
        <v>1027.2934142782699</v>
      </c>
      <c r="Q571" s="43">
        <f t="shared" si="104"/>
        <v>5.3482567783341353E-5</v>
      </c>
      <c r="R571" s="43">
        <v>35</v>
      </c>
      <c r="S571" s="43">
        <f t="shared" si="105"/>
        <v>0.14583333333333334</v>
      </c>
      <c r="T571" s="43">
        <f t="shared" si="106"/>
        <v>2.391183644938613</v>
      </c>
      <c r="U571" s="43" t="str" cm="1">
        <f t="array" ref="U571">_xlfn.IFS(T571&lt;3,"Group I",T571&lt;5,"Group II",T571&lt;10,"Group III",T571&lt;20,"Group IV",T571&lt;50,"Group V",T571&lt;100,"Group VI",T571&lt;200,"Group VII",T571&lt;500,"Group VIII",T571&lt;1000,"Group IX",TRUE,"Group X")</f>
        <v>Group I</v>
      </c>
      <c r="V571" s="43">
        <f t="shared" si="107"/>
        <v>0.37861293158241094</v>
      </c>
      <c r="W571" s="43">
        <f t="shared" si="108"/>
        <v>1.5706052173913039</v>
      </c>
      <c r="X571" s="43">
        <f t="shared" si="111"/>
        <v>0.19606703580094009</v>
      </c>
      <c r="Y571" s="43">
        <f t="shared" si="109"/>
        <v>0.33046627433227704</v>
      </c>
      <c r="Z571" s="43">
        <f t="shared" si="112"/>
        <v>-0.48087285575097904</v>
      </c>
      <c r="AA571" s="43">
        <f t="shared" si="113"/>
        <v>0.13882524278401204</v>
      </c>
      <c r="AB571" s="43">
        <f t="shared" si="114"/>
        <v>0.24299021892816458</v>
      </c>
    </row>
    <row r="572" spans="1:28">
      <c r="A572" s="48" t="s">
        <v>59</v>
      </c>
      <c r="B572" s="50">
        <v>100</v>
      </c>
      <c r="C572" s="50">
        <v>300</v>
      </c>
      <c r="D572" s="50">
        <v>10.28</v>
      </c>
      <c r="E572" s="50">
        <v>375.19541427826994</v>
      </c>
      <c r="F572" s="50">
        <v>6253.2569046378321</v>
      </c>
      <c r="G572" s="57" t="s">
        <v>100</v>
      </c>
      <c r="H572" s="50">
        <v>0.251</v>
      </c>
      <c r="I572" s="50">
        <v>138</v>
      </c>
      <c r="J572" s="50">
        <v>2623</v>
      </c>
      <c r="K572" s="50">
        <v>4639</v>
      </c>
      <c r="L572" s="50">
        <v>0.7</v>
      </c>
      <c r="M572" s="50">
        <v>152.52000000000001</v>
      </c>
      <c r="N572" s="51">
        <v>87.29</v>
      </c>
      <c r="O572" s="43">
        <f t="shared" si="110"/>
        <v>0.30000000000000004</v>
      </c>
      <c r="P572" s="43">
        <f t="shared" si="103"/>
        <v>1027.2934142782699</v>
      </c>
      <c r="Q572" s="43">
        <f t="shared" si="104"/>
        <v>5.3482567783341353E-5</v>
      </c>
      <c r="R572" s="43">
        <v>35</v>
      </c>
      <c r="S572" s="43">
        <f t="shared" si="105"/>
        <v>0.33333333333333331</v>
      </c>
      <c r="T572" s="43">
        <f t="shared" si="106"/>
        <v>1.9323681947410958</v>
      </c>
      <c r="U572" s="43" t="str" cm="1">
        <f t="array" ref="U572">_xlfn.IFS(T572&lt;3,"Group I",T572&lt;5,"Group II",T572&lt;10,"Group III",T572&lt;20,"Group IV",T572&lt;50,"Group V",T572&lt;100,"Group VI",T572&lt;200,"Group VII",T572&lt;500,"Group VIII",T572&lt;1000,"Group IX",TRUE,"Group X")</f>
        <v>Group I</v>
      </c>
      <c r="V572" s="43">
        <f t="shared" si="107"/>
        <v>0.28608988072810704</v>
      </c>
      <c r="W572" s="43">
        <f t="shared" si="108"/>
        <v>0.19632565217391298</v>
      </c>
      <c r="X572" s="43">
        <f t="shared" si="111"/>
        <v>-0.70702295119100356</v>
      </c>
      <c r="Y572" s="43">
        <f t="shared" si="109"/>
        <v>0.57231838447416727</v>
      </c>
      <c r="Z572" s="43">
        <f t="shared" si="112"/>
        <v>-0.24236230310883358</v>
      </c>
      <c r="AA572" s="43">
        <f t="shared" si="113"/>
        <v>0.10217236215554797</v>
      </c>
      <c r="AB572" s="43">
        <f t="shared" si="114"/>
        <v>0.2280479515196874</v>
      </c>
    </row>
    <row r="573" spans="1:28">
      <c r="A573" s="48" t="s">
        <v>59</v>
      </c>
      <c r="B573" s="50">
        <v>150</v>
      </c>
      <c r="C573" s="50">
        <v>300</v>
      </c>
      <c r="D573" s="50">
        <v>10.28</v>
      </c>
      <c r="E573" s="50">
        <v>375.19541427826994</v>
      </c>
      <c r="F573" s="50">
        <v>6253.2569046378321</v>
      </c>
      <c r="G573" s="57" t="s">
        <v>100</v>
      </c>
      <c r="H573" s="50">
        <v>0.251</v>
      </c>
      <c r="I573" s="50">
        <v>138</v>
      </c>
      <c r="J573" s="50">
        <v>2623</v>
      </c>
      <c r="K573" s="50">
        <v>4639</v>
      </c>
      <c r="L573" s="50">
        <v>0.7</v>
      </c>
      <c r="M573" s="50">
        <v>163.27000000000001</v>
      </c>
      <c r="N573" s="51">
        <v>85.24</v>
      </c>
      <c r="O573" s="43">
        <f t="shared" si="110"/>
        <v>0.30000000000000004</v>
      </c>
      <c r="P573" s="43">
        <f t="shared" si="103"/>
        <v>1027.2934142782699</v>
      </c>
      <c r="Q573" s="43">
        <f t="shared" si="104"/>
        <v>5.3482567783341353E-5</v>
      </c>
      <c r="R573" s="43">
        <v>35</v>
      </c>
      <c r="S573" s="43">
        <f t="shared" si="105"/>
        <v>0.5</v>
      </c>
      <c r="T573" s="43">
        <f t="shared" si="106"/>
        <v>2.8985522921116438</v>
      </c>
      <c r="U573" s="43" t="str" cm="1">
        <f t="array" ref="U573">_xlfn.IFS(T573&lt;3,"Group I",T573&lt;5,"Group II",T573&lt;10,"Group III",T573&lt;20,"Group IV",T573&lt;50,"Group V",T573&lt;100,"Group VI",T573&lt;200,"Group VII",T573&lt;500,"Group VIII",T573&lt;1000,"Group IX",TRUE,"Group X")</f>
        <v>Group I</v>
      </c>
      <c r="V573" s="43">
        <f t="shared" si="107"/>
        <v>0.46218113978378828</v>
      </c>
      <c r="W573" s="43">
        <f t="shared" si="108"/>
        <v>0.19632565217391298</v>
      </c>
      <c r="X573" s="43">
        <f t="shared" si="111"/>
        <v>-0.70702295119100356</v>
      </c>
      <c r="Y573" s="43">
        <f t="shared" si="109"/>
        <v>0.52207999020028173</v>
      </c>
      <c r="Z573" s="43">
        <f t="shared" si="112"/>
        <v>-0.28226295170813798</v>
      </c>
      <c r="AA573" s="43">
        <f t="shared" si="113"/>
        <v>0.15325854323332194</v>
      </c>
      <c r="AB573" s="43">
        <f t="shared" si="114"/>
        <v>0.25732605473031223</v>
      </c>
    </row>
    <row r="574" spans="1:28">
      <c r="A574" s="48" t="s">
        <v>59</v>
      </c>
      <c r="B574" s="50">
        <v>200</v>
      </c>
      <c r="C574" s="50">
        <v>300</v>
      </c>
      <c r="D574" s="50">
        <v>10.28</v>
      </c>
      <c r="E574" s="50">
        <v>375.19541427826994</v>
      </c>
      <c r="F574" s="50">
        <v>6253.2569046378321</v>
      </c>
      <c r="G574" s="57" t="s">
        <v>100</v>
      </c>
      <c r="H574" s="50">
        <v>0.251</v>
      </c>
      <c r="I574" s="50">
        <v>138</v>
      </c>
      <c r="J574" s="50">
        <v>2623</v>
      </c>
      <c r="K574" s="50">
        <v>4639</v>
      </c>
      <c r="L574" s="50">
        <v>0.7</v>
      </c>
      <c r="M574" s="50">
        <v>267.75</v>
      </c>
      <c r="N574" s="51">
        <v>134.81</v>
      </c>
      <c r="O574" s="43">
        <f t="shared" si="110"/>
        <v>0.30000000000000004</v>
      </c>
      <c r="P574" s="43">
        <f t="shared" si="103"/>
        <v>1027.2934142782699</v>
      </c>
      <c r="Q574" s="43">
        <f t="shared" si="104"/>
        <v>5.3482567783341353E-5</v>
      </c>
      <c r="R574" s="43">
        <v>35</v>
      </c>
      <c r="S574" s="43">
        <f t="shared" si="105"/>
        <v>0.66666666666666663</v>
      </c>
      <c r="T574" s="43">
        <f t="shared" si="106"/>
        <v>3.8647363894821916</v>
      </c>
      <c r="U574" s="43" t="str" cm="1">
        <f t="array" ref="U574">_xlfn.IFS(T574&lt;3,"Group I",T574&lt;5,"Group II",T574&lt;10,"Group III",T574&lt;20,"Group IV",T574&lt;50,"Group V",T574&lt;100,"Group VI",T574&lt;200,"Group VII",T574&lt;500,"Group VIII",T574&lt;1000,"Group IX",TRUE,"Group X")</f>
        <v>Group II</v>
      </c>
      <c r="V574" s="43">
        <f t="shared" si="107"/>
        <v>0.58711987639208818</v>
      </c>
      <c r="W574" s="43">
        <f t="shared" si="108"/>
        <v>0.19632565217391298</v>
      </c>
      <c r="X574" s="43">
        <f t="shared" si="111"/>
        <v>-0.70702295119100356</v>
      </c>
      <c r="Y574" s="43">
        <f t="shared" si="109"/>
        <v>0.50349206349206355</v>
      </c>
      <c r="Z574" s="43">
        <f t="shared" si="112"/>
        <v>-0.29800737080801548</v>
      </c>
      <c r="AA574" s="43">
        <f t="shared" si="113"/>
        <v>0.20434472431109593</v>
      </c>
      <c r="AB574" s="43">
        <f t="shared" si="114"/>
        <v>0.28035158203173255</v>
      </c>
    </row>
    <row r="575" spans="1:28">
      <c r="A575" s="48" t="s">
        <v>59</v>
      </c>
      <c r="B575" s="50">
        <v>250</v>
      </c>
      <c r="C575" s="50">
        <v>300</v>
      </c>
      <c r="D575" s="50">
        <v>10.28</v>
      </c>
      <c r="E575" s="50">
        <v>375.19541427826994</v>
      </c>
      <c r="F575" s="50">
        <v>6253.2569046378321</v>
      </c>
      <c r="G575" s="57" t="s">
        <v>100</v>
      </c>
      <c r="H575" s="50">
        <v>0.251</v>
      </c>
      <c r="I575" s="50">
        <v>138</v>
      </c>
      <c r="J575" s="50">
        <v>2623</v>
      </c>
      <c r="K575" s="50">
        <v>4639</v>
      </c>
      <c r="L575" s="50">
        <v>0.7</v>
      </c>
      <c r="M575" s="50">
        <v>239.69</v>
      </c>
      <c r="N575" s="51">
        <v>119.48</v>
      </c>
      <c r="O575" s="43">
        <f t="shared" si="110"/>
        <v>0.30000000000000004</v>
      </c>
      <c r="P575" s="43">
        <f t="shared" si="103"/>
        <v>1027.2934142782699</v>
      </c>
      <c r="Q575" s="43">
        <f t="shared" si="104"/>
        <v>5.3482567783341353E-5</v>
      </c>
      <c r="R575" s="43">
        <v>35</v>
      </c>
      <c r="S575" s="43">
        <f t="shared" si="105"/>
        <v>0.83333333333333337</v>
      </c>
      <c r="T575" s="43">
        <f t="shared" si="106"/>
        <v>4.8309204868527402</v>
      </c>
      <c r="U575" s="43" t="str" cm="1">
        <f t="array" ref="U575">_xlfn.IFS(T575&lt;3,"Group I",T575&lt;5,"Group II",T575&lt;10,"Group III",T575&lt;20,"Group IV",T575&lt;50,"Group V",T575&lt;100,"Group VI",T575&lt;200,"Group VII",T575&lt;500,"Group VIII",T575&lt;1000,"Group IX",TRUE,"Group X")</f>
        <v>Group II</v>
      </c>
      <c r="V575" s="43">
        <f t="shared" si="107"/>
        <v>0.68402988940014475</v>
      </c>
      <c r="W575" s="43">
        <f t="shared" si="108"/>
        <v>0.19632565217391298</v>
      </c>
      <c r="X575" s="43">
        <f t="shared" si="111"/>
        <v>-0.70702295119100356</v>
      </c>
      <c r="Y575" s="43">
        <f t="shared" si="109"/>
        <v>0.49847719971630022</v>
      </c>
      <c r="Z575" s="43">
        <f t="shared" si="112"/>
        <v>-0.30235470147238996</v>
      </c>
      <c r="AA575" s="43">
        <f t="shared" si="113"/>
        <v>0.25543090538886998</v>
      </c>
      <c r="AB575" s="43">
        <f t="shared" si="114"/>
        <v>0.29962117584917214</v>
      </c>
    </row>
    <row r="576" spans="1:28">
      <c r="A576" s="48" t="s">
        <v>59</v>
      </c>
      <c r="B576" s="50">
        <v>300</v>
      </c>
      <c r="C576" s="50">
        <v>300</v>
      </c>
      <c r="D576" s="50">
        <v>10.28</v>
      </c>
      <c r="E576" s="50">
        <v>375.19541427826994</v>
      </c>
      <c r="F576" s="50">
        <v>6253.2569046378321</v>
      </c>
      <c r="G576" s="57" t="s">
        <v>100</v>
      </c>
      <c r="H576" s="50">
        <v>0.251</v>
      </c>
      <c r="I576" s="50">
        <v>138</v>
      </c>
      <c r="J576" s="50">
        <v>2623</v>
      </c>
      <c r="K576" s="50">
        <v>4639</v>
      </c>
      <c r="L576" s="50">
        <v>0.7</v>
      </c>
      <c r="M576" s="50">
        <v>257</v>
      </c>
      <c r="N576" s="51">
        <v>130.5</v>
      </c>
      <c r="O576" s="43">
        <f t="shared" si="110"/>
        <v>0.30000000000000004</v>
      </c>
      <c r="P576" s="43">
        <f t="shared" si="103"/>
        <v>1027.2934142782699</v>
      </c>
      <c r="Q576" s="43">
        <f t="shared" si="104"/>
        <v>5.3482567783341353E-5</v>
      </c>
      <c r="R576" s="43">
        <v>35</v>
      </c>
      <c r="S576" s="43">
        <f t="shared" si="105"/>
        <v>1</v>
      </c>
      <c r="T576" s="43">
        <f t="shared" si="106"/>
        <v>5.7971045842232876</v>
      </c>
      <c r="U576" s="43" t="str" cm="1">
        <f t="array" ref="U576">_xlfn.IFS(T576&lt;3,"Group I",T576&lt;5,"Group II",T576&lt;10,"Group III",T576&lt;20,"Group IV",T576&lt;50,"Group V",T576&lt;100,"Group VI",T576&lt;200,"Group VII",T576&lt;500,"Group VIII",T576&lt;1000,"Group IX",TRUE,"Group X")</f>
        <v>Group III</v>
      </c>
      <c r="V576" s="43">
        <f t="shared" si="107"/>
        <v>0.76321113544776953</v>
      </c>
      <c r="W576" s="43">
        <f t="shared" si="108"/>
        <v>0.19632565217391298</v>
      </c>
      <c r="X576" s="43">
        <f t="shared" si="111"/>
        <v>-0.70702295119100356</v>
      </c>
      <c r="Y576" s="43">
        <f t="shared" si="109"/>
        <v>0.50778210116731515</v>
      </c>
      <c r="Z576" s="43">
        <f t="shared" si="112"/>
        <v>-0.2943226116569948</v>
      </c>
      <c r="AA576" s="43">
        <f t="shared" si="113"/>
        <v>0.30651708646664388</v>
      </c>
      <c r="AB576" s="43">
        <f t="shared" si="114"/>
        <v>0.31634472513733253</v>
      </c>
    </row>
    <row r="577" spans="1:28">
      <c r="A577" s="48" t="s">
        <v>59</v>
      </c>
      <c r="B577" s="50">
        <v>100</v>
      </c>
      <c r="C577" s="50">
        <v>600</v>
      </c>
      <c r="D577" s="50">
        <v>10.28</v>
      </c>
      <c r="E577" s="50">
        <v>375.19541427826994</v>
      </c>
      <c r="F577" s="50">
        <v>6253.2569046378321</v>
      </c>
      <c r="G577" s="57" t="s">
        <v>100</v>
      </c>
      <c r="H577" s="50">
        <v>0.251</v>
      </c>
      <c r="I577" s="50">
        <v>138</v>
      </c>
      <c r="J577" s="50">
        <v>2623</v>
      </c>
      <c r="K577" s="50">
        <v>4639</v>
      </c>
      <c r="L577" s="50">
        <v>0.7</v>
      </c>
      <c r="M577" s="50">
        <v>130.91</v>
      </c>
      <c r="N577" s="51">
        <v>21</v>
      </c>
      <c r="O577" s="43">
        <f t="shared" si="110"/>
        <v>0.30000000000000004</v>
      </c>
      <c r="P577" s="43">
        <f t="shared" si="103"/>
        <v>1027.2934142782699</v>
      </c>
      <c r="Q577" s="43">
        <f t="shared" si="104"/>
        <v>5.3482567783341353E-5</v>
      </c>
      <c r="R577" s="43">
        <v>35</v>
      </c>
      <c r="S577" s="43">
        <f t="shared" si="105"/>
        <v>0.16666666666666666</v>
      </c>
      <c r="T577" s="43">
        <f t="shared" si="106"/>
        <v>1.3663906542506361</v>
      </c>
      <c r="U577" s="43" t="str" cm="1">
        <f t="array" ref="U577">_xlfn.IFS(T577&lt;3,"Group I",T577&lt;5,"Group II",T577&lt;10,"Group III",T577&lt;20,"Group IV",T577&lt;50,"Group V",T577&lt;100,"Group VI",T577&lt;200,"Group VII",T577&lt;500,"Group VIII",T577&lt;1000,"Group IX",TRUE,"Group X")</f>
        <v>Group I</v>
      </c>
      <c r="V577" s="43">
        <f t="shared" si="107"/>
        <v>0.13557488289611649</v>
      </c>
      <c r="W577" s="43">
        <f t="shared" si="108"/>
        <v>0.39265130434782597</v>
      </c>
      <c r="X577" s="43">
        <f t="shared" si="111"/>
        <v>-0.4059929555270223</v>
      </c>
      <c r="Y577" s="43">
        <f t="shared" si="109"/>
        <v>0.16041555266977314</v>
      </c>
      <c r="Z577" s="43">
        <f t="shared" si="112"/>
        <v>-0.79475352812653544</v>
      </c>
      <c r="AA577" s="43">
        <f t="shared" si="113"/>
        <v>7.4534227590203755E-2</v>
      </c>
      <c r="AB577" s="43">
        <f t="shared" si="114"/>
        <v>0.2056779606975212</v>
      </c>
    </row>
    <row r="578" spans="1:28">
      <c r="A578" s="48" t="s">
        <v>59</v>
      </c>
      <c r="B578" s="50">
        <v>150</v>
      </c>
      <c r="C578" s="50">
        <v>600</v>
      </c>
      <c r="D578" s="50">
        <v>10.28</v>
      </c>
      <c r="E578" s="50">
        <v>375.19541427826994</v>
      </c>
      <c r="F578" s="50">
        <v>6253.2569046378321</v>
      </c>
      <c r="G578" s="57" t="s">
        <v>100</v>
      </c>
      <c r="H578" s="50">
        <v>0.251</v>
      </c>
      <c r="I578" s="50">
        <v>138</v>
      </c>
      <c r="J578" s="50">
        <v>2623</v>
      </c>
      <c r="K578" s="50">
        <v>4639</v>
      </c>
      <c r="L578" s="50">
        <v>0.7</v>
      </c>
      <c r="M578" s="50">
        <v>111.87</v>
      </c>
      <c r="N578" s="51">
        <v>28</v>
      </c>
      <c r="O578" s="43">
        <f t="shared" si="110"/>
        <v>0.30000000000000004</v>
      </c>
      <c r="P578" s="43">
        <f t="shared" si="103"/>
        <v>1027.2934142782699</v>
      </c>
      <c r="Q578" s="43">
        <f t="shared" si="104"/>
        <v>5.3482567783341353E-5</v>
      </c>
      <c r="R578" s="43">
        <v>35</v>
      </c>
      <c r="S578" s="43">
        <f t="shared" si="105"/>
        <v>0.25</v>
      </c>
      <c r="T578" s="43">
        <f t="shared" si="106"/>
        <v>2.0495859813759543</v>
      </c>
      <c r="U578" s="43" t="str" cm="1">
        <f t="array" ref="U578">_xlfn.IFS(T578&lt;3,"Group I",T578&lt;5,"Group II",T578&lt;10,"Group III",T578&lt;20,"Group IV",T578&lt;50,"Group V",T578&lt;100,"Group VI",T578&lt;200,"Group VII",T578&lt;500,"Group VIII",T578&lt;1000,"Group IX",TRUE,"Group X")</f>
        <v>Group I</v>
      </c>
      <c r="V578" s="43">
        <f t="shared" si="107"/>
        <v>0.31166614195179776</v>
      </c>
      <c r="W578" s="43">
        <f t="shared" si="108"/>
        <v>0.39265130434782597</v>
      </c>
      <c r="X578" s="43">
        <f t="shared" si="111"/>
        <v>-0.4059929555270223</v>
      </c>
      <c r="Y578" s="43">
        <f t="shared" si="109"/>
        <v>0.25029051577724143</v>
      </c>
      <c r="Z578" s="43">
        <f t="shared" si="112"/>
        <v>-0.60155560673875041</v>
      </c>
      <c r="AA578" s="43">
        <f t="shared" si="113"/>
        <v>0.11180134138530563</v>
      </c>
      <c r="AB578" s="43">
        <f t="shared" si="114"/>
        <v>0.23208407625928718</v>
      </c>
    </row>
    <row r="579" spans="1:28">
      <c r="A579" s="48" t="s">
        <v>59</v>
      </c>
      <c r="B579" s="50">
        <v>200</v>
      </c>
      <c r="C579" s="50">
        <v>600</v>
      </c>
      <c r="D579" s="50">
        <v>10.28</v>
      </c>
      <c r="E579" s="50">
        <v>375.19541427826994</v>
      </c>
      <c r="F579" s="50">
        <v>6253.2569046378321</v>
      </c>
      <c r="G579" s="57" t="s">
        <v>100</v>
      </c>
      <c r="H579" s="50">
        <v>0.251</v>
      </c>
      <c r="I579" s="50">
        <v>138</v>
      </c>
      <c r="J579" s="50">
        <v>2623</v>
      </c>
      <c r="K579" s="50">
        <v>4639</v>
      </c>
      <c r="L579" s="50">
        <v>0.7</v>
      </c>
      <c r="M579" s="50">
        <v>122</v>
      </c>
      <c r="N579" s="51">
        <v>32.99</v>
      </c>
      <c r="O579" s="43">
        <f t="shared" si="110"/>
        <v>0.30000000000000004</v>
      </c>
      <c r="P579" s="43">
        <f t="shared" si="103"/>
        <v>1027.2934142782699</v>
      </c>
      <c r="Q579" s="43">
        <f t="shared" si="104"/>
        <v>5.3482567783341353E-5</v>
      </c>
      <c r="R579" s="43">
        <v>35</v>
      </c>
      <c r="S579" s="43">
        <f t="shared" si="105"/>
        <v>0.33333333333333331</v>
      </c>
      <c r="T579" s="43">
        <f t="shared" si="106"/>
        <v>2.7327813085012722</v>
      </c>
      <c r="U579" s="43" t="str" cm="1">
        <f t="array" ref="U579">_xlfn.IFS(T579&lt;3,"Group I",T579&lt;5,"Group II",T579&lt;10,"Group III",T579&lt;20,"Group IV",T579&lt;50,"Group V",T579&lt;100,"Group VI",T579&lt;200,"Group VII",T579&lt;500,"Group VIII",T579&lt;1000,"Group IX",TRUE,"Group X")</f>
        <v>Group I</v>
      </c>
      <c r="V579" s="43">
        <f t="shared" si="107"/>
        <v>0.43660487856009772</v>
      </c>
      <c r="W579" s="43">
        <f t="shared" si="108"/>
        <v>0.39265130434782597</v>
      </c>
      <c r="X579" s="43">
        <f t="shared" si="111"/>
        <v>-0.4059929555270223</v>
      </c>
      <c r="Y579" s="43">
        <f t="shared" si="109"/>
        <v>0.27040983606557378</v>
      </c>
      <c r="Z579" s="43">
        <f t="shared" si="112"/>
        <v>-0.56797751512940431</v>
      </c>
      <c r="AA579" s="43">
        <f t="shared" si="113"/>
        <v>0.14906845518040751</v>
      </c>
      <c r="AB579" s="43">
        <f t="shared" si="114"/>
        <v>0.25285095211930725</v>
      </c>
    </row>
    <row r="580" spans="1:28">
      <c r="A580" s="48" t="s">
        <v>59</v>
      </c>
      <c r="B580" s="50">
        <v>250</v>
      </c>
      <c r="C580" s="50">
        <v>600</v>
      </c>
      <c r="D580" s="50">
        <v>10.28</v>
      </c>
      <c r="E580" s="50">
        <v>375.19541427826994</v>
      </c>
      <c r="F580" s="50">
        <v>6253.2569046378321</v>
      </c>
      <c r="G580" s="57" t="s">
        <v>100</v>
      </c>
      <c r="H580" s="50">
        <v>0.251</v>
      </c>
      <c r="I580" s="50">
        <v>138</v>
      </c>
      <c r="J580" s="50">
        <v>2623</v>
      </c>
      <c r="K580" s="50">
        <v>4639</v>
      </c>
      <c r="L580" s="50">
        <v>0.7</v>
      </c>
      <c r="M580" s="50">
        <v>139</v>
      </c>
      <c r="N580" s="51">
        <v>49.2</v>
      </c>
      <c r="O580" s="43">
        <f t="shared" si="110"/>
        <v>0.30000000000000004</v>
      </c>
      <c r="P580" s="43">
        <f t="shared" ref="P580:P643" si="115">H580*(J580-25)+E580</f>
        <v>1027.2934142782699</v>
      </c>
      <c r="Q580" s="43">
        <f t="shared" ref="Q580:Q643" si="116">I580/(D580*H580*10^6)</f>
        <v>5.3482567783341353E-5</v>
      </c>
      <c r="R580" s="43">
        <v>35</v>
      </c>
      <c r="S580" s="43">
        <f t="shared" ref="S580:S643" si="117">B580/C580</f>
        <v>0.41666666666666669</v>
      </c>
      <c r="T580" s="43">
        <f t="shared" ref="T580:T643" si="118">(O580*B580)/(D580*P580*1000000*SQRT(PI()*(R580*0.000001)^3*Q580*(C580/1000)))</f>
        <v>3.4159766356265902</v>
      </c>
      <c r="U580" s="43" t="str" cm="1">
        <f t="array" ref="U580">_xlfn.IFS(T580&lt;3,"Group I",T580&lt;5,"Group II",T580&lt;10,"Group III",T580&lt;20,"Group IV",T580&lt;50,"Group V",T580&lt;100,"Group VI",T580&lt;200,"Group VII",T580&lt;500,"Group VIII",T580&lt;1000,"Group IX",TRUE,"Group X")</f>
        <v>Group II</v>
      </c>
      <c r="V580" s="43">
        <f t="shared" ref="V580:V643" si="119">LOG(T580)</f>
        <v>0.53351489156815413</v>
      </c>
      <c r="W580" s="43">
        <f t="shared" ref="W580:W643" si="120">(C580/1000)*(R580/1000000)/Q580</f>
        <v>0.39265130434782597</v>
      </c>
      <c r="X580" s="43">
        <f t="shared" si="111"/>
        <v>-0.4059929555270223</v>
      </c>
      <c r="Y580" s="43">
        <f t="shared" ref="Y580:Y643" si="121">N580/M580</f>
        <v>0.35395683453237414</v>
      </c>
      <c r="Z580" s="43">
        <f t="shared" si="112"/>
        <v>-0.45104969748673468</v>
      </c>
      <c r="AA580" s="43">
        <f t="shared" si="113"/>
        <v>0.18633556897550937</v>
      </c>
      <c r="AB580" s="43">
        <f t="shared" si="114"/>
        <v>0.27023032664746821</v>
      </c>
    </row>
    <row r="581" spans="1:28">
      <c r="A581" s="48" t="s">
        <v>59</v>
      </c>
      <c r="B581" s="50">
        <v>300</v>
      </c>
      <c r="C581" s="50">
        <v>600</v>
      </c>
      <c r="D581" s="50">
        <v>10.28</v>
      </c>
      <c r="E581" s="50">
        <v>375.19541427826994</v>
      </c>
      <c r="F581" s="50">
        <v>6253.2569046378321</v>
      </c>
      <c r="G581" s="57" t="s">
        <v>100</v>
      </c>
      <c r="H581" s="50">
        <v>0.251</v>
      </c>
      <c r="I581" s="50">
        <v>138</v>
      </c>
      <c r="J581" s="50">
        <v>2623</v>
      </c>
      <c r="K581" s="50">
        <v>4639</v>
      </c>
      <c r="L581" s="50">
        <v>0.7</v>
      </c>
      <c r="M581" s="50">
        <v>156.9</v>
      </c>
      <c r="N581" s="51">
        <v>73.75</v>
      </c>
      <c r="O581" s="43">
        <f t="shared" si="110"/>
        <v>0.30000000000000004</v>
      </c>
      <c r="P581" s="43">
        <f t="shared" si="115"/>
        <v>1027.2934142782699</v>
      </c>
      <c r="Q581" s="43">
        <f t="shared" si="116"/>
        <v>5.3482567783341353E-5</v>
      </c>
      <c r="R581" s="43">
        <v>35</v>
      </c>
      <c r="S581" s="43">
        <f t="shared" si="117"/>
        <v>0.5</v>
      </c>
      <c r="T581" s="43">
        <f t="shared" si="118"/>
        <v>4.0991719627519085</v>
      </c>
      <c r="U581" s="43" t="str" cm="1">
        <f t="array" ref="U581">_xlfn.IFS(T581&lt;3,"Group I",T581&lt;5,"Group II",T581&lt;10,"Group III",T581&lt;20,"Group IV",T581&lt;50,"Group V",T581&lt;100,"Group VI",T581&lt;200,"Group VII",T581&lt;500,"Group VIII",T581&lt;1000,"Group IX",TRUE,"Group X")</f>
        <v>Group II</v>
      </c>
      <c r="V581" s="43">
        <f t="shared" si="119"/>
        <v>0.61269613761577901</v>
      </c>
      <c r="W581" s="43">
        <f t="shared" si="120"/>
        <v>0.39265130434782597</v>
      </c>
      <c r="X581" s="43">
        <f t="shared" si="111"/>
        <v>-0.4059929555270223</v>
      </c>
      <c r="Y581" s="43">
        <f t="shared" si="121"/>
        <v>0.47004461440407902</v>
      </c>
      <c r="Z581" s="43">
        <f t="shared" si="112"/>
        <v>-0.32786091893673608</v>
      </c>
      <c r="AA581" s="43">
        <f t="shared" si="113"/>
        <v>0.22360268277061127</v>
      </c>
      <c r="AB581" s="43">
        <f t="shared" si="114"/>
        <v>0.2853134067202851</v>
      </c>
    </row>
    <row r="582" spans="1:28">
      <c r="A582" s="48" t="s">
        <v>59</v>
      </c>
      <c r="B582" s="50">
        <v>100</v>
      </c>
      <c r="C582" s="50">
        <v>900</v>
      </c>
      <c r="D582" s="50">
        <v>10.28</v>
      </c>
      <c r="E582" s="50">
        <v>375.19541427826994</v>
      </c>
      <c r="F582" s="50">
        <v>6253.2569046378321</v>
      </c>
      <c r="G582" s="57" t="s">
        <v>100</v>
      </c>
      <c r="H582" s="50">
        <v>0.251</v>
      </c>
      <c r="I582" s="50">
        <v>138</v>
      </c>
      <c r="J582" s="50">
        <v>2623</v>
      </c>
      <c r="K582" s="50">
        <v>4639</v>
      </c>
      <c r="L582" s="50">
        <v>0.7</v>
      </c>
      <c r="M582" s="50">
        <v>155.91999999999999</v>
      </c>
      <c r="N582" s="51">
        <v>63.5</v>
      </c>
      <c r="O582" s="43">
        <f t="shared" si="110"/>
        <v>0.30000000000000004</v>
      </c>
      <c r="P582" s="43">
        <f t="shared" si="115"/>
        <v>1027.2934142782699</v>
      </c>
      <c r="Q582" s="43">
        <f t="shared" si="116"/>
        <v>5.3482567783341353E-5</v>
      </c>
      <c r="R582" s="43">
        <v>35</v>
      </c>
      <c r="S582" s="43">
        <f t="shared" si="117"/>
        <v>0.1111111111111111</v>
      </c>
      <c r="T582" s="43">
        <f t="shared" si="118"/>
        <v>1.1156532974072428</v>
      </c>
      <c r="U582" s="43" t="str" cm="1">
        <f t="array" ref="U582">_xlfn.IFS(T582&lt;3,"Group I",T582&lt;5,"Group II",T582&lt;10,"Group III",T582&lt;20,"Group IV",T582&lt;50,"Group V",T582&lt;100,"Group VI",T582&lt;200,"Group VII",T582&lt;500,"Group VIII",T582&lt;1000,"Group IX",TRUE,"Group X")</f>
        <v>Group I</v>
      </c>
      <c r="V582" s="43">
        <f t="shared" si="119"/>
        <v>4.7529253368275813E-2</v>
      </c>
      <c r="W582" s="43">
        <f t="shared" si="120"/>
        <v>0.58897695652173898</v>
      </c>
      <c r="X582" s="43">
        <f t="shared" si="111"/>
        <v>-0.22990169647134104</v>
      </c>
      <c r="Y582" s="43">
        <f t="shared" si="121"/>
        <v>0.4072601334017445</v>
      </c>
      <c r="Z582" s="43">
        <f t="shared" si="112"/>
        <v>-0.39012810081758936</v>
      </c>
      <c r="AA582" s="43">
        <f t="shared" si="113"/>
        <v>6.1976771553227249E-2</v>
      </c>
      <c r="AB582" s="43">
        <f t="shared" si="114"/>
        <v>0.19362390048232073</v>
      </c>
    </row>
    <row r="583" spans="1:28">
      <c r="A583" s="48" t="s">
        <v>59</v>
      </c>
      <c r="B583" s="50">
        <v>150</v>
      </c>
      <c r="C583" s="50">
        <v>900</v>
      </c>
      <c r="D583" s="50">
        <v>10.28</v>
      </c>
      <c r="E583" s="50">
        <v>375.19541427826994</v>
      </c>
      <c r="F583" s="50">
        <v>6253.2569046378321</v>
      </c>
      <c r="G583" s="57" t="s">
        <v>100</v>
      </c>
      <c r="H583" s="50">
        <v>0.251</v>
      </c>
      <c r="I583" s="50">
        <v>138</v>
      </c>
      <c r="J583" s="50">
        <v>2623</v>
      </c>
      <c r="K583" s="50">
        <v>4639</v>
      </c>
      <c r="L583" s="50">
        <v>0.7</v>
      </c>
      <c r="M583" s="50">
        <v>144.4</v>
      </c>
      <c r="N583" s="51">
        <v>96.54</v>
      </c>
      <c r="O583" s="43">
        <f t="shared" si="110"/>
        <v>0.30000000000000004</v>
      </c>
      <c r="P583" s="43">
        <f t="shared" si="115"/>
        <v>1027.2934142782699</v>
      </c>
      <c r="Q583" s="43">
        <f t="shared" si="116"/>
        <v>5.3482567783341353E-5</v>
      </c>
      <c r="R583" s="43">
        <v>35</v>
      </c>
      <c r="S583" s="43">
        <f t="shared" si="117"/>
        <v>0.16666666666666666</v>
      </c>
      <c r="T583" s="43">
        <f t="shared" si="118"/>
        <v>1.6734799461108645</v>
      </c>
      <c r="U583" s="43" t="str" cm="1">
        <f t="array" ref="U583">_xlfn.IFS(T583&lt;3,"Group I",T583&lt;5,"Group II",T583&lt;10,"Group III",T583&lt;20,"Group IV",T583&lt;50,"Group V",T583&lt;100,"Group VI",T583&lt;200,"Group VII",T583&lt;500,"Group VIII",T583&lt;1000,"Group IX",TRUE,"Group X")</f>
        <v>Group I</v>
      </c>
      <c r="V583" s="43">
        <f t="shared" si="119"/>
        <v>0.22362051242395711</v>
      </c>
      <c r="W583" s="43">
        <f t="shared" si="120"/>
        <v>0.58897695652173898</v>
      </c>
      <c r="X583" s="43">
        <f t="shared" si="111"/>
        <v>-0.22990169647134104</v>
      </c>
      <c r="Y583" s="43">
        <f t="shared" si="121"/>
        <v>0.66855955678670365</v>
      </c>
      <c r="Z583" s="43">
        <f t="shared" si="112"/>
        <v>-0.1748598987509471</v>
      </c>
      <c r="AA583" s="43">
        <f t="shared" si="113"/>
        <v>9.2965157329840883E-2</v>
      </c>
      <c r="AB583" s="43">
        <f t="shared" si="114"/>
        <v>0.21848244669853498</v>
      </c>
    </row>
    <row r="584" spans="1:28">
      <c r="A584" s="48" t="s">
        <v>59</v>
      </c>
      <c r="B584" s="50">
        <v>200</v>
      </c>
      <c r="C584" s="50">
        <v>900</v>
      </c>
      <c r="D584" s="50">
        <v>10.28</v>
      </c>
      <c r="E584" s="50">
        <v>375.19541427826994</v>
      </c>
      <c r="F584" s="50">
        <v>6253.2569046378321</v>
      </c>
      <c r="G584" s="57" t="s">
        <v>100</v>
      </c>
      <c r="H584" s="50">
        <v>0.251</v>
      </c>
      <c r="I584" s="50">
        <v>138</v>
      </c>
      <c r="J584" s="50">
        <v>2623</v>
      </c>
      <c r="K584" s="50">
        <v>4639</v>
      </c>
      <c r="L584" s="50">
        <v>0.7</v>
      </c>
      <c r="M584" s="50">
        <v>165</v>
      </c>
      <c r="N584" s="51">
        <v>112</v>
      </c>
      <c r="O584" s="43">
        <f t="shared" si="110"/>
        <v>0.30000000000000004</v>
      </c>
      <c r="P584" s="43">
        <f t="shared" si="115"/>
        <v>1027.2934142782699</v>
      </c>
      <c r="Q584" s="43">
        <f t="shared" si="116"/>
        <v>5.3482567783341353E-5</v>
      </c>
      <c r="R584" s="43">
        <v>35</v>
      </c>
      <c r="S584" s="43">
        <f t="shared" si="117"/>
        <v>0.22222222222222221</v>
      </c>
      <c r="T584" s="43">
        <f t="shared" si="118"/>
        <v>2.2313065948144857</v>
      </c>
      <c r="U584" s="43" t="str" cm="1">
        <f t="array" ref="U584">_xlfn.IFS(T584&lt;3,"Group I",T584&lt;5,"Group II",T584&lt;10,"Group III",T584&lt;20,"Group IV",T584&lt;50,"Group V",T584&lt;100,"Group VI",T584&lt;200,"Group VII",T584&lt;500,"Group VIII",T584&lt;1000,"Group IX",TRUE,"Group X")</f>
        <v>Group I</v>
      </c>
      <c r="V584" s="43">
        <f t="shared" si="119"/>
        <v>0.34855924903225699</v>
      </c>
      <c r="W584" s="43">
        <f t="shared" si="120"/>
        <v>0.58897695652173898</v>
      </c>
      <c r="X584" s="43">
        <f t="shared" si="111"/>
        <v>-0.22990169647134104</v>
      </c>
      <c r="Y584" s="43">
        <f t="shared" si="121"/>
        <v>0.67878787878787883</v>
      </c>
      <c r="Z584" s="43">
        <f t="shared" si="112"/>
        <v>-0.16826592154372463</v>
      </c>
      <c r="AA584" s="43">
        <f t="shared" si="113"/>
        <v>0.1239535431064545</v>
      </c>
      <c r="AB584" s="43">
        <f t="shared" si="114"/>
        <v>0.23803224917232868</v>
      </c>
    </row>
    <row r="585" spans="1:28">
      <c r="A585" s="48" t="s">
        <v>59</v>
      </c>
      <c r="B585" s="50">
        <v>250</v>
      </c>
      <c r="C585" s="50">
        <v>900</v>
      </c>
      <c r="D585" s="50">
        <v>10.28</v>
      </c>
      <c r="E585" s="50">
        <v>375.19541427826994</v>
      </c>
      <c r="F585" s="50">
        <v>6253.2569046378321</v>
      </c>
      <c r="G585" s="57" t="s">
        <v>100</v>
      </c>
      <c r="H585" s="50">
        <v>0.251</v>
      </c>
      <c r="I585" s="50">
        <v>138</v>
      </c>
      <c r="J585" s="50">
        <v>2623</v>
      </c>
      <c r="K585" s="50">
        <v>4639</v>
      </c>
      <c r="L585" s="50">
        <v>0.7</v>
      </c>
      <c r="M585" s="50">
        <v>182</v>
      </c>
      <c r="N585" s="51">
        <v>131</v>
      </c>
      <c r="O585" s="43">
        <f t="shared" si="110"/>
        <v>0.30000000000000004</v>
      </c>
      <c r="P585" s="43">
        <f t="shared" si="115"/>
        <v>1027.2934142782699</v>
      </c>
      <c r="Q585" s="43">
        <f t="shared" si="116"/>
        <v>5.3482567783341353E-5</v>
      </c>
      <c r="R585" s="43">
        <v>35</v>
      </c>
      <c r="S585" s="43">
        <f t="shared" si="117"/>
        <v>0.27777777777777779</v>
      </c>
      <c r="T585" s="43">
        <f t="shared" si="118"/>
        <v>2.7891332435181075</v>
      </c>
      <c r="U585" s="43" t="str" cm="1">
        <f t="array" ref="U585">_xlfn.IFS(T585&lt;3,"Group I",T585&lt;5,"Group II",T585&lt;10,"Group III",T585&lt;20,"Group IV",T585&lt;50,"Group V",T585&lt;100,"Group VI",T585&lt;200,"Group VII",T585&lt;500,"Group VIII",T585&lt;1000,"Group IX",TRUE,"Group X")</f>
        <v>Group I</v>
      </c>
      <c r="V585" s="43">
        <f t="shared" si="119"/>
        <v>0.44546926204031351</v>
      </c>
      <c r="W585" s="43">
        <f t="shared" si="120"/>
        <v>0.58897695652173898</v>
      </c>
      <c r="X585" s="43">
        <f t="shared" si="111"/>
        <v>-0.22990169647134104</v>
      </c>
      <c r="Y585" s="43">
        <f t="shared" si="121"/>
        <v>0.71978021978021978</v>
      </c>
      <c r="Z585" s="43">
        <f t="shared" si="112"/>
        <v>-0.14280009232931054</v>
      </c>
      <c r="AA585" s="43">
        <f t="shared" si="113"/>
        <v>0.15494192888306815</v>
      </c>
      <c r="AB585" s="43">
        <f t="shared" si="114"/>
        <v>0.25439307982561593</v>
      </c>
    </row>
    <row r="586" spans="1:28" ht="18.600000000000001" thickBot="1">
      <c r="A586" s="53" t="s">
        <v>59</v>
      </c>
      <c r="B586" s="54">
        <v>300</v>
      </c>
      <c r="C586" s="54">
        <v>900</v>
      </c>
      <c r="D586" s="54">
        <v>10.28</v>
      </c>
      <c r="E586" s="54">
        <v>375.19541427826994</v>
      </c>
      <c r="F586" s="54">
        <v>6253.2569046378321</v>
      </c>
      <c r="G586" s="57" t="s">
        <v>100</v>
      </c>
      <c r="H586" s="54">
        <v>0.251</v>
      </c>
      <c r="I586" s="54">
        <v>138</v>
      </c>
      <c r="J586" s="54">
        <v>2623</v>
      </c>
      <c r="K586" s="54">
        <v>4639</v>
      </c>
      <c r="L586" s="54">
        <v>0.7</v>
      </c>
      <c r="M586" s="54">
        <v>198</v>
      </c>
      <c r="N586" s="55">
        <v>148</v>
      </c>
      <c r="O586" s="43">
        <f t="shared" si="110"/>
        <v>0.30000000000000004</v>
      </c>
      <c r="P586" s="43">
        <f t="shared" si="115"/>
        <v>1027.2934142782699</v>
      </c>
      <c r="Q586" s="43">
        <f t="shared" si="116"/>
        <v>5.3482567783341353E-5</v>
      </c>
      <c r="R586" s="43">
        <v>35</v>
      </c>
      <c r="S586" s="43">
        <f t="shared" si="117"/>
        <v>0.33333333333333331</v>
      </c>
      <c r="T586" s="43">
        <f t="shared" si="118"/>
        <v>3.346959892221729</v>
      </c>
      <c r="U586" s="43" t="str" cm="1">
        <f t="array" ref="U586">_xlfn.IFS(T586&lt;3,"Group I",T586&lt;5,"Group II",T586&lt;10,"Group III",T586&lt;20,"Group IV",T586&lt;50,"Group V",T586&lt;100,"Group VI",T586&lt;200,"Group VII",T586&lt;500,"Group VIII",T586&lt;1000,"Group IX",TRUE,"Group X")</f>
        <v>Group II</v>
      </c>
      <c r="V586" s="43">
        <f t="shared" si="119"/>
        <v>0.52465050808793834</v>
      </c>
      <c r="W586" s="43">
        <f t="shared" si="120"/>
        <v>0.58897695652173898</v>
      </c>
      <c r="X586" s="43">
        <f t="shared" si="111"/>
        <v>-0.22990169647134104</v>
      </c>
      <c r="Y586" s="43">
        <f t="shared" si="121"/>
        <v>0.74747474747474751</v>
      </c>
      <c r="Z586" s="43">
        <f t="shared" si="112"/>
        <v>-0.12640347486657369</v>
      </c>
      <c r="AA586" s="43">
        <f t="shared" si="113"/>
        <v>0.18593031465968177</v>
      </c>
      <c r="AB586" s="43">
        <f t="shared" si="114"/>
        <v>0.26859219374663001</v>
      </c>
    </row>
    <row r="587" spans="1:28">
      <c r="A587" s="56" t="s">
        <v>60</v>
      </c>
      <c r="B587" s="57">
        <v>200</v>
      </c>
      <c r="C587" s="57">
        <v>200</v>
      </c>
      <c r="D587" s="57">
        <v>16.690000000000001</v>
      </c>
      <c r="E587" s="57">
        <v>202.26818904979712</v>
      </c>
      <c r="F587" s="57">
        <v>4049.7849435981234</v>
      </c>
      <c r="G587" s="57" t="s">
        <v>101</v>
      </c>
      <c r="H587" s="57">
        <v>0.14000000000000001</v>
      </c>
      <c r="I587" s="57">
        <v>57</v>
      </c>
      <c r="J587" s="57">
        <v>3017</v>
      </c>
      <c r="K587" s="57">
        <v>5458</v>
      </c>
      <c r="L587" s="57">
        <v>0.7</v>
      </c>
      <c r="M587" s="57">
        <v>191</v>
      </c>
      <c r="N587" s="58">
        <v>35</v>
      </c>
      <c r="O587" s="43">
        <f t="shared" si="110"/>
        <v>0.30000000000000004</v>
      </c>
      <c r="P587" s="43">
        <f t="shared" si="115"/>
        <v>621.14818904979711</v>
      </c>
      <c r="Q587" s="43">
        <f t="shared" si="116"/>
        <v>2.4394419241633143E-5</v>
      </c>
      <c r="R587" s="43">
        <v>35</v>
      </c>
      <c r="S587" s="43">
        <f t="shared" si="117"/>
        <v>1</v>
      </c>
      <c r="T587" s="43">
        <f t="shared" si="118"/>
        <v>7.1394120507552081</v>
      </c>
      <c r="U587" s="43" t="str" cm="1">
        <f t="array" ref="U587">_xlfn.IFS(T587&lt;3,"Group I",T587&lt;5,"Group II",T587&lt;10,"Group III",T587&lt;20,"Group IV",T587&lt;50,"Group V",T587&lt;100,"Group VI",T587&lt;200,"Group VII",T587&lt;500,"Group VIII",T587&lt;1000,"Group IX",TRUE,"Group X")</f>
        <v>Group III</v>
      </c>
      <c r="V587" s="43">
        <f t="shared" si="119"/>
        <v>0.8536624479629461</v>
      </c>
      <c r="W587" s="43">
        <f t="shared" si="120"/>
        <v>0.28695087719298246</v>
      </c>
      <c r="X587" s="43">
        <f t="shared" si="111"/>
        <v>-0.54219244330074978</v>
      </c>
      <c r="Y587" s="43">
        <f t="shared" si="121"/>
        <v>0.18324607329842932</v>
      </c>
      <c r="Z587" s="43">
        <f t="shared" si="112"/>
        <v>-0.73696532289745187</v>
      </c>
      <c r="AA587" s="43">
        <f t="shared" si="113"/>
        <v>0.38398868683062104</v>
      </c>
      <c r="AB587" s="43">
        <f t="shared" si="114"/>
        <v>0.33659374664999664</v>
      </c>
    </row>
    <row r="588" spans="1:28">
      <c r="A588" s="48" t="s">
        <v>60</v>
      </c>
      <c r="B588" s="50">
        <v>200</v>
      </c>
      <c r="C588" s="50">
        <v>400</v>
      </c>
      <c r="D588" s="50">
        <v>16.690000000000001</v>
      </c>
      <c r="E588" s="50">
        <v>202.26818904979712</v>
      </c>
      <c r="F588" s="50">
        <v>4049.7849435981234</v>
      </c>
      <c r="G588" s="57" t="s">
        <v>101</v>
      </c>
      <c r="H588" s="50">
        <v>0.14000000000000001</v>
      </c>
      <c r="I588" s="50">
        <v>57</v>
      </c>
      <c r="J588" s="50">
        <v>3017</v>
      </c>
      <c r="K588" s="50">
        <v>5458</v>
      </c>
      <c r="L588" s="50">
        <v>0.7</v>
      </c>
      <c r="M588" s="50">
        <v>103</v>
      </c>
      <c r="N588" s="51">
        <v>28</v>
      </c>
      <c r="O588" s="43">
        <f t="shared" si="110"/>
        <v>0.30000000000000004</v>
      </c>
      <c r="P588" s="43">
        <f t="shared" si="115"/>
        <v>621.14818904979711</v>
      </c>
      <c r="Q588" s="43">
        <f t="shared" si="116"/>
        <v>2.4394419241633143E-5</v>
      </c>
      <c r="R588" s="43">
        <v>35</v>
      </c>
      <c r="S588" s="43">
        <f t="shared" si="117"/>
        <v>0.5</v>
      </c>
      <c r="T588" s="43">
        <f t="shared" si="118"/>
        <v>5.0483266747739632</v>
      </c>
      <c r="U588" s="43" t="str" cm="1">
        <f t="array" ref="U588">_xlfn.IFS(T588&lt;3,"Group I",T588&lt;5,"Group II",T588&lt;10,"Group III",T588&lt;20,"Group IV",T588&lt;50,"Group V",T588&lt;100,"Group VI",T588&lt;200,"Group VII",T588&lt;500,"Group VIII",T588&lt;1000,"Group IX",TRUE,"Group X")</f>
        <v>Group III</v>
      </c>
      <c r="V588" s="43">
        <f t="shared" si="119"/>
        <v>0.70314745013095548</v>
      </c>
      <c r="W588" s="43">
        <f t="shared" si="120"/>
        <v>0.57390175438596491</v>
      </c>
      <c r="X588" s="43">
        <f t="shared" si="111"/>
        <v>-0.24116244763676864</v>
      </c>
      <c r="Y588" s="43">
        <f t="shared" si="121"/>
        <v>0.27184466019417475</v>
      </c>
      <c r="Z588" s="43">
        <f t="shared" si="112"/>
        <v>-0.56567919336295303</v>
      </c>
      <c r="AA588" s="43">
        <f t="shared" si="113"/>
        <v>0.28011782807492719</v>
      </c>
      <c r="AB588" s="43">
        <f t="shared" si="114"/>
        <v>0.30357613358580327</v>
      </c>
    </row>
    <row r="589" spans="1:28">
      <c r="A589" s="48" t="s">
        <v>60</v>
      </c>
      <c r="B589" s="50">
        <v>200</v>
      </c>
      <c r="C589" s="50">
        <v>600</v>
      </c>
      <c r="D589" s="50">
        <v>16.690000000000001</v>
      </c>
      <c r="E589" s="50">
        <v>202.26818904979712</v>
      </c>
      <c r="F589" s="50">
        <v>4049.7849435981234</v>
      </c>
      <c r="G589" s="57" t="s">
        <v>101</v>
      </c>
      <c r="H589" s="50">
        <v>0.14000000000000001</v>
      </c>
      <c r="I589" s="50">
        <v>57</v>
      </c>
      <c r="J589" s="50">
        <v>3017</v>
      </c>
      <c r="K589" s="50">
        <v>5458</v>
      </c>
      <c r="L589" s="50">
        <v>0.7</v>
      </c>
      <c r="M589" s="50">
        <v>88</v>
      </c>
      <c r="N589" s="51">
        <v>17</v>
      </c>
      <c r="O589" s="43">
        <f t="shared" si="110"/>
        <v>0.30000000000000004</v>
      </c>
      <c r="P589" s="43">
        <f t="shared" si="115"/>
        <v>621.14818904979711</v>
      </c>
      <c r="Q589" s="43">
        <f t="shared" si="116"/>
        <v>2.4394419241633143E-5</v>
      </c>
      <c r="R589" s="43">
        <v>35</v>
      </c>
      <c r="S589" s="43">
        <f t="shared" si="117"/>
        <v>0.33333333333333331</v>
      </c>
      <c r="T589" s="43">
        <f t="shared" si="118"/>
        <v>4.1219414693591778</v>
      </c>
      <c r="U589" s="43" t="str" cm="1">
        <f t="array" ref="U589">_xlfn.IFS(T589&lt;3,"Group I",T589&lt;5,"Group II",T589&lt;10,"Group III",T589&lt;20,"Group IV",T589&lt;50,"Group V",T589&lt;100,"Group VI",T589&lt;200,"Group VII",T589&lt;500,"Group VIII",T589&lt;1000,"Group IX",TRUE,"Group X")</f>
        <v>Group II</v>
      </c>
      <c r="V589" s="43">
        <f t="shared" si="119"/>
        <v>0.61510182060311491</v>
      </c>
      <c r="W589" s="43">
        <f t="shared" si="120"/>
        <v>0.86085263157894731</v>
      </c>
      <c r="X589" s="43">
        <f t="shared" si="111"/>
        <v>-6.5071188581087416E-2</v>
      </c>
      <c r="Y589" s="43">
        <f t="shared" si="121"/>
        <v>0.19318181818181818</v>
      </c>
      <c r="Z589" s="43">
        <f t="shared" si="112"/>
        <v>-0.71403375077189468</v>
      </c>
      <c r="AA589" s="43">
        <f t="shared" si="113"/>
        <v>0.23292384183595841</v>
      </c>
      <c r="AB589" s="43">
        <f t="shared" si="114"/>
        <v>0.28578460657079863</v>
      </c>
    </row>
    <row r="590" spans="1:28">
      <c r="A590" s="48" t="s">
        <v>60</v>
      </c>
      <c r="B590" s="50">
        <v>200</v>
      </c>
      <c r="C590" s="50">
        <v>800</v>
      </c>
      <c r="D590" s="50">
        <v>16.690000000000001</v>
      </c>
      <c r="E590" s="50">
        <v>202.26818904979712</v>
      </c>
      <c r="F590" s="50">
        <v>4049.7849435981234</v>
      </c>
      <c r="G590" s="57" t="s">
        <v>101</v>
      </c>
      <c r="H590" s="50">
        <v>0.14000000000000001</v>
      </c>
      <c r="I590" s="50">
        <v>57</v>
      </c>
      <c r="J590" s="50">
        <v>3017</v>
      </c>
      <c r="K590" s="50">
        <v>5458</v>
      </c>
      <c r="L590" s="50">
        <v>0.7</v>
      </c>
      <c r="M590" s="50">
        <v>78</v>
      </c>
      <c r="N590" s="51">
        <v>15</v>
      </c>
      <c r="O590" s="43">
        <f t="shared" si="110"/>
        <v>0.30000000000000004</v>
      </c>
      <c r="P590" s="43">
        <f t="shared" si="115"/>
        <v>621.14818904979711</v>
      </c>
      <c r="Q590" s="43">
        <f t="shared" si="116"/>
        <v>2.4394419241633143E-5</v>
      </c>
      <c r="R590" s="43">
        <v>35</v>
      </c>
      <c r="S590" s="43">
        <f t="shared" si="117"/>
        <v>0.25</v>
      </c>
      <c r="T590" s="43">
        <f t="shared" si="118"/>
        <v>3.5697060253776041</v>
      </c>
      <c r="U590" s="43" t="str" cm="1">
        <f t="array" ref="U590">_xlfn.IFS(T590&lt;3,"Group I",T590&lt;5,"Group II",T590&lt;10,"Group III",T590&lt;20,"Group IV",T590&lt;50,"Group V",T590&lt;100,"Group VI",T590&lt;200,"Group VII",T590&lt;500,"Group VIII",T590&lt;1000,"Group IX",TRUE,"Group X")</f>
        <v>Group II</v>
      </c>
      <c r="V590" s="43">
        <f t="shared" si="119"/>
        <v>0.55263245229896485</v>
      </c>
      <c r="W590" s="43">
        <f t="shared" si="120"/>
        <v>1.1478035087719298</v>
      </c>
      <c r="X590" s="43">
        <f t="shared" si="111"/>
        <v>5.9867548027212558E-2</v>
      </c>
      <c r="Y590" s="43">
        <f t="shared" si="121"/>
        <v>0.19230769230769232</v>
      </c>
      <c r="Z590" s="43">
        <f t="shared" si="112"/>
        <v>-0.71600334363479912</v>
      </c>
      <c r="AA590" s="43">
        <f t="shared" si="113"/>
        <v>0.20434455570308541</v>
      </c>
      <c r="AB590" s="43">
        <f t="shared" si="114"/>
        <v>0.2737973292734267</v>
      </c>
    </row>
    <row r="591" spans="1:28">
      <c r="A591" s="48" t="s">
        <v>60</v>
      </c>
      <c r="B591" s="50">
        <v>200</v>
      </c>
      <c r="C591" s="50">
        <v>1200</v>
      </c>
      <c r="D591" s="50">
        <v>16.690000000000001</v>
      </c>
      <c r="E591" s="50">
        <v>202.26818904979712</v>
      </c>
      <c r="F591" s="50">
        <v>4049.7849435981234</v>
      </c>
      <c r="G591" s="57" t="s">
        <v>101</v>
      </c>
      <c r="H591" s="50">
        <v>0.14000000000000001</v>
      </c>
      <c r="I591" s="50">
        <v>57</v>
      </c>
      <c r="J591" s="50">
        <v>3017</v>
      </c>
      <c r="K591" s="50">
        <v>5458</v>
      </c>
      <c r="L591" s="50">
        <v>0.7</v>
      </c>
      <c r="M591" s="50">
        <v>75</v>
      </c>
      <c r="N591" s="51">
        <v>8.6</v>
      </c>
      <c r="O591" s="43">
        <f t="shared" si="110"/>
        <v>0.30000000000000004</v>
      </c>
      <c r="P591" s="43">
        <f t="shared" si="115"/>
        <v>621.14818904979711</v>
      </c>
      <c r="Q591" s="43">
        <f t="shared" si="116"/>
        <v>2.4394419241633143E-5</v>
      </c>
      <c r="R591" s="43">
        <v>35</v>
      </c>
      <c r="S591" s="43">
        <f t="shared" si="117"/>
        <v>0.16666666666666666</v>
      </c>
      <c r="T591" s="43">
        <f t="shared" si="118"/>
        <v>2.9146527646379163</v>
      </c>
      <c r="U591" s="43" t="str" cm="1">
        <f t="array" ref="U591">_xlfn.IFS(T591&lt;3,"Group I",T591&lt;5,"Group II",T591&lt;10,"Group III",T591&lt;20,"Group IV",T591&lt;50,"Group V",T591&lt;100,"Group VI",T591&lt;200,"Group VII",T591&lt;500,"Group VIII",T591&lt;1000,"Group IX",TRUE,"Group X")</f>
        <v>Group I</v>
      </c>
      <c r="V591" s="43">
        <f t="shared" si="119"/>
        <v>0.46458682277112429</v>
      </c>
      <c r="W591" s="43">
        <f t="shared" si="120"/>
        <v>1.7217052631578946</v>
      </c>
      <c r="X591" s="43">
        <f t="shared" si="111"/>
        <v>0.23595880708289377</v>
      </c>
      <c r="Y591" s="43">
        <f t="shared" si="121"/>
        <v>0.11466666666666667</v>
      </c>
      <c r="Z591" s="43">
        <f t="shared" si="112"/>
        <v>-0.94056281214813231</v>
      </c>
      <c r="AA591" s="43">
        <f t="shared" si="113"/>
        <v>0.16991677859180487</v>
      </c>
      <c r="AB591" s="43">
        <f t="shared" si="114"/>
        <v>0.25775103300215713</v>
      </c>
    </row>
    <row r="592" spans="1:28">
      <c r="A592" s="48" t="s">
        <v>60</v>
      </c>
      <c r="B592" s="50">
        <v>200</v>
      </c>
      <c r="C592" s="50">
        <v>1600</v>
      </c>
      <c r="D592" s="50">
        <v>16.690000000000001</v>
      </c>
      <c r="E592" s="50">
        <v>202.26818904979712</v>
      </c>
      <c r="F592" s="50">
        <v>4049.7849435981234</v>
      </c>
      <c r="G592" s="57" t="s">
        <v>101</v>
      </c>
      <c r="H592" s="50">
        <v>0.14000000000000001</v>
      </c>
      <c r="I592" s="50">
        <v>57</v>
      </c>
      <c r="J592" s="50">
        <v>3017</v>
      </c>
      <c r="K592" s="50">
        <v>5458</v>
      </c>
      <c r="L592" s="50">
        <v>0.7</v>
      </c>
      <c r="M592" s="50">
        <v>65</v>
      </c>
      <c r="N592" s="51">
        <v>4.7</v>
      </c>
      <c r="O592" s="43">
        <f t="shared" si="110"/>
        <v>0.30000000000000004</v>
      </c>
      <c r="P592" s="43">
        <f t="shared" si="115"/>
        <v>621.14818904979711</v>
      </c>
      <c r="Q592" s="43">
        <f t="shared" si="116"/>
        <v>2.4394419241633143E-5</v>
      </c>
      <c r="R592" s="43">
        <v>35</v>
      </c>
      <c r="S592" s="43">
        <f t="shared" si="117"/>
        <v>0.125</v>
      </c>
      <c r="T592" s="43">
        <f t="shared" si="118"/>
        <v>2.5241633373869816</v>
      </c>
      <c r="U592" s="43" t="str" cm="1">
        <f t="array" ref="U592">_xlfn.IFS(T592&lt;3,"Group I",T592&lt;5,"Group II",T592&lt;10,"Group III",T592&lt;20,"Group IV",T592&lt;50,"Group V",T592&lt;100,"Group VI",T592&lt;200,"Group VII",T592&lt;500,"Group VIII",T592&lt;1000,"Group IX",TRUE,"Group X")</f>
        <v>Group I</v>
      </c>
      <c r="V592" s="43">
        <f t="shared" si="119"/>
        <v>0.40211745446697428</v>
      </c>
      <c r="W592" s="43">
        <f t="shared" si="120"/>
        <v>2.2956070175438597</v>
      </c>
      <c r="X592" s="43">
        <f t="shared" si="111"/>
        <v>0.36089754369119376</v>
      </c>
      <c r="Y592" s="43">
        <f t="shared" si="121"/>
        <v>7.2307692307692309E-2</v>
      </c>
      <c r="Z592" s="43">
        <f t="shared" si="112"/>
        <v>-1.1408154987071382</v>
      </c>
      <c r="AA592" s="43">
        <f t="shared" si="113"/>
        <v>0.14906833218170643</v>
      </c>
      <c r="AB592" s="43">
        <f t="shared" si="114"/>
        <v>0.2469396280655673</v>
      </c>
    </row>
    <row r="593" spans="1:28">
      <c r="A593" s="48" t="s">
        <v>60</v>
      </c>
      <c r="B593" s="50">
        <v>200</v>
      </c>
      <c r="C593" s="50">
        <v>2000</v>
      </c>
      <c r="D593" s="50">
        <v>16.690000000000001</v>
      </c>
      <c r="E593" s="50">
        <v>202.26818904979712</v>
      </c>
      <c r="F593" s="50">
        <v>4049.7849435981234</v>
      </c>
      <c r="G593" s="57" t="s">
        <v>101</v>
      </c>
      <c r="H593" s="50">
        <v>0.14000000000000001</v>
      </c>
      <c r="I593" s="50">
        <v>57</v>
      </c>
      <c r="J593" s="50">
        <v>3017</v>
      </c>
      <c r="K593" s="50">
        <v>5458</v>
      </c>
      <c r="L593" s="50">
        <v>0.7</v>
      </c>
      <c r="M593" s="50">
        <v>55</v>
      </c>
      <c r="N593" s="51">
        <v>4.3</v>
      </c>
      <c r="O593" s="43">
        <f t="shared" si="110"/>
        <v>0.30000000000000004</v>
      </c>
      <c r="P593" s="43">
        <f t="shared" si="115"/>
        <v>621.14818904979711</v>
      </c>
      <c r="Q593" s="43">
        <f t="shared" si="116"/>
        <v>2.4394419241633143E-5</v>
      </c>
      <c r="R593" s="43">
        <v>35</v>
      </c>
      <c r="S593" s="43">
        <f t="shared" si="117"/>
        <v>0.1</v>
      </c>
      <c r="T593" s="43">
        <f t="shared" si="118"/>
        <v>2.2576803234840108</v>
      </c>
      <c r="U593" s="43" t="str" cm="1">
        <f t="array" ref="U593">_xlfn.IFS(T593&lt;3,"Group I",T593&lt;5,"Group II",T593&lt;10,"Group III",T593&lt;20,"Group IV",T593&lt;50,"Group V",T593&lt;100,"Group VI",T593&lt;200,"Group VII",T593&lt;500,"Group VIII",T593&lt;1000,"Group IX",TRUE,"Group X")</f>
        <v>Group I</v>
      </c>
      <c r="V593" s="43">
        <f t="shared" si="119"/>
        <v>0.35366244796294605</v>
      </c>
      <c r="W593" s="43">
        <f t="shared" si="120"/>
        <v>2.8695087719298242</v>
      </c>
      <c r="X593" s="43">
        <f t="shared" si="111"/>
        <v>0.45780755669925011</v>
      </c>
      <c r="Y593" s="43">
        <f t="shared" si="121"/>
        <v>7.8181818181818172E-2</v>
      </c>
      <c r="Z593" s="43">
        <f t="shared" si="112"/>
        <v>-1.1068942339146575</v>
      </c>
      <c r="AA593" s="43">
        <f t="shared" si="113"/>
        <v>0.13467544811072635</v>
      </c>
      <c r="AB593" s="43">
        <f t="shared" si="114"/>
        <v>0.23886693844792348</v>
      </c>
    </row>
    <row r="594" spans="1:28">
      <c r="A594" s="48" t="s">
        <v>60</v>
      </c>
      <c r="B594" s="50">
        <v>200</v>
      </c>
      <c r="C594" s="50">
        <v>2400</v>
      </c>
      <c r="D594" s="50">
        <v>16.690000000000001</v>
      </c>
      <c r="E594" s="50">
        <v>202.26818904979712</v>
      </c>
      <c r="F594" s="50">
        <v>4049.7849435981234</v>
      </c>
      <c r="G594" s="57" t="s">
        <v>101</v>
      </c>
      <c r="H594" s="50">
        <v>0.14000000000000001</v>
      </c>
      <c r="I594" s="50">
        <v>57</v>
      </c>
      <c r="J594" s="50">
        <v>3017</v>
      </c>
      <c r="K594" s="50">
        <v>5458</v>
      </c>
      <c r="L594" s="50">
        <v>0.7</v>
      </c>
      <c r="M594" s="50">
        <v>46</v>
      </c>
      <c r="N594" s="51">
        <v>3.3</v>
      </c>
      <c r="O594" s="43">
        <f t="shared" si="110"/>
        <v>0.30000000000000004</v>
      </c>
      <c r="P594" s="43">
        <f t="shared" si="115"/>
        <v>621.14818904979711</v>
      </c>
      <c r="Q594" s="43">
        <f t="shared" si="116"/>
        <v>2.4394419241633143E-5</v>
      </c>
      <c r="R594" s="43">
        <v>35</v>
      </c>
      <c r="S594" s="43">
        <f t="shared" si="117"/>
        <v>8.3333333333333329E-2</v>
      </c>
      <c r="T594" s="43">
        <f t="shared" si="118"/>
        <v>2.0609707346795889</v>
      </c>
      <c r="U594" s="43" t="str" cm="1">
        <f t="array" ref="U594">_xlfn.IFS(T594&lt;3,"Group I",T594&lt;5,"Group II",T594&lt;10,"Group III",T594&lt;20,"Group IV",T594&lt;50,"Group V",T594&lt;100,"Group VI",T594&lt;200,"Group VII",T594&lt;500,"Group VIII",T594&lt;1000,"Group IX",TRUE,"Group X")</f>
        <v>Group I</v>
      </c>
      <c r="V594" s="43">
        <f t="shared" si="119"/>
        <v>0.31407182493913371</v>
      </c>
      <c r="W594" s="43">
        <f t="shared" si="120"/>
        <v>3.4434105263157893</v>
      </c>
      <c r="X594" s="43">
        <f t="shared" si="111"/>
        <v>0.53698880274687499</v>
      </c>
      <c r="Y594" s="43">
        <f t="shared" si="121"/>
        <v>7.1739130434782611E-2</v>
      </c>
      <c r="Z594" s="43">
        <f t="shared" si="112"/>
        <v>-1.1442438918036866</v>
      </c>
      <c r="AA594" s="43">
        <f t="shared" si="113"/>
        <v>0.12395344083045802</v>
      </c>
      <c r="AB594" s="43">
        <f t="shared" si="114"/>
        <v>0.23246736698262555</v>
      </c>
    </row>
    <row r="595" spans="1:28">
      <c r="A595" s="48" t="s">
        <v>60</v>
      </c>
      <c r="B595" s="50">
        <v>350</v>
      </c>
      <c r="C595" s="50">
        <v>400</v>
      </c>
      <c r="D595" s="50">
        <v>16.690000000000001</v>
      </c>
      <c r="E595" s="50">
        <v>202.26818904979712</v>
      </c>
      <c r="F595" s="50">
        <v>4049.7849435981234</v>
      </c>
      <c r="G595" s="57" t="s">
        <v>101</v>
      </c>
      <c r="H595" s="50">
        <v>0.14000000000000001</v>
      </c>
      <c r="I595" s="50">
        <v>57</v>
      </c>
      <c r="J595" s="50">
        <v>3017</v>
      </c>
      <c r="K595" s="50">
        <v>5458</v>
      </c>
      <c r="L595" s="50">
        <v>0.7</v>
      </c>
      <c r="M595" s="50">
        <v>151.80000000000001</v>
      </c>
      <c r="N595" s="51">
        <v>48</v>
      </c>
      <c r="O595" s="43">
        <f t="shared" si="110"/>
        <v>0.30000000000000004</v>
      </c>
      <c r="P595" s="43">
        <f t="shared" si="115"/>
        <v>621.14818904979711</v>
      </c>
      <c r="Q595" s="43">
        <f t="shared" si="116"/>
        <v>2.4394419241633143E-5</v>
      </c>
      <c r="R595" s="43">
        <v>35</v>
      </c>
      <c r="S595" s="43">
        <f t="shared" si="117"/>
        <v>0.875</v>
      </c>
      <c r="T595" s="43">
        <f t="shared" si="118"/>
        <v>8.8345716808544363</v>
      </c>
      <c r="U595" s="43" t="str" cm="1">
        <f t="array" ref="U595">_xlfn.IFS(T595&lt;3,"Group I",T595&lt;5,"Group II",T595&lt;10,"Group III",T595&lt;20,"Group IV",T595&lt;50,"Group V",T595&lt;100,"Group VI",T595&lt;200,"Group VII",T595&lt;500,"Group VIII",T595&lt;1000,"Group IX",TRUE,"Group X")</f>
        <v>Group III</v>
      </c>
      <c r="V595" s="43">
        <f t="shared" si="119"/>
        <v>0.94618549881724989</v>
      </c>
      <c r="W595" s="43">
        <f t="shared" si="120"/>
        <v>0.57390175438596491</v>
      </c>
      <c r="X595" s="43">
        <f t="shared" si="111"/>
        <v>-0.24116244763676864</v>
      </c>
      <c r="Y595" s="43">
        <f t="shared" si="121"/>
        <v>0.3162055335968379</v>
      </c>
      <c r="Z595" s="43">
        <f t="shared" si="112"/>
        <v>-0.50003053418387444</v>
      </c>
      <c r="AA595" s="43">
        <f t="shared" si="113"/>
        <v>0.49020619913112262</v>
      </c>
      <c r="AB595" s="43">
        <f t="shared" si="114"/>
        <v>0.35864820378039225</v>
      </c>
    </row>
    <row r="596" spans="1:28">
      <c r="A596" s="48" t="s">
        <v>60</v>
      </c>
      <c r="B596" s="50">
        <v>350</v>
      </c>
      <c r="C596" s="50">
        <v>600</v>
      </c>
      <c r="D596" s="50">
        <v>16.690000000000001</v>
      </c>
      <c r="E596" s="50">
        <v>202.26818904979712</v>
      </c>
      <c r="F596" s="50">
        <v>4049.7849435981234</v>
      </c>
      <c r="G596" s="57" t="s">
        <v>101</v>
      </c>
      <c r="H596" s="50">
        <v>0.14000000000000001</v>
      </c>
      <c r="I596" s="50">
        <v>57</v>
      </c>
      <c r="J596" s="50">
        <v>3017</v>
      </c>
      <c r="K596" s="50">
        <v>5458</v>
      </c>
      <c r="L596" s="50">
        <v>0.7</v>
      </c>
      <c r="M596" s="50">
        <v>124.5</v>
      </c>
      <c r="N596" s="51">
        <v>23</v>
      </c>
      <c r="O596" s="43">
        <f t="shared" si="110"/>
        <v>0.30000000000000004</v>
      </c>
      <c r="P596" s="43">
        <f t="shared" si="115"/>
        <v>621.14818904979711</v>
      </c>
      <c r="Q596" s="43">
        <f t="shared" si="116"/>
        <v>2.4394419241633143E-5</v>
      </c>
      <c r="R596" s="43">
        <v>35</v>
      </c>
      <c r="S596" s="43">
        <f t="shared" si="117"/>
        <v>0.58333333333333337</v>
      </c>
      <c r="T596" s="43">
        <f t="shared" si="118"/>
        <v>7.213397571378561</v>
      </c>
      <c r="U596" s="43" t="str" cm="1">
        <f t="array" ref="U596">_xlfn.IFS(T596&lt;3,"Group I",T596&lt;5,"Group II",T596&lt;10,"Group III",T596&lt;20,"Group IV",T596&lt;50,"Group V",T596&lt;100,"Group VI",T596&lt;200,"Group VII",T596&lt;500,"Group VIII",T596&lt;1000,"Group IX",TRUE,"Group X")</f>
        <v>Group III</v>
      </c>
      <c r="V596" s="43">
        <f t="shared" si="119"/>
        <v>0.85813986928940933</v>
      </c>
      <c r="W596" s="43">
        <f t="shared" si="120"/>
        <v>0.86085263157894731</v>
      </c>
      <c r="X596" s="43">
        <f t="shared" si="111"/>
        <v>-6.5071188581087416E-2</v>
      </c>
      <c r="Y596" s="43">
        <f t="shared" si="121"/>
        <v>0.18473895582329317</v>
      </c>
      <c r="Z596" s="43">
        <f t="shared" si="112"/>
        <v>-0.73344151541416225</v>
      </c>
      <c r="AA596" s="43">
        <f t="shared" si="113"/>
        <v>0.40761672321292719</v>
      </c>
      <c r="AB596" s="43">
        <f t="shared" si="114"/>
        <v>0.33762909687277282</v>
      </c>
    </row>
    <row r="597" spans="1:28">
      <c r="A597" s="48" t="s">
        <v>60</v>
      </c>
      <c r="B597" s="50">
        <v>350</v>
      </c>
      <c r="C597" s="50">
        <v>800</v>
      </c>
      <c r="D597" s="50">
        <v>16.690000000000001</v>
      </c>
      <c r="E597" s="50">
        <v>202.26818904979712</v>
      </c>
      <c r="F597" s="50">
        <v>4049.7849435981234</v>
      </c>
      <c r="G597" s="57" t="s">
        <v>101</v>
      </c>
      <c r="H597" s="50">
        <v>0.14000000000000001</v>
      </c>
      <c r="I597" s="50">
        <v>57</v>
      </c>
      <c r="J597" s="50">
        <v>3017</v>
      </c>
      <c r="K597" s="50">
        <v>5458</v>
      </c>
      <c r="L597" s="50">
        <v>0.7</v>
      </c>
      <c r="M597" s="50">
        <v>108.2</v>
      </c>
      <c r="N597" s="51">
        <v>13.6</v>
      </c>
      <c r="O597" s="43">
        <f t="shared" si="110"/>
        <v>0.30000000000000004</v>
      </c>
      <c r="P597" s="43">
        <f t="shared" si="115"/>
        <v>621.14818904979711</v>
      </c>
      <c r="Q597" s="43">
        <f t="shared" si="116"/>
        <v>2.4394419241633143E-5</v>
      </c>
      <c r="R597" s="43">
        <v>35</v>
      </c>
      <c r="S597" s="43">
        <f t="shared" si="117"/>
        <v>0.4375</v>
      </c>
      <c r="T597" s="43">
        <f t="shared" si="118"/>
        <v>6.2469855444108067</v>
      </c>
      <c r="U597" s="43" t="str" cm="1">
        <f t="array" ref="U597">_xlfn.IFS(T597&lt;3,"Group I",T597&lt;5,"Group II",T597&lt;10,"Group III",T597&lt;20,"Group IV",T597&lt;50,"Group V",T597&lt;100,"Group VI",T597&lt;200,"Group VII",T597&lt;500,"Group VIII",T597&lt;1000,"Group IX",TRUE,"Group X")</f>
        <v>Group III</v>
      </c>
      <c r="V597" s="43">
        <f t="shared" si="119"/>
        <v>0.79567050098525927</v>
      </c>
      <c r="W597" s="43">
        <f t="shared" si="120"/>
        <v>1.1478035087719298</v>
      </c>
      <c r="X597" s="43">
        <f t="shared" si="111"/>
        <v>5.9867548027212558E-2</v>
      </c>
      <c r="Y597" s="43">
        <f t="shared" si="121"/>
        <v>0.12569316081330867</v>
      </c>
      <c r="Z597" s="43">
        <f t="shared" si="112"/>
        <v>-0.90068835240033318</v>
      </c>
      <c r="AA597" s="43">
        <f t="shared" si="113"/>
        <v>0.35760297248039946</v>
      </c>
      <c r="AB597" s="43">
        <f t="shared" si="114"/>
        <v>0.32346719481499864</v>
      </c>
    </row>
    <row r="598" spans="1:28">
      <c r="A598" s="48" t="s">
        <v>60</v>
      </c>
      <c r="B598" s="50">
        <v>350</v>
      </c>
      <c r="C598" s="50">
        <v>1000</v>
      </c>
      <c r="D598" s="50">
        <v>16.690000000000001</v>
      </c>
      <c r="E598" s="50">
        <v>202.26818904979712</v>
      </c>
      <c r="F598" s="50">
        <v>4049.7849435981234</v>
      </c>
      <c r="G598" s="57" t="s">
        <v>101</v>
      </c>
      <c r="H598" s="50">
        <v>0.14000000000000001</v>
      </c>
      <c r="I598" s="50">
        <v>57</v>
      </c>
      <c r="J598" s="50">
        <v>3017</v>
      </c>
      <c r="K598" s="50">
        <v>5458</v>
      </c>
      <c r="L598" s="50">
        <v>0.7</v>
      </c>
      <c r="M598" s="50">
        <v>104</v>
      </c>
      <c r="N598" s="51">
        <v>15.4</v>
      </c>
      <c r="O598" s="43">
        <f t="shared" si="110"/>
        <v>0.30000000000000004</v>
      </c>
      <c r="P598" s="43">
        <f t="shared" si="115"/>
        <v>621.14818904979711</v>
      </c>
      <c r="Q598" s="43">
        <f t="shared" si="116"/>
        <v>2.4394419241633143E-5</v>
      </c>
      <c r="R598" s="43">
        <v>35</v>
      </c>
      <c r="S598" s="43">
        <f t="shared" si="117"/>
        <v>0.35</v>
      </c>
      <c r="T598" s="43">
        <f t="shared" si="118"/>
        <v>5.5874737327044386</v>
      </c>
      <c r="U598" s="43" t="str" cm="1">
        <f t="array" ref="U598">_xlfn.IFS(T598&lt;3,"Group I",T598&lt;5,"Group II",T598&lt;10,"Group III",T598&lt;20,"Group IV",T598&lt;50,"Group V",T598&lt;100,"Group VI",T598&lt;200,"Group VII",T598&lt;500,"Group VIII",T598&lt;1000,"Group IX",TRUE,"Group X")</f>
        <v>Group III</v>
      </c>
      <c r="V598" s="43">
        <f t="shared" si="119"/>
        <v>0.74721549448123115</v>
      </c>
      <c r="W598" s="43">
        <f t="shared" si="120"/>
        <v>1.4347543859649121</v>
      </c>
      <c r="X598" s="43">
        <f t="shared" si="111"/>
        <v>0.15677756103526894</v>
      </c>
      <c r="Y598" s="43">
        <f t="shared" si="121"/>
        <v>0.14807692307692308</v>
      </c>
      <c r="Z598" s="43">
        <f t="shared" si="112"/>
        <v>-0.82951261846231727</v>
      </c>
      <c r="AA598" s="43">
        <f t="shared" si="113"/>
        <v>0.32307559801380636</v>
      </c>
      <c r="AB598" s="43">
        <f t="shared" si="114"/>
        <v>0.31289274677809592</v>
      </c>
    </row>
    <row r="599" spans="1:28">
      <c r="A599" s="48" t="s">
        <v>60</v>
      </c>
      <c r="B599" s="50">
        <v>350</v>
      </c>
      <c r="C599" s="50">
        <v>1200</v>
      </c>
      <c r="D599" s="50">
        <v>16.690000000000001</v>
      </c>
      <c r="E599" s="50">
        <v>202.26818904979712</v>
      </c>
      <c r="F599" s="50">
        <v>4049.7849435981234</v>
      </c>
      <c r="G599" s="57" t="s">
        <v>101</v>
      </c>
      <c r="H599" s="50">
        <v>0.14000000000000001</v>
      </c>
      <c r="I599" s="50">
        <v>57</v>
      </c>
      <c r="J599" s="50">
        <v>3017</v>
      </c>
      <c r="K599" s="50">
        <v>5458</v>
      </c>
      <c r="L599" s="50">
        <v>0.7</v>
      </c>
      <c r="M599" s="50">
        <v>97</v>
      </c>
      <c r="N599" s="51">
        <v>13</v>
      </c>
      <c r="O599" s="43">
        <f t="shared" si="110"/>
        <v>0.30000000000000004</v>
      </c>
      <c r="P599" s="43">
        <f t="shared" si="115"/>
        <v>621.14818904979711</v>
      </c>
      <c r="Q599" s="43">
        <f t="shared" si="116"/>
        <v>2.4394419241633143E-5</v>
      </c>
      <c r="R599" s="43">
        <v>35</v>
      </c>
      <c r="S599" s="43">
        <f t="shared" si="117"/>
        <v>0.29166666666666669</v>
      </c>
      <c r="T599" s="43">
        <f t="shared" si="118"/>
        <v>5.1006423381163541</v>
      </c>
      <c r="U599" s="43" t="str" cm="1">
        <f t="array" ref="U599">_xlfn.IFS(T599&lt;3,"Group I",T599&lt;5,"Group II",T599&lt;10,"Group III",T599&lt;20,"Group IV",T599&lt;50,"Group V",T599&lt;100,"Group VI",T599&lt;200,"Group VII",T599&lt;500,"Group VIII",T599&lt;1000,"Group IX",TRUE,"Group X")</f>
        <v>Group III</v>
      </c>
      <c r="V599" s="43">
        <f t="shared" si="119"/>
        <v>0.70762487145741881</v>
      </c>
      <c r="W599" s="43">
        <f t="shared" si="120"/>
        <v>1.7217052631578946</v>
      </c>
      <c r="X599" s="43">
        <f t="shared" si="111"/>
        <v>0.23595880708289377</v>
      </c>
      <c r="Y599" s="43">
        <f t="shared" si="121"/>
        <v>0.13402061855670103</v>
      </c>
      <c r="Z599" s="43">
        <f t="shared" si="112"/>
        <v>-0.87282838195940815</v>
      </c>
      <c r="AA599" s="43">
        <f t="shared" si="113"/>
        <v>0.29735436253565856</v>
      </c>
      <c r="AB599" s="43">
        <f t="shared" si="114"/>
        <v>0.30450992282183575</v>
      </c>
    </row>
    <row r="600" spans="1:28">
      <c r="A600" s="48" t="s">
        <v>60</v>
      </c>
      <c r="B600" s="50">
        <v>350</v>
      </c>
      <c r="C600" s="50">
        <v>1600</v>
      </c>
      <c r="D600" s="50">
        <v>16.690000000000001</v>
      </c>
      <c r="E600" s="50">
        <v>202.26818904979712</v>
      </c>
      <c r="F600" s="50">
        <v>4049.7849435981234</v>
      </c>
      <c r="G600" s="57" t="s">
        <v>101</v>
      </c>
      <c r="H600" s="50">
        <v>0.14000000000000001</v>
      </c>
      <c r="I600" s="50">
        <v>57</v>
      </c>
      <c r="J600" s="50">
        <v>3017</v>
      </c>
      <c r="K600" s="50">
        <v>5458</v>
      </c>
      <c r="L600" s="50">
        <v>0.7</v>
      </c>
      <c r="M600" s="50">
        <v>99.3</v>
      </c>
      <c r="N600" s="51">
        <v>11.2</v>
      </c>
      <c r="O600" s="43">
        <f t="shared" si="110"/>
        <v>0.30000000000000004</v>
      </c>
      <c r="P600" s="43">
        <f t="shared" si="115"/>
        <v>621.14818904979711</v>
      </c>
      <c r="Q600" s="43">
        <f t="shared" si="116"/>
        <v>2.4394419241633143E-5</v>
      </c>
      <c r="R600" s="43">
        <v>35</v>
      </c>
      <c r="S600" s="43">
        <f t="shared" si="117"/>
        <v>0.21875</v>
      </c>
      <c r="T600" s="43">
        <f t="shared" si="118"/>
        <v>4.4172858404272182</v>
      </c>
      <c r="U600" s="43" t="str" cm="1">
        <f t="array" ref="U600">_xlfn.IFS(T600&lt;3,"Group I",T600&lt;5,"Group II",T600&lt;10,"Group III",T600&lt;20,"Group IV",T600&lt;50,"Group V",T600&lt;100,"Group VI",T600&lt;200,"Group VII",T600&lt;500,"Group VIII",T600&lt;1000,"Group IX",TRUE,"Group X")</f>
        <v>Group II</v>
      </c>
      <c r="V600" s="43">
        <f t="shared" si="119"/>
        <v>0.64515550315326875</v>
      </c>
      <c r="W600" s="43">
        <f t="shared" si="120"/>
        <v>2.2956070175438597</v>
      </c>
      <c r="X600" s="43">
        <f t="shared" si="111"/>
        <v>0.36089754369119376</v>
      </c>
      <c r="Y600" s="43">
        <f t="shared" si="121"/>
        <v>0.11278952668680765</v>
      </c>
      <c r="Z600" s="43">
        <f t="shared" si="112"/>
        <v>-0.94773122582519953</v>
      </c>
      <c r="AA600" s="43">
        <f t="shared" si="113"/>
        <v>0.26086958131798627</v>
      </c>
      <c r="AB600" s="43">
        <f t="shared" si="114"/>
        <v>0.29173720938402364</v>
      </c>
    </row>
    <row r="601" spans="1:28">
      <c r="A601" s="48" t="s">
        <v>60</v>
      </c>
      <c r="B601" s="50">
        <v>350</v>
      </c>
      <c r="C601" s="50">
        <v>2000</v>
      </c>
      <c r="D601" s="50">
        <v>16.690000000000001</v>
      </c>
      <c r="E601" s="50">
        <v>202.26818904979712</v>
      </c>
      <c r="F601" s="50">
        <v>4049.7849435981234</v>
      </c>
      <c r="G601" s="57" t="s">
        <v>101</v>
      </c>
      <c r="H601" s="50">
        <v>0.14000000000000001</v>
      </c>
      <c r="I601" s="50">
        <v>57</v>
      </c>
      <c r="J601" s="50">
        <v>3017</v>
      </c>
      <c r="K601" s="50">
        <v>5458</v>
      </c>
      <c r="L601" s="50">
        <v>0.7</v>
      </c>
      <c r="M601" s="50">
        <v>93.3</v>
      </c>
      <c r="N601" s="51">
        <v>9.69</v>
      </c>
      <c r="O601" s="43">
        <f t="shared" si="110"/>
        <v>0.30000000000000004</v>
      </c>
      <c r="P601" s="43">
        <f t="shared" si="115"/>
        <v>621.14818904979711</v>
      </c>
      <c r="Q601" s="43">
        <f t="shared" si="116"/>
        <v>2.4394419241633143E-5</v>
      </c>
      <c r="R601" s="43">
        <v>35</v>
      </c>
      <c r="S601" s="43">
        <f t="shared" si="117"/>
        <v>0.17499999999999999</v>
      </c>
      <c r="T601" s="43">
        <f t="shared" si="118"/>
        <v>3.9509405660970192</v>
      </c>
      <c r="U601" s="43" t="str" cm="1">
        <f t="array" ref="U601">_xlfn.IFS(T601&lt;3,"Group I",T601&lt;5,"Group II",T601&lt;10,"Group III",T601&lt;20,"Group IV",T601&lt;50,"Group V",T601&lt;100,"Group VI",T601&lt;200,"Group VII",T601&lt;500,"Group VIII",T601&lt;1000,"Group IX",TRUE,"Group X")</f>
        <v>Group II</v>
      </c>
      <c r="V601" s="43">
        <f t="shared" si="119"/>
        <v>0.59670049664924052</v>
      </c>
      <c r="W601" s="43">
        <f t="shared" si="120"/>
        <v>2.8695087719298242</v>
      </c>
      <c r="X601" s="43">
        <f t="shared" si="111"/>
        <v>0.45780755669925011</v>
      </c>
      <c r="Y601" s="43">
        <f t="shared" si="121"/>
        <v>0.10385852090032154</v>
      </c>
      <c r="Z601" s="43">
        <f t="shared" si="112"/>
        <v>-0.98355786669573464</v>
      </c>
      <c r="AA601" s="43">
        <f t="shared" si="113"/>
        <v>0.23568203419377112</v>
      </c>
      <c r="AB601" s="43">
        <f t="shared" si="114"/>
        <v>0.28220004453233993</v>
      </c>
    </row>
    <row r="602" spans="1:28">
      <c r="A602" s="48" t="s">
        <v>60</v>
      </c>
      <c r="B602" s="50">
        <v>350</v>
      </c>
      <c r="C602" s="50">
        <v>2400</v>
      </c>
      <c r="D602" s="50">
        <v>16.690000000000001</v>
      </c>
      <c r="E602" s="50">
        <v>202.26818904979712</v>
      </c>
      <c r="F602" s="50">
        <v>4049.7849435981234</v>
      </c>
      <c r="G602" s="57" t="s">
        <v>101</v>
      </c>
      <c r="H602" s="50">
        <v>0.14000000000000001</v>
      </c>
      <c r="I602" s="50">
        <v>57</v>
      </c>
      <c r="J602" s="50">
        <v>3017</v>
      </c>
      <c r="K602" s="50">
        <v>5458</v>
      </c>
      <c r="L602" s="50">
        <v>0.7</v>
      </c>
      <c r="M602" s="50">
        <v>86</v>
      </c>
      <c r="N602" s="51">
        <v>7.1</v>
      </c>
      <c r="O602" s="43">
        <f t="shared" si="110"/>
        <v>0.30000000000000004</v>
      </c>
      <c r="P602" s="43">
        <f t="shared" si="115"/>
        <v>621.14818904979711</v>
      </c>
      <c r="Q602" s="43">
        <f t="shared" si="116"/>
        <v>2.4394419241633143E-5</v>
      </c>
      <c r="R602" s="43">
        <v>35</v>
      </c>
      <c r="S602" s="43">
        <f t="shared" si="117"/>
        <v>0.14583333333333334</v>
      </c>
      <c r="T602" s="43">
        <f t="shared" si="118"/>
        <v>3.6066987856892805</v>
      </c>
      <c r="U602" s="43" t="str" cm="1">
        <f t="array" ref="U602">_xlfn.IFS(T602&lt;3,"Group I",T602&lt;5,"Group II",T602&lt;10,"Group III",T602&lt;20,"Group IV",T602&lt;50,"Group V",T602&lt;100,"Group VI",T602&lt;200,"Group VII",T602&lt;500,"Group VIII",T602&lt;1000,"Group IX",TRUE,"Group X")</f>
        <v>Group II</v>
      </c>
      <c r="V602" s="43">
        <f t="shared" si="119"/>
        <v>0.55710987362542819</v>
      </c>
      <c r="W602" s="43">
        <f t="shared" si="120"/>
        <v>3.4434105263157893</v>
      </c>
      <c r="X602" s="43">
        <f t="shared" si="111"/>
        <v>0.53698880274687499</v>
      </c>
      <c r="Y602" s="43">
        <f t="shared" si="121"/>
        <v>8.2558139534883723E-2</v>
      </c>
      <c r="Z602" s="43">
        <f t="shared" si="112"/>
        <v>-1.0832401025244924</v>
      </c>
      <c r="AA602" s="43">
        <f t="shared" si="113"/>
        <v>0.21691852145330154</v>
      </c>
      <c r="AB602" s="43">
        <f t="shared" si="114"/>
        <v>0.27463951998160263</v>
      </c>
    </row>
    <row r="603" spans="1:28">
      <c r="A603" s="48" t="s">
        <v>60</v>
      </c>
      <c r="B603" s="50">
        <v>100</v>
      </c>
      <c r="C603" s="50">
        <v>300</v>
      </c>
      <c r="D603" s="50">
        <v>16.690000000000001</v>
      </c>
      <c r="E603" s="50">
        <v>202.26818904979712</v>
      </c>
      <c r="F603" s="50">
        <v>4049.7849435981234</v>
      </c>
      <c r="G603" s="57" t="s">
        <v>101</v>
      </c>
      <c r="H603" s="50">
        <v>0.14000000000000001</v>
      </c>
      <c r="I603" s="50">
        <v>57</v>
      </c>
      <c r="J603" s="50">
        <v>3017</v>
      </c>
      <c r="K603" s="50">
        <v>5458</v>
      </c>
      <c r="L603" s="50">
        <v>0.7</v>
      </c>
      <c r="M603" s="50">
        <v>56.92</v>
      </c>
      <c r="N603" s="51">
        <v>6.99</v>
      </c>
      <c r="O603" s="43">
        <f t="shared" si="110"/>
        <v>0.30000000000000004</v>
      </c>
      <c r="P603" s="43">
        <f t="shared" si="115"/>
        <v>621.14818904979711</v>
      </c>
      <c r="Q603" s="43">
        <f t="shared" si="116"/>
        <v>2.4394419241633143E-5</v>
      </c>
      <c r="R603" s="43">
        <v>35</v>
      </c>
      <c r="S603" s="43">
        <f t="shared" si="117"/>
        <v>0.33333333333333331</v>
      </c>
      <c r="T603" s="43">
        <f t="shared" si="118"/>
        <v>2.9146527646379163</v>
      </c>
      <c r="U603" s="43" t="str" cm="1">
        <f t="array" ref="U603">_xlfn.IFS(T603&lt;3,"Group I",T603&lt;5,"Group II",T603&lt;10,"Group III",T603&lt;20,"Group IV",T603&lt;50,"Group V",T603&lt;100,"Group VI",T603&lt;200,"Group VII",T603&lt;500,"Group VIII",T603&lt;1000,"Group IX",TRUE,"Group X")</f>
        <v>Group I</v>
      </c>
      <c r="V603" s="43">
        <f t="shared" si="119"/>
        <v>0.46458682277112429</v>
      </c>
      <c r="W603" s="43">
        <f t="shared" si="120"/>
        <v>0.43042631578947366</v>
      </c>
      <c r="X603" s="43">
        <f t="shared" si="111"/>
        <v>-0.3661011842450686</v>
      </c>
      <c r="Y603" s="43">
        <f t="shared" si="121"/>
        <v>0.12280393534785664</v>
      </c>
      <c r="Z603" s="43">
        <f t="shared" si="112"/>
        <v>-0.91078771566656536</v>
      </c>
      <c r="AA603" s="43">
        <f t="shared" si="113"/>
        <v>0.15964731836741411</v>
      </c>
      <c r="AB603" s="43">
        <f t="shared" si="114"/>
        <v>0.25775103300215713</v>
      </c>
    </row>
    <row r="604" spans="1:28">
      <c r="A604" s="48" t="s">
        <v>60</v>
      </c>
      <c r="B604" s="50">
        <v>150</v>
      </c>
      <c r="C604" s="50">
        <v>300</v>
      </c>
      <c r="D604" s="50">
        <v>16.690000000000001</v>
      </c>
      <c r="E604" s="50">
        <v>202.26818904979712</v>
      </c>
      <c r="F604" s="50">
        <v>4049.7849435981234</v>
      </c>
      <c r="G604" s="57" t="s">
        <v>101</v>
      </c>
      <c r="H604" s="50">
        <v>0.14000000000000001</v>
      </c>
      <c r="I604" s="50">
        <v>57</v>
      </c>
      <c r="J604" s="50">
        <v>3017</v>
      </c>
      <c r="K604" s="50">
        <v>5458</v>
      </c>
      <c r="L604" s="50">
        <v>0.7</v>
      </c>
      <c r="M604" s="50">
        <v>67.19</v>
      </c>
      <c r="N604" s="51">
        <v>17.260000000000002</v>
      </c>
      <c r="O604" s="43">
        <f t="shared" si="110"/>
        <v>0.30000000000000004</v>
      </c>
      <c r="P604" s="43">
        <f t="shared" si="115"/>
        <v>621.14818904979711</v>
      </c>
      <c r="Q604" s="43">
        <f t="shared" si="116"/>
        <v>2.4394419241633143E-5</v>
      </c>
      <c r="R604" s="43">
        <v>35</v>
      </c>
      <c r="S604" s="43">
        <f t="shared" si="117"/>
        <v>0.5</v>
      </c>
      <c r="T604" s="43">
        <f t="shared" si="118"/>
        <v>4.3719791469568747</v>
      </c>
      <c r="U604" s="43" t="str" cm="1">
        <f t="array" ref="U604">_xlfn.IFS(T604&lt;3,"Group I",T604&lt;5,"Group II",T604&lt;10,"Group III",T604&lt;20,"Group IV",T604&lt;50,"Group V",T604&lt;100,"Group VI",T604&lt;200,"Group VII",T604&lt;500,"Group VIII",T604&lt;1000,"Group IX",TRUE,"Group X")</f>
        <v>Group II</v>
      </c>
      <c r="V604" s="43">
        <f t="shared" si="119"/>
        <v>0.64067808182680552</v>
      </c>
      <c r="W604" s="43">
        <f t="shared" si="120"/>
        <v>0.43042631578947366</v>
      </c>
      <c r="X604" s="43">
        <f t="shared" si="111"/>
        <v>-0.3661011842450686</v>
      </c>
      <c r="Y604" s="43">
        <f t="shared" si="121"/>
        <v>0.25688346480130975</v>
      </c>
      <c r="Z604" s="43">
        <f t="shared" si="112"/>
        <v>-0.59026384971054413</v>
      </c>
      <c r="AA604" s="43">
        <f t="shared" si="113"/>
        <v>0.23947097755112121</v>
      </c>
      <c r="AB604" s="43">
        <f t="shared" si="114"/>
        <v>0.29084258807464741</v>
      </c>
    </row>
    <row r="605" spans="1:28">
      <c r="A605" s="48" t="s">
        <v>60</v>
      </c>
      <c r="B605" s="50">
        <v>200</v>
      </c>
      <c r="C605" s="50">
        <v>300</v>
      </c>
      <c r="D605" s="50">
        <v>16.690000000000001</v>
      </c>
      <c r="E605" s="50">
        <v>202.26818904979712</v>
      </c>
      <c r="F605" s="50">
        <v>4049.7849435981234</v>
      </c>
      <c r="G605" s="57" t="s">
        <v>101</v>
      </c>
      <c r="H605" s="50">
        <v>0.14000000000000001</v>
      </c>
      <c r="I605" s="50">
        <v>57</v>
      </c>
      <c r="J605" s="50">
        <v>3017</v>
      </c>
      <c r="K605" s="50">
        <v>5458</v>
      </c>
      <c r="L605" s="50">
        <v>0.7</v>
      </c>
      <c r="M605" s="50">
        <v>131.62</v>
      </c>
      <c r="N605" s="51">
        <v>110</v>
      </c>
      <c r="O605" s="43">
        <f t="shared" si="110"/>
        <v>0.30000000000000004</v>
      </c>
      <c r="P605" s="43">
        <f t="shared" si="115"/>
        <v>621.14818904979711</v>
      </c>
      <c r="Q605" s="43">
        <f t="shared" si="116"/>
        <v>2.4394419241633143E-5</v>
      </c>
      <c r="R605" s="43">
        <v>35</v>
      </c>
      <c r="S605" s="43">
        <f t="shared" si="117"/>
        <v>0.66666666666666663</v>
      </c>
      <c r="T605" s="43">
        <f t="shared" si="118"/>
        <v>5.8293055292758327</v>
      </c>
      <c r="U605" s="43" t="str" cm="1">
        <f t="array" ref="U605">_xlfn.IFS(T605&lt;3,"Group I",T605&lt;5,"Group II",T605&lt;10,"Group III",T605&lt;20,"Group IV",T605&lt;50,"Group V",T605&lt;100,"Group VI",T605&lt;200,"Group VII",T605&lt;500,"Group VIII",T605&lt;1000,"Group IX",TRUE,"Group X")</f>
        <v>Group III</v>
      </c>
      <c r="V605" s="43">
        <f t="shared" si="119"/>
        <v>0.76561681843510554</v>
      </c>
      <c r="W605" s="43">
        <f t="shared" si="120"/>
        <v>0.43042631578947366</v>
      </c>
      <c r="X605" s="43">
        <f t="shared" si="111"/>
        <v>-0.3661011842450686</v>
      </c>
      <c r="Y605" s="43">
        <f t="shared" si="121"/>
        <v>0.83573924935420141</v>
      </c>
      <c r="Z605" s="43">
        <f t="shared" si="112"/>
        <v>-7.7929201305752108E-2</v>
      </c>
      <c r="AA605" s="43">
        <f t="shared" si="113"/>
        <v>0.31929463673482822</v>
      </c>
      <c r="AB605" s="43">
        <f t="shared" si="114"/>
        <v>0.31686717372784545</v>
      </c>
    </row>
    <row r="606" spans="1:28">
      <c r="A606" s="48" t="s">
        <v>60</v>
      </c>
      <c r="B606" s="50">
        <v>250</v>
      </c>
      <c r="C606" s="50">
        <v>300</v>
      </c>
      <c r="D606" s="50">
        <v>16.690000000000001</v>
      </c>
      <c r="E606" s="50">
        <v>202.26818904979712</v>
      </c>
      <c r="F606" s="50">
        <v>4049.7849435981234</v>
      </c>
      <c r="G606" s="57" t="s">
        <v>101</v>
      </c>
      <c r="H606" s="50">
        <v>0.14000000000000001</v>
      </c>
      <c r="I606" s="50">
        <v>57</v>
      </c>
      <c r="J606" s="50">
        <v>3017</v>
      </c>
      <c r="K606" s="50">
        <v>5458</v>
      </c>
      <c r="L606" s="50">
        <v>0.7</v>
      </c>
      <c r="M606" s="50">
        <v>165.77</v>
      </c>
      <c r="N606" s="51">
        <v>141.47999999999999</v>
      </c>
      <c r="O606" s="43">
        <f t="shared" ref="O606:O648" si="122">1-L606</f>
        <v>0.30000000000000004</v>
      </c>
      <c r="P606" s="43">
        <f t="shared" si="115"/>
        <v>621.14818904979711</v>
      </c>
      <c r="Q606" s="43">
        <f t="shared" si="116"/>
        <v>2.4394419241633143E-5</v>
      </c>
      <c r="R606" s="43">
        <v>35</v>
      </c>
      <c r="S606" s="43">
        <f t="shared" si="117"/>
        <v>0.83333333333333337</v>
      </c>
      <c r="T606" s="43">
        <f t="shared" si="118"/>
        <v>7.2866319115947915</v>
      </c>
      <c r="U606" s="43" t="str" cm="1">
        <f t="array" ref="U606">_xlfn.IFS(T606&lt;3,"Group I",T606&lt;5,"Group II",T606&lt;10,"Group III",T606&lt;20,"Group IV",T606&lt;50,"Group V",T606&lt;100,"Group VI",T606&lt;200,"Group VII",T606&lt;500,"Group VIII",T606&lt;1000,"Group IX",TRUE,"Group X")</f>
        <v>Group III</v>
      </c>
      <c r="V606" s="43">
        <f t="shared" si="119"/>
        <v>0.862526831443162</v>
      </c>
      <c r="W606" s="43">
        <f t="shared" si="120"/>
        <v>0.43042631578947366</v>
      </c>
      <c r="X606" s="43">
        <f t="shared" si="111"/>
        <v>-0.3661011842450686</v>
      </c>
      <c r="Y606" s="43">
        <f t="shared" si="121"/>
        <v>0.8534716776256257</v>
      </c>
      <c r="Z606" s="43">
        <f t="shared" si="112"/>
        <v>-6.881088633014297E-2</v>
      </c>
      <c r="AA606" s="43">
        <f t="shared" si="113"/>
        <v>0.39911829591853537</v>
      </c>
      <c r="AB606" s="43">
        <f t="shared" si="114"/>
        <v>0.3386466182651855</v>
      </c>
    </row>
    <row r="607" spans="1:28">
      <c r="A607" s="48" t="s">
        <v>60</v>
      </c>
      <c r="B607" s="50">
        <v>300</v>
      </c>
      <c r="C607" s="50">
        <v>300</v>
      </c>
      <c r="D607" s="50">
        <v>16.690000000000001</v>
      </c>
      <c r="E607" s="50">
        <v>202.26818904979712</v>
      </c>
      <c r="F607" s="50">
        <v>4049.7849435981234</v>
      </c>
      <c r="G607" s="57" t="s">
        <v>101</v>
      </c>
      <c r="H607" s="50">
        <v>0.14000000000000001</v>
      </c>
      <c r="I607" s="50">
        <v>57</v>
      </c>
      <c r="J607" s="50">
        <v>3017</v>
      </c>
      <c r="K607" s="50">
        <v>5458</v>
      </c>
      <c r="L607" s="50">
        <v>0.7</v>
      </c>
      <c r="M607" s="50">
        <v>169.12</v>
      </c>
      <c r="N607" s="51">
        <v>207.87</v>
      </c>
      <c r="O607" s="43">
        <f t="shared" si="122"/>
        <v>0.30000000000000004</v>
      </c>
      <c r="P607" s="43">
        <f t="shared" si="115"/>
        <v>621.14818904979711</v>
      </c>
      <c r="Q607" s="43">
        <f t="shared" si="116"/>
        <v>2.4394419241633143E-5</v>
      </c>
      <c r="R607" s="43">
        <v>35</v>
      </c>
      <c r="S607" s="43">
        <f t="shared" si="117"/>
        <v>1</v>
      </c>
      <c r="T607" s="43">
        <f t="shared" si="118"/>
        <v>8.7439582939137495</v>
      </c>
      <c r="U607" s="43" t="str" cm="1">
        <f t="array" ref="U607">_xlfn.IFS(T607&lt;3,"Group I",T607&lt;5,"Group II",T607&lt;10,"Group III",T607&lt;20,"Group IV",T607&lt;50,"Group V",T607&lt;100,"Group VI",T607&lt;200,"Group VII",T607&lt;500,"Group VIII",T607&lt;1000,"Group IX",TRUE,"Group X")</f>
        <v>Group III</v>
      </c>
      <c r="V607" s="43">
        <f t="shared" si="119"/>
        <v>0.94170807749078678</v>
      </c>
      <c r="W607" s="43">
        <f t="shared" si="120"/>
        <v>0.43042631578947366</v>
      </c>
      <c r="X607" s="43">
        <f t="shared" si="111"/>
        <v>-0.3661011842450686</v>
      </c>
      <c r="Y607" s="43">
        <f t="shared" si="121"/>
        <v>1.2291272469252601</v>
      </c>
      <c r="Z607" s="43">
        <f t="shared" si="112"/>
        <v>8.9596846089720392E-2</v>
      </c>
      <c r="AA607" s="43">
        <f t="shared" si="113"/>
        <v>0.47894195510224241</v>
      </c>
      <c r="AB607" s="43">
        <f t="shared" si="114"/>
        <v>0.35754839780655395</v>
      </c>
    </row>
    <row r="608" spans="1:28">
      <c r="A608" s="48" t="s">
        <v>60</v>
      </c>
      <c r="B608" s="50">
        <v>100</v>
      </c>
      <c r="C608" s="50">
        <v>600</v>
      </c>
      <c r="D608" s="50">
        <v>16.690000000000001</v>
      </c>
      <c r="E608" s="50">
        <v>202.26818904979712</v>
      </c>
      <c r="F608" s="50">
        <v>4049.7849435981234</v>
      </c>
      <c r="G608" s="57" t="s">
        <v>101</v>
      </c>
      <c r="H608" s="50">
        <v>0.14000000000000001</v>
      </c>
      <c r="I608" s="50">
        <v>57</v>
      </c>
      <c r="J608" s="50">
        <v>3017</v>
      </c>
      <c r="K608" s="50">
        <v>5458</v>
      </c>
      <c r="L608" s="50">
        <v>0.7</v>
      </c>
      <c r="M608" s="50">
        <v>69.77</v>
      </c>
      <c r="N608" s="51">
        <v>18.920000000000002</v>
      </c>
      <c r="O608" s="43">
        <f t="shared" si="122"/>
        <v>0.30000000000000004</v>
      </c>
      <c r="P608" s="43">
        <f t="shared" si="115"/>
        <v>621.14818904979711</v>
      </c>
      <c r="Q608" s="43">
        <f t="shared" si="116"/>
        <v>2.4394419241633143E-5</v>
      </c>
      <c r="R608" s="43">
        <v>35</v>
      </c>
      <c r="S608" s="43">
        <f t="shared" si="117"/>
        <v>0.16666666666666666</v>
      </c>
      <c r="T608" s="43">
        <f t="shared" si="118"/>
        <v>2.0609707346795889</v>
      </c>
      <c r="U608" s="43" t="str" cm="1">
        <f t="array" ref="U608">_xlfn.IFS(T608&lt;3,"Group I",T608&lt;5,"Group II",T608&lt;10,"Group III",T608&lt;20,"Group IV",T608&lt;50,"Group V",T608&lt;100,"Group VI",T608&lt;200,"Group VII",T608&lt;500,"Group VIII",T608&lt;1000,"Group IX",TRUE,"Group X")</f>
        <v>Group I</v>
      </c>
      <c r="V608" s="43">
        <f t="shared" si="119"/>
        <v>0.31407182493913371</v>
      </c>
      <c r="W608" s="43">
        <f t="shared" si="120"/>
        <v>0.86085263157894731</v>
      </c>
      <c r="X608" s="43">
        <f t="shared" si="111"/>
        <v>-6.5071188581087416E-2</v>
      </c>
      <c r="Y608" s="43">
        <f t="shared" si="121"/>
        <v>0.27117672352013761</v>
      </c>
      <c r="Z608" s="43">
        <f t="shared" si="112"/>
        <v>-0.56674759091336979</v>
      </c>
      <c r="AA608" s="43">
        <f t="shared" si="113"/>
        <v>0.1164619209179792</v>
      </c>
      <c r="AB608" s="43">
        <f t="shared" si="114"/>
        <v>0.23246736698262555</v>
      </c>
    </row>
    <row r="609" spans="1:28">
      <c r="A609" s="48" t="s">
        <v>60</v>
      </c>
      <c r="B609" s="50">
        <v>150</v>
      </c>
      <c r="C609" s="50">
        <v>600</v>
      </c>
      <c r="D609" s="50">
        <v>16.690000000000001</v>
      </c>
      <c r="E609" s="50">
        <v>202.26818904979712</v>
      </c>
      <c r="F609" s="50">
        <v>4049.7849435981234</v>
      </c>
      <c r="G609" s="57" t="s">
        <v>101</v>
      </c>
      <c r="H609" s="50">
        <v>0.14000000000000001</v>
      </c>
      <c r="I609" s="50">
        <v>57</v>
      </c>
      <c r="J609" s="50">
        <v>3017</v>
      </c>
      <c r="K609" s="50">
        <v>5458</v>
      </c>
      <c r="L609" s="50">
        <v>0.7</v>
      </c>
      <c r="M609" s="50">
        <v>96.58</v>
      </c>
      <c r="N609" s="51">
        <v>36.270000000000003</v>
      </c>
      <c r="O609" s="43">
        <f t="shared" si="122"/>
        <v>0.30000000000000004</v>
      </c>
      <c r="P609" s="43">
        <f t="shared" si="115"/>
        <v>621.14818904979711</v>
      </c>
      <c r="Q609" s="43">
        <f t="shared" si="116"/>
        <v>2.4394419241633143E-5</v>
      </c>
      <c r="R609" s="43">
        <v>35</v>
      </c>
      <c r="S609" s="43">
        <f t="shared" si="117"/>
        <v>0.25</v>
      </c>
      <c r="T609" s="43">
        <f t="shared" si="118"/>
        <v>3.0914561020193831</v>
      </c>
      <c r="U609" s="43" t="str" cm="1">
        <f t="array" ref="U609">_xlfn.IFS(T609&lt;3,"Group I",T609&lt;5,"Group II",T609&lt;10,"Group III",T609&lt;20,"Group IV",T609&lt;50,"Group V",T609&lt;100,"Group VI",T609&lt;200,"Group VII",T609&lt;500,"Group VIII",T609&lt;1000,"Group IX",TRUE,"Group X")</f>
        <v>Group II</v>
      </c>
      <c r="V609" s="43">
        <f t="shared" si="119"/>
        <v>0.4901630839948149</v>
      </c>
      <c r="W609" s="43">
        <f t="shared" si="120"/>
        <v>0.86085263157894731</v>
      </c>
      <c r="X609" s="43">
        <f t="shared" si="111"/>
        <v>-6.5071188581087416E-2</v>
      </c>
      <c r="Y609" s="43">
        <f t="shared" si="121"/>
        <v>0.37554359080554983</v>
      </c>
      <c r="Z609" s="43">
        <f t="shared" si="112"/>
        <v>-0.42533964548389325</v>
      </c>
      <c r="AA609" s="43">
        <f t="shared" si="113"/>
        <v>0.17469288137696878</v>
      </c>
      <c r="AB609" s="43">
        <f t="shared" si="114"/>
        <v>0.26231286008293053</v>
      </c>
    </row>
    <row r="610" spans="1:28">
      <c r="A610" s="48" t="s">
        <v>60</v>
      </c>
      <c r="B610" s="50">
        <v>200</v>
      </c>
      <c r="C610" s="50">
        <v>600</v>
      </c>
      <c r="D610" s="50">
        <v>16.690000000000001</v>
      </c>
      <c r="E610" s="50">
        <v>202.26818904979712</v>
      </c>
      <c r="F610" s="50">
        <v>4049.7849435981234</v>
      </c>
      <c r="G610" s="57" t="s">
        <v>101</v>
      </c>
      <c r="H610" s="50">
        <v>0.14000000000000001</v>
      </c>
      <c r="I610" s="50">
        <v>57</v>
      </c>
      <c r="J610" s="50">
        <v>3017</v>
      </c>
      <c r="K610" s="50">
        <v>5458</v>
      </c>
      <c r="L610" s="50">
        <v>0.7</v>
      </c>
      <c r="M610" s="50">
        <v>100.91</v>
      </c>
      <c r="N610" s="51">
        <v>46.34</v>
      </c>
      <c r="O610" s="43">
        <f t="shared" si="122"/>
        <v>0.30000000000000004</v>
      </c>
      <c r="P610" s="43">
        <f t="shared" si="115"/>
        <v>621.14818904979711</v>
      </c>
      <c r="Q610" s="43">
        <f t="shared" si="116"/>
        <v>2.4394419241633143E-5</v>
      </c>
      <c r="R610" s="43">
        <v>35</v>
      </c>
      <c r="S610" s="43">
        <f t="shared" si="117"/>
        <v>0.33333333333333331</v>
      </c>
      <c r="T610" s="43">
        <f t="shared" si="118"/>
        <v>4.1219414693591778</v>
      </c>
      <c r="U610" s="43" t="str" cm="1">
        <f t="array" ref="U610">_xlfn.IFS(T610&lt;3,"Group I",T610&lt;5,"Group II",T610&lt;10,"Group III",T610&lt;20,"Group IV",T610&lt;50,"Group V",T610&lt;100,"Group VI",T610&lt;200,"Group VII",T610&lt;500,"Group VIII",T610&lt;1000,"Group IX",TRUE,"Group X")</f>
        <v>Group II</v>
      </c>
      <c r="V610" s="43">
        <f t="shared" si="119"/>
        <v>0.61510182060311491</v>
      </c>
      <c r="W610" s="43">
        <f t="shared" si="120"/>
        <v>0.86085263157894731</v>
      </c>
      <c r="X610" s="43">
        <f t="shared" si="111"/>
        <v>-6.5071188581087416E-2</v>
      </c>
      <c r="Y610" s="43">
        <f t="shared" si="121"/>
        <v>0.45922108809830547</v>
      </c>
      <c r="Z610" s="43">
        <f t="shared" si="112"/>
        <v>-0.33797817671975156</v>
      </c>
      <c r="AA610" s="43">
        <f t="shared" si="113"/>
        <v>0.23292384183595841</v>
      </c>
      <c r="AB610" s="43">
        <f t="shared" si="114"/>
        <v>0.28578460657079863</v>
      </c>
    </row>
    <row r="611" spans="1:28">
      <c r="A611" s="48" t="s">
        <v>60</v>
      </c>
      <c r="B611" s="50">
        <v>250</v>
      </c>
      <c r="C611" s="50">
        <v>600</v>
      </c>
      <c r="D611" s="50">
        <v>16.690000000000001</v>
      </c>
      <c r="E611" s="50">
        <v>202.26818904979712</v>
      </c>
      <c r="F611" s="50">
        <v>4049.7849435981234</v>
      </c>
      <c r="G611" s="57" t="s">
        <v>101</v>
      </c>
      <c r="H611" s="50">
        <v>0.14000000000000001</v>
      </c>
      <c r="I611" s="50">
        <v>57</v>
      </c>
      <c r="J611" s="50">
        <v>3017</v>
      </c>
      <c r="K611" s="50">
        <v>5458</v>
      </c>
      <c r="L611" s="50">
        <v>0.7</v>
      </c>
      <c r="M611" s="50">
        <v>123.6</v>
      </c>
      <c r="N611" s="51">
        <v>97</v>
      </c>
      <c r="O611" s="43">
        <f t="shared" si="122"/>
        <v>0.30000000000000004</v>
      </c>
      <c r="P611" s="43">
        <f t="shared" si="115"/>
        <v>621.14818904979711</v>
      </c>
      <c r="Q611" s="43">
        <f t="shared" si="116"/>
        <v>2.4394419241633143E-5</v>
      </c>
      <c r="R611" s="43">
        <v>35</v>
      </c>
      <c r="S611" s="43">
        <f t="shared" si="117"/>
        <v>0.41666666666666669</v>
      </c>
      <c r="T611" s="43">
        <f t="shared" si="118"/>
        <v>5.1524268366989725</v>
      </c>
      <c r="U611" s="43" t="str" cm="1">
        <f t="array" ref="U611">_xlfn.IFS(T611&lt;3,"Group I",T611&lt;5,"Group II",T611&lt;10,"Group III",T611&lt;20,"Group IV",T611&lt;50,"Group V",T611&lt;100,"Group VI",T611&lt;200,"Group VII",T611&lt;500,"Group VIII",T611&lt;1000,"Group IX",TRUE,"Group X")</f>
        <v>Group III</v>
      </c>
      <c r="V611" s="43">
        <f t="shared" si="119"/>
        <v>0.71201183361117137</v>
      </c>
      <c r="W611" s="43">
        <f t="shared" si="120"/>
        <v>0.86085263157894731</v>
      </c>
      <c r="X611" s="43">
        <f t="shared" si="111"/>
        <v>-6.5071188581087416E-2</v>
      </c>
      <c r="Y611" s="43">
        <f t="shared" si="121"/>
        <v>0.78478964401294504</v>
      </c>
      <c r="Z611" s="43">
        <f t="shared" si="112"/>
        <v>-0.10524673648655215</v>
      </c>
      <c r="AA611" s="43">
        <f t="shared" si="113"/>
        <v>0.291154802294948</v>
      </c>
      <c r="AB611" s="43">
        <f t="shared" si="114"/>
        <v>0.30542763211745938</v>
      </c>
    </row>
    <row r="612" spans="1:28">
      <c r="A612" s="48" t="s">
        <v>60</v>
      </c>
      <c r="B612" s="50">
        <v>300</v>
      </c>
      <c r="C612" s="50">
        <v>600</v>
      </c>
      <c r="D612" s="50">
        <v>16.690000000000001</v>
      </c>
      <c r="E612" s="50">
        <v>202.26818904979712</v>
      </c>
      <c r="F612" s="50">
        <v>4049.7849435981234</v>
      </c>
      <c r="G612" s="57" t="s">
        <v>101</v>
      </c>
      <c r="H612" s="50">
        <v>0.14000000000000001</v>
      </c>
      <c r="I612" s="50">
        <v>57</v>
      </c>
      <c r="J612" s="50">
        <v>3017</v>
      </c>
      <c r="K612" s="50">
        <v>5458</v>
      </c>
      <c r="L612" s="50">
        <v>0.7</v>
      </c>
      <c r="M612" s="50">
        <v>170.76</v>
      </c>
      <c r="N612" s="51">
        <v>126.32</v>
      </c>
      <c r="O612" s="43">
        <f t="shared" si="122"/>
        <v>0.30000000000000004</v>
      </c>
      <c r="P612" s="43">
        <f t="shared" si="115"/>
        <v>621.14818904979711</v>
      </c>
      <c r="Q612" s="43">
        <f t="shared" si="116"/>
        <v>2.4394419241633143E-5</v>
      </c>
      <c r="R612" s="43">
        <v>35</v>
      </c>
      <c r="S612" s="43">
        <f t="shared" si="117"/>
        <v>0.5</v>
      </c>
      <c r="T612" s="43">
        <f t="shared" si="118"/>
        <v>6.1829122040387663</v>
      </c>
      <c r="U612" s="43" t="str" cm="1">
        <f t="array" ref="U612">_xlfn.IFS(T612&lt;3,"Group I",T612&lt;5,"Group II",T612&lt;10,"Group III",T612&lt;20,"Group IV",T612&lt;50,"Group V",T612&lt;100,"Group VI",T612&lt;200,"Group VII",T612&lt;500,"Group VIII",T612&lt;1000,"Group IX",TRUE,"Group X")</f>
        <v>Group III</v>
      </c>
      <c r="V612" s="43">
        <f t="shared" si="119"/>
        <v>0.79119307965879615</v>
      </c>
      <c r="W612" s="43">
        <f t="shared" si="120"/>
        <v>0.86085263157894731</v>
      </c>
      <c r="X612" s="43">
        <f t="shared" ref="X612:X664" si="123">LOG(W612)</f>
        <v>-6.5071188581087416E-2</v>
      </c>
      <c r="Y612" s="43">
        <f t="shared" si="121"/>
        <v>0.73975169828999765</v>
      </c>
      <c r="Z612" s="43">
        <f t="shared" ref="Z612:Z664" si="124">LOG(Y612)</f>
        <v>-0.13091402913167136</v>
      </c>
      <c r="AA612" s="43">
        <f t="shared" ref="AA612:AA648" si="125">(10^-0.7321)*W612^0.04497*T612*0.307</f>
        <v>0.34938576275393757</v>
      </c>
      <c r="AB612" s="43">
        <f t="shared" ref="AB612:AB648" si="126">(10^-0.7272)*T612^0.2979</f>
        <v>0.32247527250938435</v>
      </c>
    </row>
    <row r="613" spans="1:28">
      <c r="A613" s="48" t="s">
        <v>60</v>
      </c>
      <c r="B613" s="50">
        <v>100</v>
      </c>
      <c r="C613" s="50">
        <v>900</v>
      </c>
      <c r="D613" s="50">
        <v>16.690000000000001</v>
      </c>
      <c r="E613" s="50">
        <v>202.26818904979712</v>
      </c>
      <c r="F613" s="50">
        <v>4049.7849435981234</v>
      </c>
      <c r="G613" s="57" t="s">
        <v>101</v>
      </c>
      <c r="H613" s="50">
        <v>0.14000000000000001</v>
      </c>
      <c r="I613" s="50">
        <v>57</v>
      </c>
      <c r="J613" s="50">
        <v>3017</v>
      </c>
      <c r="K613" s="50">
        <v>5458</v>
      </c>
      <c r="L613" s="50">
        <v>0.7</v>
      </c>
      <c r="M613" s="50">
        <v>92.49</v>
      </c>
      <c r="N613" s="51">
        <v>10.49</v>
      </c>
      <c r="O613" s="43">
        <f t="shared" si="122"/>
        <v>0.30000000000000004</v>
      </c>
      <c r="P613" s="43">
        <f t="shared" si="115"/>
        <v>621.14818904979711</v>
      </c>
      <c r="Q613" s="43">
        <f t="shared" si="116"/>
        <v>2.4394419241633143E-5</v>
      </c>
      <c r="R613" s="43">
        <v>35</v>
      </c>
      <c r="S613" s="43">
        <f t="shared" si="117"/>
        <v>0.1111111111111111</v>
      </c>
      <c r="T613" s="43">
        <f t="shared" si="118"/>
        <v>1.6827755582579877</v>
      </c>
      <c r="U613" s="43" t="str" cm="1">
        <f t="array" ref="U613">_xlfn.IFS(T613&lt;3,"Group I",T613&lt;5,"Group II",T613&lt;10,"Group III",T613&lt;20,"Group IV",T613&lt;50,"Group V",T613&lt;100,"Group VI",T613&lt;200,"Group VII",T613&lt;500,"Group VIII",T613&lt;1000,"Group IX",TRUE,"Group X")</f>
        <v>Group I</v>
      </c>
      <c r="V613" s="43">
        <f t="shared" si="119"/>
        <v>0.22602619541129304</v>
      </c>
      <c r="W613" s="43">
        <f t="shared" si="120"/>
        <v>1.291278947368421</v>
      </c>
      <c r="X613" s="43">
        <f t="shared" si="123"/>
        <v>0.11102007047459382</v>
      </c>
      <c r="Y613" s="43">
        <f t="shared" si="121"/>
        <v>0.11341766677478647</v>
      </c>
      <c r="Z613" s="43">
        <f t="shared" si="124"/>
        <v>-0.94531929125261283</v>
      </c>
      <c r="AA613" s="43">
        <f t="shared" si="125"/>
        <v>9.6840526839138935E-2</v>
      </c>
      <c r="AB613" s="43">
        <f t="shared" si="126"/>
        <v>0.21884327410376489</v>
      </c>
    </row>
    <row r="614" spans="1:28">
      <c r="A614" s="48" t="s">
        <v>60</v>
      </c>
      <c r="B614" s="50">
        <v>150</v>
      </c>
      <c r="C614" s="50">
        <v>900</v>
      </c>
      <c r="D614" s="50">
        <v>16.690000000000001</v>
      </c>
      <c r="E614" s="50">
        <v>202.26818904979712</v>
      </c>
      <c r="F614" s="50">
        <v>4049.7849435981234</v>
      </c>
      <c r="G614" s="57" t="s">
        <v>101</v>
      </c>
      <c r="H614" s="50">
        <v>0.14000000000000001</v>
      </c>
      <c r="I614" s="50">
        <v>57</v>
      </c>
      <c r="J614" s="50">
        <v>3017</v>
      </c>
      <c r="K614" s="50">
        <v>5458</v>
      </c>
      <c r="L614" s="50">
        <v>0.7</v>
      </c>
      <c r="M614" s="50">
        <v>77.98</v>
      </c>
      <c r="N614" s="51">
        <v>7</v>
      </c>
      <c r="O614" s="43">
        <f t="shared" si="122"/>
        <v>0.30000000000000004</v>
      </c>
      <c r="P614" s="43">
        <f t="shared" si="115"/>
        <v>621.14818904979711</v>
      </c>
      <c r="Q614" s="43">
        <f t="shared" si="116"/>
        <v>2.4394419241633143E-5</v>
      </c>
      <c r="R614" s="43">
        <v>35</v>
      </c>
      <c r="S614" s="43">
        <f t="shared" si="117"/>
        <v>0.16666666666666666</v>
      </c>
      <c r="T614" s="43">
        <f t="shared" si="118"/>
        <v>2.5241633373869816</v>
      </c>
      <c r="U614" s="43" t="str" cm="1">
        <f t="array" ref="U614">_xlfn.IFS(T614&lt;3,"Group I",T614&lt;5,"Group II",T614&lt;10,"Group III",T614&lt;20,"Group IV",T614&lt;50,"Group V",T614&lt;100,"Group VI",T614&lt;200,"Group VII",T614&lt;500,"Group VIII",T614&lt;1000,"Group IX",TRUE,"Group X")</f>
        <v>Group I</v>
      </c>
      <c r="V614" s="43">
        <f t="shared" si="119"/>
        <v>0.40211745446697428</v>
      </c>
      <c r="W614" s="43">
        <f t="shared" si="120"/>
        <v>1.291278947368421</v>
      </c>
      <c r="X614" s="43">
        <f t="shared" si="123"/>
        <v>0.11102007047459382</v>
      </c>
      <c r="Y614" s="43">
        <f t="shared" si="121"/>
        <v>8.9766606822262118E-2</v>
      </c>
      <c r="Z614" s="43">
        <f t="shared" si="124"/>
        <v>-1.0468851908377101</v>
      </c>
      <c r="AA614" s="43">
        <f t="shared" si="125"/>
        <v>0.14526079025870842</v>
      </c>
      <c r="AB614" s="43">
        <f t="shared" si="126"/>
        <v>0.2469396280655673</v>
      </c>
    </row>
    <row r="615" spans="1:28">
      <c r="A615" s="48" t="s">
        <v>60</v>
      </c>
      <c r="B615" s="50">
        <v>200</v>
      </c>
      <c r="C615" s="50">
        <v>900</v>
      </c>
      <c r="D615" s="50">
        <v>16.690000000000001</v>
      </c>
      <c r="E615" s="50">
        <v>202.26818904979712</v>
      </c>
      <c r="F615" s="50">
        <v>4049.7849435981234</v>
      </c>
      <c r="G615" s="57" t="s">
        <v>101</v>
      </c>
      <c r="H615" s="50">
        <v>0.14000000000000001</v>
      </c>
      <c r="I615" s="50">
        <v>57</v>
      </c>
      <c r="J615" s="50">
        <v>3017</v>
      </c>
      <c r="K615" s="50">
        <v>5458</v>
      </c>
      <c r="L615" s="50">
        <v>0.7</v>
      </c>
      <c r="M615" s="50">
        <v>60.22</v>
      </c>
      <c r="N615" s="51">
        <v>9.36</v>
      </c>
      <c r="O615" s="43">
        <f t="shared" si="122"/>
        <v>0.30000000000000004</v>
      </c>
      <c r="P615" s="43">
        <f t="shared" si="115"/>
        <v>621.14818904979711</v>
      </c>
      <c r="Q615" s="43">
        <f t="shared" si="116"/>
        <v>2.4394419241633143E-5</v>
      </c>
      <c r="R615" s="43">
        <v>35</v>
      </c>
      <c r="S615" s="43">
        <f t="shared" si="117"/>
        <v>0.22222222222222221</v>
      </c>
      <c r="T615" s="43">
        <f t="shared" si="118"/>
        <v>3.3655511165159755</v>
      </c>
      <c r="U615" s="43" t="str" cm="1">
        <f t="array" ref="U615">_xlfn.IFS(T615&lt;3,"Group I",T615&lt;5,"Group II",T615&lt;10,"Group III",T615&lt;20,"Group IV",T615&lt;50,"Group V",T615&lt;100,"Group VI",T615&lt;200,"Group VII",T615&lt;500,"Group VIII",T615&lt;1000,"Group IX",TRUE,"Group X")</f>
        <v>Group II</v>
      </c>
      <c r="V615" s="43">
        <f t="shared" si="119"/>
        <v>0.52705619107527424</v>
      </c>
      <c r="W615" s="43">
        <f t="shared" si="120"/>
        <v>1.291278947368421</v>
      </c>
      <c r="X615" s="43">
        <f t="shared" si="123"/>
        <v>0.11102007047459382</v>
      </c>
      <c r="Y615" s="43">
        <f t="shared" si="121"/>
        <v>0.15543008967120558</v>
      </c>
      <c r="Z615" s="43">
        <f t="shared" si="124"/>
        <v>-0.80846490243863522</v>
      </c>
      <c r="AA615" s="43">
        <f t="shared" si="125"/>
        <v>0.19368105367827787</v>
      </c>
      <c r="AB615" s="43">
        <f t="shared" si="126"/>
        <v>0.26903577823499092</v>
      </c>
    </row>
    <row r="616" spans="1:28">
      <c r="A616" s="48" t="s">
        <v>60</v>
      </c>
      <c r="B616" s="50">
        <v>250</v>
      </c>
      <c r="C616" s="50">
        <v>900</v>
      </c>
      <c r="D616" s="50">
        <v>16.690000000000001</v>
      </c>
      <c r="E616" s="50">
        <v>202.26818904979712</v>
      </c>
      <c r="F616" s="50">
        <v>4049.7849435981234</v>
      </c>
      <c r="G616" s="57" t="s">
        <v>101</v>
      </c>
      <c r="H616" s="50">
        <v>0.14000000000000001</v>
      </c>
      <c r="I616" s="50">
        <v>57</v>
      </c>
      <c r="J616" s="50">
        <v>3017</v>
      </c>
      <c r="K616" s="50">
        <v>5458</v>
      </c>
      <c r="L616" s="50">
        <v>0.7</v>
      </c>
      <c r="M616" s="50">
        <v>86.1</v>
      </c>
      <c r="N616" s="51">
        <v>36</v>
      </c>
      <c r="O616" s="43">
        <f t="shared" si="122"/>
        <v>0.30000000000000004</v>
      </c>
      <c r="P616" s="43">
        <f t="shared" si="115"/>
        <v>621.14818904979711</v>
      </c>
      <c r="Q616" s="43">
        <f t="shared" si="116"/>
        <v>2.4394419241633143E-5</v>
      </c>
      <c r="R616" s="43">
        <v>35</v>
      </c>
      <c r="S616" s="43">
        <f t="shared" si="117"/>
        <v>0.27777777777777779</v>
      </c>
      <c r="T616" s="43">
        <f t="shared" si="118"/>
        <v>4.2069388956449698</v>
      </c>
      <c r="U616" s="43" t="str" cm="1">
        <f t="array" ref="U616">_xlfn.IFS(T616&lt;3,"Group I",T616&lt;5,"Group II",T616&lt;10,"Group III",T616&lt;20,"Group IV",T616&lt;50,"Group V",T616&lt;100,"Group VI",T616&lt;200,"Group VII",T616&lt;500,"Group VIII",T616&lt;1000,"Group IX",TRUE,"Group X")</f>
        <v>Group II</v>
      </c>
      <c r="V616" s="43">
        <f t="shared" si="119"/>
        <v>0.6239662040833307</v>
      </c>
      <c r="W616" s="43">
        <f t="shared" si="120"/>
        <v>1.291278947368421</v>
      </c>
      <c r="X616" s="43">
        <f t="shared" si="123"/>
        <v>0.11102007047459382</v>
      </c>
      <c r="Y616" s="43">
        <f t="shared" si="121"/>
        <v>0.41811846689895471</v>
      </c>
      <c r="Z616" s="43">
        <f t="shared" si="124"/>
        <v>-0.37870065068636749</v>
      </c>
      <c r="AA616" s="43">
        <f t="shared" si="125"/>
        <v>0.24210131709784735</v>
      </c>
      <c r="AB616" s="43">
        <f t="shared" si="126"/>
        <v>0.28752759530046496</v>
      </c>
    </row>
    <row r="617" spans="1:28" ht="18.600000000000001" thickBot="1">
      <c r="A617" s="53" t="s">
        <v>60</v>
      </c>
      <c r="B617" s="54">
        <v>300</v>
      </c>
      <c r="C617" s="54">
        <v>900</v>
      </c>
      <c r="D617" s="54">
        <v>16.690000000000001</v>
      </c>
      <c r="E617" s="54">
        <v>202.26818904979712</v>
      </c>
      <c r="F617" s="54">
        <v>4049.7849435981234</v>
      </c>
      <c r="G617" s="57" t="s">
        <v>101</v>
      </c>
      <c r="H617" s="54">
        <v>0.14000000000000001</v>
      </c>
      <c r="I617" s="54">
        <v>57</v>
      </c>
      <c r="J617" s="54">
        <v>3017</v>
      </c>
      <c r="K617" s="54">
        <v>5458</v>
      </c>
      <c r="L617" s="54">
        <v>0.7</v>
      </c>
      <c r="M617" s="54">
        <v>105</v>
      </c>
      <c r="N617" s="55">
        <v>58</v>
      </c>
      <c r="O617" s="43">
        <f t="shared" si="122"/>
        <v>0.30000000000000004</v>
      </c>
      <c r="P617" s="43">
        <f t="shared" si="115"/>
        <v>621.14818904979711</v>
      </c>
      <c r="Q617" s="43">
        <f t="shared" si="116"/>
        <v>2.4394419241633143E-5</v>
      </c>
      <c r="R617" s="43">
        <v>35</v>
      </c>
      <c r="S617" s="43">
        <f t="shared" si="117"/>
        <v>0.33333333333333331</v>
      </c>
      <c r="T617" s="43">
        <f t="shared" si="118"/>
        <v>5.0483266747739632</v>
      </c>
      <c r="U617" s="43" t="str" cm="1">
        <f t="array" ref="U617">_xlfn.IFS(T617&lt;3,"Group I",T617&lt;5,"Group II",T617&lt;10,"Group III",T617&lt;20,"Group IV",T617&lt;50,"Group V",T617&lt;100,"Group VI",T617&lt;200,"Group VII",T617&lt;500,"Group VIII",T617&lt;1000,"Group IX",TRUE,"Group X")</f>
        <v>Group III</v>
      </c>
      <c r="V617" s="43">
        <f t="shared" si="119"/>
        <v>0.70314745013095548</v>
      </c>
      <c r="W617" s="43">
        <f t="shared" si="120"/>
        <v>1.291278947368421</v>
      </c>
      <c r="X617" s="43">
        <f t="shared" si="123"/>
        <v>0.11102007047459382</v>
      </c>
      <c r="Y617" s="43">
        <f t="shared" si="121"/>
        <v>0.55238095238095242</v>
      </c>
      <c r="Z617" s="43">
        <f t="shared" si="124"/>
        <v>-0.25776130550700077</v>
      </c>
      <c r="AA617" s="43">
        <f t="shared" si="125"/>
        <v>0.29052158051741683</v>
      </c>
      <c r="AB617" s="43">
        <f t="shared" si="126"/>
        <v>0.30357613358580327</v>
      </c>
    </row>
    <row r="618" spans="1:28">
      <c r="A618" s="56" t="s">
        <v>29</v>
      </c>
      <c r="B618" s="57">
        <v>200</v>
      </c>
      <c r="C618" s="57">
        <v>200</v>
      </c>
      <c r="D618" s="57">
        <v>19.25</v>
      </c>
      <c r="E618" s="57">
        <v>191.47084421235857</v>
      </c>
      <c r="F618" s="57">
        <v>4667.1018276762397</v>
      </c>
      <c r="G618" s="57" t="s">
        <v>102</v>
      </c>
      <c r="H618" s="57">
        <v>0.13400000000000001</v>
      </c>
      <c r="I618" s="57">
        <v>174</v>
      </c>
      <c r="J618" s="57">
        <v>3422</v>
      </c>
      <c r="K618" s="57">
        <v>5555</v>
      </c>
      <c r="L618" s="57">
        <v>0.75</v>
      </c>
      <c r="M618" s="57">
        <v>298</v>
      </c>
      <c r="N618" s="58">
        <v>73</v>
      </c>
      <c r="O618" s="43">
        <f t="shared" si="122"/>
        <v>0.25</v>
      </c>
      <c r="P618" s="43">
        <f t="shared" si="115"/>
        <v>646.66884421235864</v>
      </c>
      <c r="Q618" s="43">
        <f t="shared" si="116"/>
        <v>6.7454933126574905E-5</v>
      </c>
      <c r="R618" s="43">
        <v>35</v>
      </c>
      <c r="S618" s="43">
        <f t="shared" si="117"/>
        <v>1</v>
      </c>
      <c r="T618" s="43">
        <f t="shared" si="118"/>
        <v>2.9796034888710983</v>
      </c>
      <c r="U618" s="43" t="str" cm="1">
        <f t="array" ref="U618">_xlfn.IFS(T618&lt;3,"Group I",T618&lt;5,"Group II",T618&lt;10,"Group III",T618&lt;20,"Group IV",T618&lt;50,"Group V",T618&lt;100,"Group VI",T618&lt;200,"Group VII",T618&lt;500,"Group VIII",T618&lt;1000,"Group IX",TRUE,"Group X")</f>
        <v>Group I</v>
      </c>
      <c r="V618" s="43">
        <f t="shared" si="119"/>
        <v>0.47415847412567513</v>
      </c>
      <c r="W618" s="43">
        <f t="shared" si="120"/>
        <v>0.10377298850574715</v>
      </c>
      <c r="X618" s="43">
        <f t="shared" si="123"/>
        <v>-0.98391567605901564</v>
      </c>
      <c r="Y618" s="43">
        <f t="shared" si="121"/>
        <v>0.24496644295302014</v>
      </c>
      <c r="Z618" s="43">
        <f t="shared" si="124"/>
        <v>-0.61089340395579927</v>
      </c>
      <c r="AA618" s="43">
        <f t="shared" si="125"/>
        <v>0.15309117686971527</v>
      </c>
      <c r="AB618" s="43">
        <f t="shared" si="126"/>
        <v>0.25944888548894218</v>
      </c>
    </row>
    <row r="619" spans="1:28">
      <c r="A619" s="48" t="s">
        <v>29</v>
      </c>
      <c r="B619" s="50">
        <v>200</v>
      </c>
      <c r="C619" s="50">
        <v>400</v>
      </c>
      <c r="D619" s="50">
        <v>19.25</v>
      </c>
      <c r="E619" s="50">
        <v>191.47084421235857</v>
      </c>
      <c r="F619" s="50">
        <v>4667.1018276762397</v>
      </c>
      <c r="G619" s="57" t="s">
        <v>102</v>
      </c>
      <c r="H619" s="50">
        <v>0.13400000000000001</v>
      </c>
      <c r="I619" s="50">
        <v>174</v>
      </c>
      <c r="J619" s="50">
        <v>3422</v>
      </c>
      <c r="K619" s="50">
        <v>5555</v>
      </c>
      <c r="L619" s="50">
        <v>0.75</v>
      </c>
      <c r="M619" s="50">
        <v>288</v>
      </c>
      <c r="N619" s="51">
        <v>63</v>
      </c>
      <c r="O619" s="43">
        <f t="shared" si="122"/>
        <v>0.25</v>
      </c>
      <c r="P619" s="43">
        <f t="shared" si="115"/>
        <v>646.66884421235864</v>
      </c>
      <c r="Q619" s="43">
        <f t="shared" si="116"/>
        <v>6.7454933126574905E-5</v>
      </c>
      <c r="R619" s="43">
        <v>35</v>
      </c>
      <c r="S619" s="43">
        <f t="shared" si="117"/>
        <v>0.5</v>
      </c>
      <c r="T619" s="43">
        <f t="shared" si="118"/>
        <v>2.1068978322278489</v>
      </c>
      <c r="U619" s="43" t="str" cm="1">
        <f t="array" ref="U619">_xlfn.IFS(T619&lt;3,"Group I",T619&lt;5,"Group II",T619&lt;10,"Group III",T619&lt;20,"Group IV",T619&lt;50,"Group V",T619&lt;100,"Group VI",T619&lt;200,"Group VII",T619&lt;500,"Group VIII",T619&lt;1000,"Group IX",TRUE,"Group X")</f>
        <v>Group I</v>
      </c>
      <c r="V619" s="43">
        <f t="shared" si="119"/>
        <v>0.32364347629368451</v>
      </c>
      <c r="W619" s="43">
        <f t="shared" si="120"/>
        <v>0.2075459770114943</v>
      </c>
      <c r="X619" s="43">
        <f t="shared" si="123"/>
        <v>-0.6828856803950345</v>
      </c>
      <c r="Y619" s="43">
        <f t="shared" si="121"/>
        <v>0.21875</v>
      </c>
      <c r="Z619" s="43">
        <f t="shared" si="124"/>
        <v>-0.66005193830564912</v>
      </c>
      <c r="AA619" s="43">
        <f t="shared" si="125"/>
        <v>0.1116792484594612</v>
      </c>
      <c r="AB619" s="43">
        <f t="shared" si="126"/>
        <v>0.23399867140662958</v>
      </c>
    </row>
    <row r="620" spans="1:28">
      <c r="A620" s="48" t="s">
        <v>29</v>
      </c>
      <c r="B620" s="50">
        <v>200</v>
      </c>
      <c r="C620" s="50">
        <v>600</v>
      </c>
      <c r="D620" s="50">
        <v>19.25</v>
      </c>
      <c r="E620" s="50">
        <v>191.47084421235857</v>
      </c>
      <c r="F620" s="50">
        <v>4667.1018276762397</v>
      </c>
      <c r="G620" s="57" t="s">
        <v>102</v>
      </c>
      <c r="H620" s="50">
        <v>0.13400000000000001</v>
      </c>
      <c r="I620" s="50">
        <v>174</v>
      </c>
      <c r="J620" s="50">
        <v>3422</v>
      </c>
      <c r="K620" s="50">
        <v>5555</v>
      </c>
      <c r="L620" s="50">
        <v>0.75</v>
      </c>
      <c r="M620" s="50">
        <v>192</v>
      </c>
      <c r="N620" s="51">
        <v>33</v>
      </c>
      <c r="O620" s="43">
        <f t="shared" si="122"/>
        <v>0.25</v>
      </c>
      <c r="P620" s="43">
        <f t="shared" si="115"/>
        <v>646.66884421235864</v>
      </c>
      <c r="Q620" s="43">
        <f t="shared" si="116"/>
        <v>6.7454933126574905E-5</v>
      </c>
      <c r="R620" s="43">
        <v>35</v>
      </c>
      <c r="S620" s="43">
        <f t="shared" si="117"/>
        <v>0.33333333333333331</v>
      </c>
      <c r="T620" s="43">
        <f t="shared" si="118"/>
        <v>1.7202748763780764</v>
      </c>
      <c r="U620" s="43" t="str" cm="1">
        <f t="array" ref="U620">_xlfn.IFS(T620&lt;3,"Group I",T620&lt;5,"Group II",T620&lt;10,"Group III",T620&lt;20,"Group IV",T620&lt;50,"Group V",T620&lt;100,"Group VI",T620&lt;200,"Group VII",T620&lt;500,"Group VIII",T620&lt;1000,"Group IX",TRUE,"Group X")</f>
        <v>Group I</v>
      </c>
      <c r="V620" s="43">
        <f t="shared" si="119"/>
        <v>0.23559784676584386</v>
      </c>
      <c r="W620" s="43">
        <f t="shared" si="120"/>
        <v>0.31131896551724142</v>
      </c>
      <c r="X620" s="43">
        <f t="shared" si="123"/>
        <v>-0.50679442133935326</v>
      </c>
      <c r="Y620" s="43">
        <f t="shared" si="121"/>
        <v>0.171875</v>
      </c>
      <c r="Z620" s="43">
        <f t="shared" si="124"/>
        <v>-0.76478728882566216</v>
      </c>
      <c r="AA620" s="43">
        <f t="shared" si="125"/>
        <v>9.2863634504449455E-2</v>
      </c>
      <c r="AB620" s="43">
        <f t="shared" si="126"/>
        <v>0.22028483417367212</v>
      </c>
    </row>
    <row r="621" spans="1:28">
      <c r="A621" s="48" t="s">
        <v>29</v>
      </c>
      <c r="B621" s="50">
        <v>200</v>
      </c>
      <c r="C621" s="50">
        <v>800</v>
      </c>
      <c r="D621" s="50">
        <v>19.25</v>
      </c>
      <c r="E621" s="50">
        <v>191.47084421235857</v>
      </c>
      <c r="F621" s="50">
        <v>4667.1018276762397</v>
      </c>
      <c r="G621" s="57" t="s">
        <v>102</v>
      </c>
      <c r="H621" s="50">
        <v>0.13400000000000001</v>
      </c>
      <c r="I621" s="50">
        <v>174</v>
      </c>
      <c r="J621" s="50">
        <v>3422</v>
      </c>
      <c r="K621" s="50">
        <v>5555</v>
      </c>
      <c r="L621" s="50">
        <v>0.75</v>
      </c>
      <c r="M621" s="50">
        <v>120</v>
      </c>
      <c r="N621" s="51">
        <v>31</v>
      </c>
      <c r="O621" s="43">
        <f t="shared" si="122"/>
        <v>0.25</v>
      </c>
      <c r="P621" s="43">
        <f t="shared" si="115"/>
        <v>646.66884421235864</v>
      </c>
      <c r="Q621" s="43">
        <f t="shared" si="116"/>
        <v>6.7454933126574905E-5</v>
      </c>
      <c r="R621" s="43">
        <v>35</v>
      </c>
      <c r="S621" s="43">
        <f t="shared" si="117"/>
        <v>0.25</v>
      </c>
      <c r="T621" s="43">
        <f t="shared" si="118"/>
        <v>1.4898017444355491</v>
      </c>
      <c r="U621" s="43" t="str" cm="1">
        <f t="array" ref="U621">_xlfn.IFS(T621&lt;3,"Group I",T621&lt;5,"Group II",T621&lt;10,"Group III",T621&lt;20,"Group IV",T621&lt;50,"Group V",T621&lt;100,"Group VI",T621&lt;200,"Group VII",T621&lt;500,"Group VIII",T621&lt;1000,"Group IX",TRUE,"Group X")</f>
        <v>Group I</v>
      </c>
      <c r="V621" s="43">
        <f t="shared" si="119"/>
        <v>0.17312847846169396</v>
      </c>
      <c r="W621" s="43">
        <f t="shared" si="120"/>
        <v>0.4150919540229886</v>
      </c>
      <c r="X621" s="43">
        <f t="shared" si="123"/>
        <v>-0.3818556847310533</v>
      </c>
      <c r="Y621" s="43">
        <f t="shared" si="121"/>
        <v>0.25833333333333336</v>
      </c>
      <c r="Z621" s="43">
        <f t="shared" si="124"/>
        <v>-0.58781955221335214</v>
      </c>
      <c r="AA621" s="43">
        <f t="shared" si="125"/>
        <v>8.1469453638626718E-2</v>
      </c>
      <c r="AB621" s="43">
        <f t="shared" si="126"/>
        <v>0.21104495444981014</v>
      </c>
    </row>
    <row r="622" spans="1:28">
      <c r="A622" s="48" t="s">
        <v>29</v>
      </c>
      <c r="B622" s="50">
        <v>200</v>
      </c>
      <c r="C622" s="50">
        <v>1200</v>
      </c>
      <c r="D622" s="50">
        <v>19.25</v>
      </c>
      <c r="E622" s="50">
        <v>191.47084421235857</v>
      </c>
      <c r="F622" s="50">
        <v>4667.1018276762397</v>
      </c>
      <c r="G622" s="57" t="s">
        <v>102</v>
      </c>
      <c r="H622" s="50">
        <v>0.13400000000000001</v>
      </c>
      <c r="I622" s="50">
        <v>174</v>
      </c>
      <c r="J622" s="50">
        <v>3422</v>
      </c>
      <c r="K622" s="50">
        <v>5555</v>
      </c>
      <c r="L622" s="50">
        <v>0.75</v>
      </c>
      <c r="M622" s="50">
        <v>115</v>
      </c>
      <c r="N622" s="51">
        <v>29</v>
      </c>
      <c r="O622" s="43">
        <f t="shared" si="122"/>
        <v>0.25</v>
      </c>
      <c r="P622" s="43">
        <f t="shared" si="115"/>
        <v>646.66884421235864</v>
      </c>
      <c r="Q622" s="43">
        <f t="shared" si="116"/>
        <v>6.7454933126574905E-5</v>
      </c>
      <c r="R622" s="43">
        <v>35</v>
      </c>
      <c r="S622" s="43">
        <f t="shared" si="117"/>
        <v>0.16666666666666666</v>
      </c>
      <c r="T622" s="43">
        <f t="shared" si="118"/>
        <v>1.2164180305917875</v>
      </c>
      <c r="U622" s="43" t="str" cm="1">
        <f t="array" ref="U622">_xlfn.IFS(T622&lt;3,"Group I",T622&lt;5,"Group II",T622&lt;10,"Group III",T622&lt;20,"Group IV",T622&lt;50,"Group V",T622&lt;100,"Group VI",T622&lt;200,"Group VII",T622&lt;500,"Group VIII",T622&lt;1000,"Group IX",TRUE,"Group X")</f>
        <v>Group I</v>
      </c>
      <c r="V622" s="43">
        <f t="shared" si="119"/>
        <v>8.5082848933853275E-2</v>
      </c>
      <c r="W622" s="43">
        <f t="shared" si="120"/>
        <v>0.62263793103448284</v>
      </c>
      <c r="X622" s="43">
        <f t="shared" si="123"/>
        <v>-0.20576442567537209</v>
      </c>
      <c r="Y622" s="43">
        <f t="shared" si="121"/>
        <v>0.25217391304347825</v>
      </c>
      <c r="Z622" s="43">
        <f t="shared" si="124"/>
        <v>-0.59829984245465562</v>
      </c>
      <c r="AA622" s="43">
        <f t="shared" si="125"/>
        <v>6.7743557288719239E-2</v>
      </c>
      <c r="AB622" s="43">
        <f t="shared" si="126"/>
        <v>0.19867635365065356</v>
      </c>
    </row>
    <row r="623" spans="1:28">
      <c r="A623" s="48" t="s">
        <v>29</v>
      </c>
      <c r="B623" s="50">
        <v>200</v>
      </c>
      <c r="C623" s="50">
        <v>1600</v>
      </c>
      <c r="D623" s="50">
        <v>19.25</v>
      </c>
      <c r="E623" s="50">
        <v>191.47084421235857</v>
      </c>
      <c r="F623" s="50">
        <v>4667.1018276762397</v>
      </c>
      <c r="G623" s="57" t="s">
        <v>102</v>
      </c>
      <c r="H623" s="50">
        <v>0.13400000000000001</v>
      </c>
      <c r="I623" s="50">
        <v>174</v>
      </c>
      <c r="J623" s="50">
        <v>3422</v>
      </c>
      <c r="K623" s="50">
        <v>5555</v>
      </c>
      <c r="L623" s="50">
        <v>0.75</v>
      </c>
      <c r="M623" s="50">
        <v>94</v>
      </c>
      <c r="N623" s="51">
        <v>13.7</v>
      </c>
      <c r="O623" s="43">
        <f t="shared" si="122"/>
        <v>0.25</v>
      </c>
      <c r="P623" s="43">
        <f t="shared" si="115"/>
        <v>646.66884421235864</v>
      </c>
      <c r="Q623" s="43">
        <f t="shared" si="116"/>
        <v>6.7454933126574905E-5</v>
      </c>
      <c r="R623" s="43">
        <v>35</v>
      </c>
      <c r="S623" s="43">
        <f t="shared" si="117"/>
        <v>0.125</v>
      </c>
      <c r="T623" s="43">
        <f t="shared" si="118"/>
        <v>1.0534489161139244</v>
      </c>
      <c r="U623" s="43" t="str" cm="1">
        <f t="array" ref="U623">_xlfn.IFS(T623&lt;3,"Group I",T623&lt;5,"Group II",T623&lt;10,"Group III",T623&lt;20,"Group IV",T623&lt;50,"Group V",T623&lt;100,"Group VI",T623&lt;200,"Group VII",T623&lt;500,"Group VIII",T623&lt;1000,"Group IX",TRUE,"Group X")</f>
        <v>Group I</v>
      </c>
      <c r="V623" s="43">
        <f t="shared" si="119"/>
        <v>2.2613480629703284E-2</v>
      </c>
      <c r="W623" s="43">
        <f t="shared" si="120"/>
        <v>0.83018390804597719</v>
      </c>
      <c r="X623" s="43">
        <f t="shared" si="123"/>
        <v>-8.0825689067072104E-2</v>
      </c>
      <c r="Y623" s="43">
        <f t="shared" si="121"/>
        <v>0.14574468085106382</v>
      </c>
      <c r="Z623" s="43">
        <f t="shared" si="124"/>
        <v>-0.83640728644329188</v>
      </c>
      <c r="AA623" s="43">
        <f t="shared" si="125"/>
        <v>5.9431559289061922E-2</v>
      </c>
      <c r="AB623" s="43">
        <f t="shared" si="126"/>
        <v>0.19034284481608615</v>
      </c>
    </row>
    <row r="624" spans="1:28">
      <c r="A624" s="48" t="s">
        <v>29</v>
      </c>
      <c r="B624" s="50">
        <v>200</v>
      </c>
      <c r="C624" s="50">
        <v>2000</v>
      </c>
      <c r="D624" s="50">
        <v>19.25</v>
      </c>
      <c r="E624" s="50">
        <v>191.47084421235857</v>
      </c>
      <c r="F624" s="50">
        <v>4667.1018276762397</v>
      </c>
      <c r="G624" s="57" t="s">
        <v>102</v>
      </c>
      <c r="H624" s="50">
        <v>0.13400000000000001</v>
      </c>
      <c r="I624" s="50">
        <v>174</v>
      </c>
      <c r="J624" s="50">
        <v>3422</v>
      </c>
      <c r="K624" s="50">
        <v>5555</v>
      </c>
      <c r="L624" s="50">
        <v>0.75</v>
      </c>
      <c r="M624" s="50">
        <v>73</v>
      </c>
      <c r="N624" s="51">
        <v>14</v>
      </c>
      <c r="O624" s="43">
        <f t="shared" si="122"/>
        <v>0.25</v>
      </c>
      <c r="P624" s="43">
        <f t="shared" si="115"/>
        <v>646.66884421235864</v>
      </c>
      <c r="Q624" s="43">
        <f t="shared" si="116"/>
        <v>6.7454933126574905E-5</v>
      </c>
      <c r="R624" s="43">
        <v>35</v>
      </c>
      <c r="S624" s="43">
        <f t="shared" si="117"/>
        <v>0.1</v>
      </c>
      <c r="T624" s="43">
        <f t="shared" si="118"/>
        <v>0.94223335490168358</v>
      </c>
      <c r="U624" s="43" t="str" cm="1">
        <f t="array" ref="U624">_xlfn.IFS(T624&lt;3,"Group I",T624&lt;5,"Group II",T624&lt;10,"Group III",T624&lt;20,"Group IV",T624&lt;50,"Group V",T624&lt;100,"Group VI",T624&lt;200,"Group VII",T624&lt;500,"Group VIII",T624&lt;1000,"Group IX",TRUE,"Group X")</f>
        <v>Group I</v>
      </c>
      <c r="V624" s="43">
        <f t="shared" si="119"/>
        <v>-2.584152587432486E-2</v>
      </c>
      <c r="W624" s="43">
        <f t="shared" si="120"/>
        <v>1.0377298850574714</v>
      </c>
      <c r="X624" s="43">
        <f t="shared" si="123"/>
        <v>1.6084323940984292E-2</v>
      </c>
      <c r="Y624" s="43">
        <f t="shared" si="121"/>
        <v>0.19178082191780821</v>
      </c>
      <c r="Z624" s="43">
        <f t="shared" si="124"/>
        <v>-0.71719482444221794</v>
      </c>
      <c r="AA624" s="43">
        <f t="shared" si="125"/>
        <v>5.3693308042228563E-2</v>
      </c>
      <c r="AB624" s="43">
        <f t="shared" si="126"/>
        <v>0.18412035748516814</v>
      </c>
    </row>
    <row r="625" spans="1:28">
      <c r="A625" s="48" t="s">
        <v>29</v>
      </c>
      <c r="B625" s="50">
        <v>200</v>
      </c>
      <c r="C625" s="50">
        <v>2400</v>
      </c>
      <c r="D625" s="50">
        <v>19.25</v>
      </c>
      <c r="E625" s="50">
        <v>191.47084421235857</v>
      </c>
      <c r="F625" s="50">
        <v>4667.1018276762397</v>
      </c>
      <c r="G625" s="57" t="s">
        <v>102</v>
      </c>
      <c r="H625" s="50">
        <v>0.13400000000000001</v>
      </c>
      <c r="I625" s="50">
        <v>174</v>
      </c>
      <c r="J625" s="50">
        <v>3422</v>
      </c>
      <c r="K625" s="50">
        <v>5555</v>
      </c>
      <c r="L625" s="50">
        <v>0.75</v>
      </c>
      <c r="M625" s="50">
        <v>62</v>
      </c>
      <c r="N625" s="51">
        <v>9.5</v>
      </c>
      <c r="O625" s="43">
        <f t="shared" si="122"/>
        <v>0.25</v>
      </c>
      <c r="P625" s="43">
        <f t="shared" si="115"/>
        <v>646.66884421235864</v>
      </c>
      <c r="Q625" s="43">
        <f t="shared" si="116"/>
        <v>6.7454933126574905E-5</v>
      </c>
      <c r="R625" s="43">
        <v>35</v>
      </c>
      <c r="S625" s="43">
        <f t="shared" si="117"/>
        <v>8.3333333333333329E-2</v>
      </c>
      <c r="T625" s="43">
        <f t="shared" si="118"/>
        <v>0.86013743818903821</v>
      </c>
      <c r="U625" s="43" t="str" cm="1">
        <f t="array" ref="U625">_xlfn.IFS(T625&lt;3,"Group I",T625&lt;5,"Group II",T625&lt;10,"Group III",T625&lt;20,"Group IV",T625&lt;50,"Group V",T625&lt;100,"Group VI",T625&lt;200,"Group VII",T625&lt;500,"Group VIII",T625&lt;1000,"Group IX",TRUE,"Group X")</f>
        <v>Group I</v>
      </c>
      <c r="V625" s="43">
        <f t="shared" si="119"/>
        <v>-6.5432148898137324E-2</v>
      </c>
      <c r="W625" s="43">
        <f t="shared" si="120"/>
        <v>1.2452758620689657</v>
      </c>
      <c r="X625" s="43">
        <f t="shared" si="123"/>
        <v>9.5265569988609106E-2</v>
      </c>
      <c r="Y625" s="43">
        <f t="shared" si="121"/>
        <v>0.15322580645161291</v>
      </c>
      <c r="Z625" s="43">
        <f t="shared" si="124"/>
        <v>-0.81466808420940606</v>
      </c>
      <c r="AA625" s="43">
        <f t="shared" si="125"/>
        <v>4.9418586496419108E-2</v>
      </c>
      <c r="AB625" s="43">
        <f t="shared" si="126"/>
        <v>0.17918752168294838</v>
      </c>
    </row>
    <row r="626" spans="1:28">
      <c r="A626" s="48" t="s">
        <v>29</v>
      </c>
      <c r="B626" s="50">
        <v>350</v>
      </c>
      <c r="C626" s="50">
        <v>400</v>
      </c>
      <c r="D626" s="50">
        <v>19.25</v>
      </c>
      <c r="E626" s="50">
        <v>191.47084421235857</v>
      </c>
      <c r="F626" s="50">
        <v>4667.1018276762397</v>
      </c>
      <c r="G626" s="57" t="s">
        <v>102</v>
      </c>
      <c r="H626" s="50">
        <v>0.13400000000000001</v>
      </c>
      <c r="I626" s="50">
        <v>174</v>
      </c>
      <c r="J626" s="50">
        <v>3422</v>
      </c>
      <c r="K626" s="50">
        <v>5555</v>
      </c>
      <c r="L626" s="50">
        <v>0.75</v>
      </c>
      <c r="M626" s="50">
        <v>160</v>
      </c>
      <c r="N626" s="51">
        <v>28.8</v>
      </c>
      <c r="O626" s="43">
        <f t="shared" si="122"/>
        <v>0.25</v>
      </c>
      <c r="P626" s="43">
        <f t="shared" si="115"/>
        <v>646.66884421235864</v>
      </c>
      <c r="Q626" s="43">
        <f t="shared" si="116"/>
        <v>6.7454933126574905E-5</v>
      </c>
      <c r="R626" s="43">
        <v>35</v>
      </c>
      <c r="S626" s="43">
        <f t="shared" si="117"/>
        <v>0.875</v>
      </c>
      <c r="T626" s="43">
        <f t="shared" si="118"/>
        <v>3.6870712063987354</v>
      </c>
      <c r="U626" s="43" t="str" cm="1">
        <f t="array" ref="U626">_xlfn.IFS(T626&lt;3,"Group I",T626&lt;5,"Group II",T626&lt;10,"Group III",T626&lt;20,"Group IV",T626&lt;50,"Group V",T626&lt;100,"Group VI",T626&lt;200,"Group VII",T626&lt;500,"Group VIII",T626&lt;1000,"Group IX",TRUE,"Group X")</f>
        <v>Group II</v>
      </c>
      <c r="V626" s="43">
        <f t="shared" si="119"/>
        <v>0.56668152497997892</v>
      </c>
      <c r="W626" s="43">
        <f t="shared" si="120"/>
        <v>0.2075459770114943</v>
      </c>
      <c r="X626" s="43">
        <f t="shared" si="123"/>
        <v>-0.6828856803950345</v>
      </c>
      <c r="Y626" s="43">
        <f t="shared" si="121"/>
        <v>0.18</v>
      </c>
      <c r="Z626" s="43">
        <f t="shared" si="124"/>
        <v>-0.74472749489669399</v>
      </c>
      <c r="AA626" s="43">
        <f t="shared" si="125"/>
        <v>0.19543868480405707</v>
      </c>
      <c r="AB626" s="43">
        <f t="shared" si="126"/>
        <v>0.27644861997448728</v>
      </c>
    </row>
    <row r="627" spans="1:28">
      <c r="A627" s="48" t="s">
        <v>29</v>
      </c>
      <c r="B627" s="50">
        <v>350</v>
      </c>
      <c r="C627" s="50">
        <v>600</v>
      </c>
      <c r="D627" s="50">
        <v>19.25</v>
      </c>
      <c r="E627" s="50">
        <v>191.47084421235857</v>
      </c>
      <c r="F627" s="50">
        <v>4667.1018276762397</v>
      </c>
      <c r="G627" s="57" t="s">
        <v>102</v>
      </c>
      <c r="H627" s="50">
        <v>0.13400000000000001</v>
      </c>
      <c r="I627" s="50">
        <v>174</v>
      </c>
      <c r="J627" s="50">
        <v>3422</v>
      </c>
      <c r="K627" s="50">
        <v>5555</v>
      </c>
      <c r="L627" s="50">
        <v>0.75</v>
      </c>
      <c r="M627" s="50">
        <v>150</v>
      </c>
      <c r="N627" s="51">
        <v>24</v>
      </c>
      <c r="O627" s="43">
        <f t="shared" si="122"/>
        <v>0.25</v>
      </c>
      <c r="P627" s="43">
        <f t="shared" si="115"/>
        <v>646.66884421235864</v>
      </c>
      <c r="Q627" s="43">
        <f t="shared" si="116"/>
        <v>6.7454933126574905E-5</v>
      </c>
      <c r="R627" s="43">
        <v>35</v>
      </c>
      <c r="S627" s="43">
        <f t="shared" si="117"/>
        <v>0.58333333333333337</v>
      </c>
      <c r="T627" s="43">
        <f t="shared" si="118"/>
        <v>3.0104810336616339</v>
      </c>
      <c r="U627" s="43" t="str" cm="1">
        <f t="array" ref="U627">_xlfn.IFS(T627&lt;3,"Group I",T627&lt;5,"Group II",T627&lt;10,"Group III",T627&lt;20,"Group IV",T627&lt;50,"Group V",T627&lt;100,"Group VI",T627&lt;200,"Group VII",T627&lt;500,"Group VIII",T627&lt;1000,"Group IX",TRUE,"Group X")</f>
        <v>Group II</v>
      </c>
      <c r="V627" s="43">
        <f t="shared" si="119"/>
        <v>0.47863589545213836</v>
      </c>
      <c r="W627" s="43">
        <f t="shared" si="120"/>
        <v>0.31131896551724142</v>
      </c>
      <c r="X627" s="43">
        <f t="shared" si="123"/>
        <v>-0.50679442133935326</v>
      </c>
      <c r="Y627" s="43">
        <f t="shared" si="121"/>
        <v>0.16</v>
      </c>
      <c r="Z627" s="43">
        <f t="shared" si="124"/>
        <v>-0.79588001734407521</v>
      </c>
      <c r="AA627" s="43">
        <f t="shared" si="125"/>
        <v>0.16251136038278657</v>
      </c>
      <c r="AB627" s="43">
        <f t="shared" si="126"/>
        <v>0.26024694090162731</v>
      </c>
    </row>
    <row r="628" spans="1:28">
      <c r="A628" s="48" t="s">
        <v>29</v>
      </c>
      <c r="B628" s="50">
        <v>350</v>
      </c>
      <c r="C628" s="50">
        <v>800</v>
      </c>
      <c r="D628" s="50">
        <v>19.25</v>
      </c>
      <c r="E628" s="50">
        <v>191.47084421235857</v>
      </c>
      <c r="F628" s="50">
        <v>4667.1018276762397</v>
      </c>
      <c r="G628" s="57" t="s">
        <v>102</v>
      </c>
      <c r="H628" s="50">
        <v>0.13400000000000001</v>
      </c>
      <c r="I628" s="50">
        <v>174</v>
      </c>
      <c r="J628" s="50">
        <v>3422</v>
      </c>
      <c r="K628" s="50">
        <v>5555</v>
      </c>
      <c r="L628" s="50">
        <v>0.75</v>
      </c>
      <c r="M628" s="50">
        <v>138</v>
      </c>
      <c r="N628" s="51">
        <v>20</v>
      </c>
      <c r="O628" s="43">
        <f t="shared" si="122"/>
        <v>0.25</v>
      </c>
      <c r="P628" s="43">
        <f t="shared" si="115"/>
        <v>646.66884421235864</v>
      </c>
      <c r="Q628" s="43">
        <f t="shared" si="116"/>
        <v>6.7454933126574905E-5</v>
      </c>
      <c r="R628" s="43">
        <v>35</v>
      </c>
      <c r="S628" s="43">
        <f t="shared" si="117"/>
        <v>0.4375</v>
      </c>
      <c r="T628" s="43">
        <f t="shared" si="118"/>
        <v>2.6071530527622109</v>
      </c>
      <c r="U628" s="43" t="str" cm="1">
        <f t="array" ref="U628">_xlfn.IFS(T628&lt;3,"Group I",T628&lt;5,"Group II",T628&lt;10,"Group III",T628&lt;20,"Group IV",T628&lt;50,"Group V",T628&lt;100,"Group VI",T628&lt;200,"Group VII",T628&lt;500,"Group VIII",T628&lt;1000,"Group IX",TRUE,"Group X")</f>
        <v>Group I</v>
      </c>
      <c r="V628" s="43">
        <f t="shared" si="119"/>
        <v>0.41616652714798841</v>
      </c>
      <c r="W628" s="43">
        <f t="shared" si="120"/>
        <v>0.4150919540229886</v>
      </c>
      <c r="X628" s="43">
        <f t="shared" si="123"/>
        <v>-0.3818556847310533</v>
      </c>
      <c r="Y628" s="43">
        <f t="shared" si="121"/>
        <v>0.14492753623188406</v>
      </c>
      <c r="Z628" s="43">
        <f t="shared" si="124"/>
        <v>-0.83884909073725533</v>
      </c>
      <c r="AA628" s="43">
        <f t="shared" si="125"/>
        <v>0.14257154386759677</v>
      </c>
      <c r="AB628" s="43">
        <f t="shared" si="126"/>
        <v>0.24933084474160647</v>
      </c>
    </row>
    <row r="629" spans="1:28">
      <c r="A629" s="48" t="s">
        <v>29</v>
      </c>
      <c r="B629" s="50">
        <v>350</v>
      </c>
      <c r="C629" s="50">
        <v>1000</v>
      </c>
      <c r="D629" s="50">
        <v>19.25</v>
      </c>
      <c r="E629" s="50">
        <v>191.47084421235857</v>
      </c>
      <c r="F629" s="50">
        <v>4667.1018276762397</v>
      </c>
      <c r="G629" s="57" t="s">
        <v>102</v>
      </c>
      <c r="H629" s="50">
        <v>0.13400000000000001</v>
      </c>
      <c r="I629" s="50">
        <v>174</v>
      </c>
      <c r="J629" s="50">
        <v>3422</v>
      </c>
      <c r="K629" s="50">
        <v>5555</v>
      </c>
      <c r="L629" s="50">
        <v>0.75</v>
      </c>
      <c r="M629" s="50">
        <v>126</v>
      </c>
      <c r="N629" s="51">
        <v>22</v>
      </c>
      <c r="O629" s="43">
        <f t="shared" si="122"/>
        <v>0.25</v>
      </c>
      <c r="P629" s="43">
        <f t="shared" si="115"/>
        <v>646.66884421235864</v>
      </c>
      <c r="Q629" s="43">
        <f t="shared" si="116"/>
        <v>6.7454933126574905E-5</v>
      </c>
      <c r="R629" s="43">
        <v>35</v>
      </c>
      <c r="S629" s="43">
        <f t="shared" si="117"/>
        <v>0.35</v>
      </c>
      <c r="T629" s="43">
        <f t="shared" si="118"/>
        <v>2.3319085814889595</v>
      </c>
      <c r="U629" s="43" t="str" cm="1">
        <f t="array" ref="U629">_xlfn.IFS(T629&lt;3,"Group I",T629&lt;5,"Group II",T629&lt;10,"Group III",T629&lt;20,"Group IV",T629&lt;50,"Group V",T629&lt;100,"Group VI",T629&lt;200,"Group VII",T629&lt;500,"Group VIII",T629&lt;1000,"Group IX",TRUE,"Group X")</f>
        <v>Group I</v>
      </c>
      <c r="V629" s="43">
        <f t="shared" si="119"/>
        <v>0.36771152064396012</v>
      </c>
      <c r="W629" s="43">
        <f t="shared" si="120"/>
        <v>0.51886494252873572</v>
      </c>
      <c r="X629" s="43">
        <f t="shared" si="123"/>
        <v>-0.2849456717229969</v>
      </c>
      <c r="Y629" s="43">
        <f t="shared" si="121"/>
        <v>0.17460317460317459</v>
      </c>
      <c r="Z629" s="43">
        <f t="shared" si="124"/>
        <v>-0.75794786429535665</v>
      </c>
      <c r="AA629" s="43">
        <f t="shared" si="125"/>
        <v>0.12880593937820276</v>
      </c>
      <c r="AB629" s="43">
        <f t="shared" si="126"/>
        <v>0.24117998399288329</v>
      </c>
    </row>
    <row r="630" spans="1:28">
      <c r="A630" s="48" t="s">
        <v>29</v>
      </c>
      <c r="B630" s="50">
        <v>350</v>
      </c>
      <c r="C630" s="50">
        <v>1200</v>
      </c>
      <c r="D630" s="50">
        <v>19.25</v>
      </c>
      <c r="E630" s="50">
        <v>191.47084421235857</v>
      </c>
      <c r="F630" s="50">
        <v>4667.1018276762397</v>
      </c>
      <c r="G630" s="57" t="s">
        <v>102</v>
      </c>
      <c r="H630" s="50">
        <v>0.13400000000000001</v>
      </c>
      <c r="I630" s="50">
        <v>174</v>
      </c>
      <c r="J630" s="50">
        <v>3422</v>
      </c>
      <c r="K630" s="50">
        <v>5555</v>
      </c>
      <c r="L630" s="50">
        <v>0.75</v>
      </c>
      <c r="M630" s="50">
        <v>109.8</v>
      </c>
      <c r="N630" s="51">
        <v>21</v>
      </c>
      <c r="O630" s="43">
        <f t="shared" si="122"/>
        <v>0.25</v>
      </c>
      <c r="P630" s="43">
        <f t="shared" si="115"/>
        <v>646.66884421235864</v>
      </c>
      <c r="Q630" s="43">
        <f t="shared" si="116"/>
        <v>6.7454933126574905E-5</v>
      </c>
      <c r="R630" s="43">
        <v>35</v>
      </c>
      <c r="S630" s="43">
        <f t="shared" si="117"/>
        <v>0.29166666666666669</v>
      </c>
      <c r="T630" s="43">
        <f t="shared" si="118"/>
        <v>2.1287315535356282</v>
      </c>
      <c r="U630" s="43" t="str" cm="1">
        <f t="array" ref="U630">_xlfn.IFS(T630&lt;3,"Group I",T630&lt;5,"Group II",T630&lt;10,"Group III",T630&lt;20,"Group IV",T630&lt;50,"Group V",T630&lt;100,"Group VI",T630&lt;200,"Group VII",T630&lt;500,"Group VIII",T630&lt;1000,"Group IX",TRUE,"Group X")</f>
        <v>Group I</v>
      </c>
      <c r="V630" s="43">
        <f t="shared" si="119"/>
        <v>0.32812089762014768</v>
      </c>
      <c r="W630" s="43">
        <f t="shared" si="120"/>
        <v>0.62263793103448284</v>
      </c>
      <c r="X630" s="43">
        <f t="shared" si="123"/>
        <v>-0.20576442567537209</v>
      </c>
      <c r="Y630" s="43">
        <f t="shared" si="121"/>
        <v>0.19125683060109291</v>
      </c>
      <c r="Z630" s="43">
        <f t="shared" si="124"/>
        <v>-0.71838304538015374</v>
      </c>
      <c r="AA630" s="43">
        <f t="shared" si="125"/>
        <v>0.11855122525525869</v>
      </c>
      <c r="AB630" s="43">
        <f t="shared" si="126"/>
        <v>0.23471844287886104</v>
      </c>
    </row>
    <row r="631" spans="1:28">
      <c r="A631" s="48" t="s">
        <v>29</v>
      </c>
      <c r="B631" s="50">
        <v>350</v>
      </c>
      <c r="C631" s="50">
        <v>1600</v>
      </c>
      <c r="D631" s="50">
        <v>19.25</v>
      </c>
      <c r="E631" s="50">
        <v>191.47084421235857</v>
      </c>
      <c r="F631" s="50">
        <v>4667.1018276762397</v>
      </c>
      <c r="G631" s="57" t="s">
        <v>102</v>
      </c>
      <c r="H631" s="50">
        <v>0.13400000000000001</v>
      </c>
      <c r="I631" s="50">
        <v>174</v>
      </c>
      <c r="J631" s="50">
        <v>3422</v>
      </c>
      <c r="K631" s="50">
        <v>5555</v>
      </c>
      <c r="L631" s="50">
        <v>0.75</v>
      </c>
      <c r="M631" s="50">
        <v>87</v>
      </c>
      <c r="N631" s="51">
        <v>26</v>
      </c>
      <c r="O631" s="43">
        <f t="shared" si="122"/>
        <v>0.25</v>
      </c>
      <c r="P631" s="43">
        <f t="shared" si="115"/>
        <v>646.66884421235864</v>
      </c>
      <c r="Q631" s="43">
        <f t="shared" si="116"/>
        <v>6.7454933126574905E-5</v>
      </c>
      <c r="R631" s="43">
        <v>35</v>
      </c>
      <c r="S631" s="43">
        <f t="shared" si="117"/>
        <v>0.21875</v>
      </c>
      <c r="T631" s="43">
        <f t="shared" si="118"/>
        <v>1.8435356031993677</v>
      </c>
      <c r="U631" s="43" t="str" cm="1">
        <f t="array" ref="U631">_xlfn.IFS(T631&lt;3,"Group I",T631&lt;5,"Group II",T631&lt;10,"Group III",T631&lt;20,"Group IV",T631&lt;50,"Group V",T631&lt;100,"Group VI",T631&lt;200,"Group VII",T631&lt;500,"Group VIII",T631&lt;1000,"Group IX",TRUE,"Group X")</f>
        <v>Group I</v>
      </c>
      <c r="V631" s="43">
        <f t="shared" si="119"/>
        <v>0.26565152931599773</v>
      </c>
      <c r="W631" s="43">
        <f t="shared" si="120"/>
        <v>0.83018390804597719</v>
      </c>
      <c r="X631" s="43">
        <f t="shared" si="123"/>
        <v>-8.0825689067072104E-2</v>
      </c>
      <c r="Y631" s="43">
        <f t="shared" si="121"/>
        <v>0.2988505747126437</v>
      </c>
      <c r="Z631" s="43">
        <f t="shared" si="124"/>
        <v>-0.52454590464780049</v>
      </c>
      <c r="AA631" s="43">
        <f t="shared" si="125"/>
        <v>0.10400522875585837</v>
      </c>
      <c r="AB631" s="43">
        <f t="shared" si="126"/>
        <v>0.22487314331791627</v>
      </c>
    </row>
    <row r="632" spans="1:28">
      <c r="A632" s="48" t="s">
        <v>29</v>
      </c>
      <c r="B632" s="50">
        <v>350</v>
      </c>
      <c r="C632" s="50">
        <v>2000</v>
      </c>
      <c r="D632" s="50">
        <v>19.25</v>
      </c>
      <c r="E632" s="50">
        <v>191.47084421235857</v>
      </c>
      <c r="F632" s="50">
        <v>4667.1018276762397</v>
      </c>
      <c r="G632" s="57" t="s">
        <v>102</v>
      </c>
      <c r="H632" s="50">
        <v>0.13400000000000001</v>
      </c>
      <c r="I632" s="50">
        <v>174</v>
      </c>
      <c r="J632" s="50">
        <v>3422</v>
      </c>
      <c r="K632" s="50">
        <v>5555</v>
      </c>
      <c r="L632" s="50">
        <v>0.75</v>
      </c>
      <c r="M632" s="50">
        <v>98</v>
      </c>
      <c r="N632" s="51">
        <v>21</v>
      </c>
      <c r="O632" s="43">
        <f t="shared" si="122"/>
        <v>0.25</v>
      </c>
      <c r="P632" s="43">
        <f t="shared" si="115"/>
        <v>646.66884421235864</v>
      </c>
      <c r="Q632" s="43">
        <f t="shared" si="116"/>
        <v>6.7454933126574905E-5</v>
      </c>
      <c r="R632" s="43">
        <v>35</v>
      </c>
      <c r="S632" s="43">
        <f t="shared" si="117"/>
        <v>0.17499999999999999</v>
      </c>
      <c r="T632" s="43">
        <f t="shared" si="118"/>
        <v>1.6489083710779462</v>
      </c>
      <c r="U632" s="43" t="str" cm="1">
        <f t="array" ref="U632">_xlfn.IFS(T632&lt;3,"Group I",T632&lt;5,"Group II",T632&lt;10,"Group III",T632&lt;20,"Group IV",T632&lt;50,"Group V",T632&lt;100,"Group VI",T632&lt;200,"Group VII",T632&lt;500,"Group VIII",T632&lt;1000,"Group IX",TRUE,"Group X")</f>
        <v>Group I</v>
      </c>
      <c r="V632" s="43">
        <f t="shared" si="119"/>
        <v>0.21719652281196955</v>
      </c>
      <c r="W632" s="43">
        <f t="shared" si="120"/>
        <v>1.0377298850574714</v>
      </c>
      <c r="X632" s="43">
        <f t="shared" si="123"/>
        <v>1.6084323940984292E-2</v>
      </c>
      <c r="Y632" s="43">
        <f t="shared" si="121"/>
        <v>0.21428571428571427</v>
      </c>
      <c r="Z632" s="43">
        <f t="shared" si="124"/>
        <v>-0.66900678095857558</v>
      </c>
      <c r="AA632" s="43">
        <f t="shared" si="125"/>
        <v>9.3963289073899975E-2</v>
      </c>
      <c r="AB632" s="43">
        <f t="shared" si="126"/>
        <v>0.2175218279232585</v>
      </c>
    </row>
    <row r="633" spans="1:28">
      <c r="A633" s="48" t="s">
        <v>29</v>
      </c>
      <c r="B633" s="50">
        <v>350</v>
      </c>
      <c r="C633" s="50">
        <v>2400</v>
      </c>
      <c r="D633" s="50">
        <v>19.25</v>
      </c>
      <c r="E633" s="50">
        <v>191.47084421235857</v>
      </c>
      <c r="F633" s="50">
        <v>4667.1018276762397</v>
      </c>
      <c r="G633" s="57" t="s">
        <v>102</v>
      </c>
      <c r="H633" s="50">
        <v>0.13400000000000001</v>
      </c>
      <c r="I633" s="50">
        <v>174</v>
      </c>
      <c r="J633" s="50">
        <v>3422</v>
      </c>
      <c r="K633" s="50">
        <v>5555</v>
      </c>
      <c r="L633" s="50">
        <v>0.75</v>
      </c>
      <c r="M633" s="50">
        <v>102</v>
      </c>
      <c r="N633" s="51">
        <v>13.9</v>
      </c>
      <c r="O633" s="43">
        <f t="shared" si="122"/>
        <v>0.25</v>
      </c>
      <c r="P633" s="43">
        <f t="shared" si="115"/>
        <v>646.66884421235864</v>
      </c>
      <c r="Q633" s="43">
        <f t="shared" si="116"/>
        <v>6.7454933126574905E-5</v>
      </c>
      <c r="R633" s="43">
        <v>35</v>
      </c>
      <c r="S633" s="43">
        <f t="shared" si="117"/>
        <v>0.14583333333333334</v>
      </c>
      <c r="T633" s="43">
        <f t="shared" si="118"/>
        <v>1.5052405168308169</v>
      </c>
      <c r="U633" s="43" t="str" cm="1">
        <f t="array" ref="U633">_xlfn.IFS(T633&lt;3,"Group I",T633&lt;5,"Group II",T633&lt;10,"Group III",T633&lt;20,"Group IV",T633&lt;50,"Group V",T633&lt;100,"Group VI",T633&lt;200,"Group VII",T633&lt;500,"Group VIII",T633&lt;1000,"Group IX",TRUE,"Group X")</f>
        <v>Group I</v>
      </c>
      <c r="V633" s="43">
        <f t="shared" si="119"/>
        <v>0.17760589978815713</v>
      </c>
      <c r="W633" s="43">
        <f t="shared" si="120"/>
        <v>1.2452758620689657</v>
      </c>
      <c r="X633" s="43">
        <f t="shared" si="123"/>
        <v>9.5265569988609106E-2</v>
      </c>
      <c r="Y633" s="43">
        <f t="shared" si="121"/>
        <v>0.13627450980392158</v>
      </c>
      <c r="Z633" s="43">
        <f t="shared" si="124"/>
        <v>-0.86558537150782244</v>
      </c>
      <c r="AA633" s="43">
        <f t="shared" si="125"/>
        <v>8.6482526368733437E-2</v>
      </c>
      <c r="AB633" s="43">
        <f t="shared" si="126"/>
        <v>0.21169412111669003</v>
      </c>
    </row>
    <row r="634" spans="1:28">
      <c r="A634" s="48" t="s">
        <v>29</v>
      </c>
      <c r="B634" s="50">
        <v>100</v>
      </c>
      <c r="C634" s="50">
        <v>300</v>
      </c>
      <c r="D634" s="50">
        <v>19.25</v>
      </c>
      <c r="E634" s="50">
        <v>191.47084421235857</v>
      </c>
      <c r="F634" s="50">
        <v>4667.1018276762397</v>
      </c>
      <c r="G634" s="57" t="s">
        <v>102</v>
      </c>
      <c r="H634" s="50">
        <v>0.13400000000000001</v>
      </c>
      <c r="I634" s="50">
        <v>174</v>
      </c>
      <c r="J634" s="50">
        <v>3422</v>
      </c>
      <c r="K634" s="50">
        <v>5555</v>
      </c>
      <c r="L634" s="50">
        <v>0.75</v>
      </c>
      <c r="M634" s="50">
        <v>112.48</v>
      </c>
      <c r="N634" s="51">
        <v>39.35</v>
      </c>
      <c r="O634" s="43">
        <f t="shared" si="122"/>
        <v>0.25</v>
      </c>
      <c r="P634" s="43">
        <f t="shared" si="115"/>
        <v>646.66884421235864</v>
      </c>
      <c r="Q634" s="43">
        <f t="shared" si="116"/>
        <v>6.7454933126574905E-5</v>
      </c>
      <c r="R634" s="43">
        <v>35</v>
      </c>
      <c r="S634" s="43">
        <f t="shared" si="117"/>
        <v>0.33333333333333331</v>
      </c>
      <c r="T634" s="43">
        <f t="shared" si="118"/>
        <v>1.2164180305917875</v>
      </c>
      <c r="U634" s="43" t="str" cm="1">
        <f t="array" ref="U634">_xlfn.IFS(T634&lt;3,"Group I",T634&lt;5,"Group II",T634&lt;10,"Group III",T634&lt;20,"Group IV",T634&lt;50,"Group V",T634&lt;100,"Group VI",T634&lt;200,"Group VII",T634&lt;500,"Group VIII",T634&lt;1000,"Group IX",TRUE,"Group X")</f>
        <v>Group I</v>
      </c>
      <c r="V634" s="43">
        <f t="shared" si="119"/>
        <v>8.5082848933853275E-2</v>
      </c>
      <c r="W634" s="43">
        <f t="shared" si="120"/>
        <v>0.15565948275862071</v>
      </c>
      <c r="X634" s="43">
        <f t="shared" si="123"/>
        <v>-0.80782441700333452</v>
      </c>
      <c r="Y634" s="43">
        <f t="shared" si="121"/>
        <v>0.34983997155049784</v>
      </c>
      <c r="Z634" s="43">
        <f t="shared" si="124"/>
        <v>-0.4561305709806654</v>
      </c>
      <c r="AA634" s="43">
        <f t="shared" si="125"/>
        <v>6.3649260228706636E-2</v>
      </c>
      <c r="AB634" s="43">
        <f t="shared" si="126"/>
        <v>0.19867635365065356</v>
      </c>
    </row>
    <row r="635" spans="1:28">
      <c r="A635" s="48" t="s">
        <v>29</v>
      </c>
      <c r="B635" s="50">
        <v>150</v>
      </c>
      <c r="C635" s="50">
        <v>300</v>
      </c>
      <c r="D635" s="50">
        <v>19.25</v>
      </c>
      <c r="E635" s="50">
        <v>191.47084421235857</v>
      </c>
      <c r="F635" s="50">
        <v>4667.1018276762397</v>
      </c>
      <c r="G635" s="57" t="s">
        <v>102</v>
      </c>
      <c r="H635" s="50">
        <v>0.13400000000000001</v>
      </c>
      <c r="I635" s="50">
        <v>174</v>
      </c>
      <c r="J635" s="50">
        <v>3422</v>
      </c>
      <c r="K635" s="50">
        <v>5555</v>
      </c>
      <c r="L635" s="50">
        <v>0.75</v>
      </c>
      <c r="M635" s="50">
        <v>202.24</v>
      </c>
      <c r="N635" s="51">
        <v>103.27</v>
      </c>
      <c r="O635" s="43">
        <f t="shared" si="122"/>
        <v>0.25</v>
      </c>
      <c r="P635" s="43">
        <f t="shared" si="115"/>
        <v>646.66884421235864</v>
      </c>
      <c r="Q635" s="43">
        <f t="shared" si="116"/>
        <v>6.7454933126574905E-5</v>
      </c>
      <c r="R635" s="43">
        <v>35</v>
      </c>
      <c r="S635" s="43">
        <f t="shared" si="117"/>
        <v>0.5</v>
      </c>
      <c r="T635" s="43">
        <f t="shared" si="118"/>
        <v>1.8246270458876814</v>
      </c>
      <c r="U635" s="43" t="str" cm="1">
        <f t="array" ref="U635">_xlfn.IFS(T635&lt;3,"Group I",T635&lt;5,"Group II",T635&lt;10,"Group III",T635&lt;20,"Group IV",T635&lt;50,"Group V",T635&lt;100,"Group VI",T635&lt;200,"Group VII",T635&lt;500,"Group VIII",T635&lt;1000,"Group IX",TRUE,"Group X")</f>
        <v>Group I</v>
      </c>
      <c r="V635" s="43">
        <f t="shared" si="119"/>
        <v>0.26117410798953455</v>
      </c>
      <c r="W635" s="43">
        <f t="shared" si="120"/>
        <v>0.15565948275862071</v>
      </c>
      <c r="X635" s="43">
        <f t="shared" si="123"/>
        <v>-0.80782441700333452</v>
      </c>
      <c r="Y635" s="43">
        <f t="shared" si="121"/>
        <v>0.51063093354430378</v>
      </c>
      <c r="Z635" s="43">
        <f t="shared" si="124"/>
        <v>-0.29189287958137494</v>
      </c>
      <c r="AA635" s="43">
        <f t="shared" si="125"/>
        <v>9.5473890343059947E-2</v>
      </c>
      <c r="AB635" s="43">
        <f t="shared" si="126"/>
        <v>0.22418356276580437</v>
      </c>
    </row>
    <row r="636" spans="1:28">
      <c r="A636" s="48" t="s">
        <v>29</v>
      </c>
      <c r="B636" s="50">
        <v>200</v>
      </c>
      <c r="C636" s="50">
        <v>300</v>
      </c>
      <c r="D636" s="50">
        <v>19.25</v>
      </c>
      <c r="E636" s="50">
        <v>191.47084421235857</v>
      </c>
      <c r="F636" s="50">
        <v>4667.1018276762397</v>
      </c>
      <c r="G636" s="57" t="s">
        <v>102</v>
      </c>
      <c r="H636" s="50">
        <v>0.13400000000000001</v>
      </c>
      <c r="I636" s="50">
        <v>174</v>
      </c>
      <c r="J636" s="50">
        <v>3422</v>
      </c>
      <c r="K636" s="50">
        <v>5555</v>
      </c>
      <c r="L636" s="50">
        <v>0.75</v>
      </c>
      <c r="M636" s="50">
        <v>210.25</v>
      </c>
      <c r="N636" s="51">
        <v>83.36</v>
      </c>
      <c r="O636" s="43">
        <f t="shared" si="122"/>
        <v>0.25</v>
      </c>
      <c r="P636" s="43">
        <f t="shared" si="115"/>
        <v>646.66884421235864</v>
      </c>
      <c r="Q636" s="43">
        <f t="shared" si="116"/>
        <v>6.7454933126574905E-5</v>
      </c>
      <c r="R636" s="43">
        <v>35</v>
      </c>
      <c r="S636" s="43">
        <f t="shared" si="117"/>
        <v>0.66666666666666663</v>
      </c>
      <c r="T636" s="43">
        <f t="shared" si="118"/>
        <v>2.4328360611835751</v>
      </c>
      <c r="U636" s="43" t="str" cm="1">
        <f t="array" ref="U636">_xlfn.IFS(T636&lt;3,"Group I",T636&lt;5,"Group II",T636&lt;10,"Group III",T636&lt;20,"Group IV",T636&lt;50,"Group V",T636&lt;100,"Group VI",T636&lt;200,"Group VII",T636&lt;500,"Group VIII",T636&lt;1000,"Group IX",TRUE,"Group X")</f>
        <v>Group I</v>
      </c>
      <c r="V636" s="43">
        <f t="shared" si="119"/>
        <v>0.38611284459783446</v>
      </c>
      <c r="W636" s="43">
        <f t="shared" si="120"/>
        <v>0.15565948275862071</v>
      </c>
      <c r="X636" s="43">
        <f t="shared" si="123"/>
        <v>-0.80782441700333452</v>
      </c>
      <c r="Y636" s="43">
        <f t="shared" si="121"/>
        <v>0.39648038049940548</v>
      </c>
      <c r="Z636" s="43">
        <f t="shared" si="124"/>
        <v>-0.40177829851450053</v>
      </c>
      <c r="AA636" s="43">
        <f t="shared" si="125"/>
        <v>0.12729852045741327</v>
      </c>
      <c r="AB636" s="43">
        <f t="shared" si="126"/>
        <v>0.24424350092637509</v>
      </c>
    </row>
    <row r="637" spans="1:28">
      <c r="A637" s="48" t="s">
        <v>29</v>
      </c>
      <c r="B637" s="50">
        <v>250</v>
      </c>
      <c r="C637" s="50">
        <v>300</v>
      </c>
      <c r="D637" s="50">
        <v>19.25</v>
      </c>
      <c r="E637" s="50">
        <v>191.47084421235857</v>
      </c>
      <c r="F637" s="50">
        <v>4667.1018276762397</v>
      </c>
      <c r="G637" s="57" t="s">
        <v>102</v>
      </c>
      <c r="H637" s="50">
        <v>0.13400000000000001</v>
      </c>
      <c r="I637" s="50">
        <v>174</v>
      </c>
      <c r="J637" s="50">
        <v>3422</v>
      </c>
      <c r="K637" s="50">
        <v>5555</v>
      </c>
      <c r="L637" s="50">
        <v>0.75</v>
      </c>
      <c r="M637" s="50">
        <v>275.89999999999998</v>
      </c>
      <c r="N637" s="51">
        <v>190.5</v>
      </c>
      <c r="O637" s="43">
        <f t="shared" si="122"/>
        <v>0.25</v>
      </c>
      <c r="P637" s="43">
        <f t="shared" si="115"/>
        <v>646.66884421235864</v>
      </c>
      <c r="Q637" s="43">
        <f t="shared" si="116"/>
        <v>6.7454933126574905E-5</v>
      </c>
      <c r="R637" s="43">
        <v>35</v>
      </c>
      <c r="S637" s="43">
        <f t="shared" si="117"/>
        <v>0.83333333333333337</v>
      </c>
      <c r="T637" s="43">
        <f t="shared" si="118"/>
        <v>3.041045076479469</v>
      </c>
      <c r="U637" s="43" t="str" cm="1">
        <f t="array" ref="U637">_xlfn.IFS(T637&lt;3,"Group I",T637&lt;5,"Group II",T637&lt;10,"Group III",T637&lt;20,"Group IV",T637&lt;50,"Group V",T637&lt;100,"Group VI",T637&lt;200,"Group VII",T637&lt;500,"Group VIII",T637&lt;1000,"Group IX",TRUE,"Group X")</f>
        <v>Group II</v>
      </c>
      <c r="V637" s="43">
        <f t="shared" si="119"/>
        <v>0.48302285760589092</v>
      </c>
      <c r="W637" s="43">
        <f t="shared" si="120"/>
        <v>0.15565948275862071</v>
      </c>
      <c r="X637" s="43">
        <f t="shared" si="123"/>
        <v>-0.80782441700333452</v>
      </c>
      <c r="Y637" s="43">
        <f t="shared" si="121"/>
        <v>0.69046756071040238</v>
      </c>
      <c r="Z637" s="43">
        <f t="shared" si="124"/>
        <v>-0.16085672046754732</v>
      </c>
      <c r="AA637" s="43">
        <f t="shared" si="125"/>
        <v>0.1591231505717666</v>
      </c>
      <c r="AB637" s="43">
        <f t="shared" si="126"/>
        <v>0.26103125372338964</v>
      </c>
    </row>
    <row r="638" spans="1:28">
      <c r="A638" s="48" t="s">
        <v>29</v>
      </c>
      <c r="B638" s="50">
        <v>300</v>
      </c>
      <c r="C638" s="50">
        <v>300</v>
      </c>
      <c r="D638" s="50">
        <v>19.25</v>
      </c>
      <c r="E638" s="50">
        <v>191.47084421235857</v>
      </c>
      <c r="F638" s="50">
        <v>4667.1018276762397</v>
      </c>
      <c r="G638" s="57" t="s">
        <v>102</v>
      </c>
      <c r="H638" s="50">
        <v>0.13400000000000001</v>
      </c>
      <c r="I638" s="50">
        <v>174</v>
      </c>
      <c r="J638" s="50">
        <v>3422</v>
      </c>
      <c r="K638" s="50">
        <v>5555</v>
      </c>
      <c r="L638" s="50">
        <v>0.75</v>
      </c>
      <c r="M638" s="50">
        <v>274.7</v>
      </c>
      <c r="N638" s="51">
        <v>185.22</v>
      </c>
      <c r="O638" s="43">
        <f t="shared" si="122"/>
        <v>0.25</v>
      </c>
      <c r="P638" s="43">
        <f t="shared" si="115"/>
        <v>646.66884421235864</v>
      </c>
      <c r="Q638" s="43">
        <f t="shared" si="116"/>
        <v>6.7454933126574905E-5</v>
      </c>
      <c r="R638" s="43">
        <v>35</v>
      </c>
      <c r="S638" s="43">
        <f t="shared" si="117"/>
        <v>1</v>
      </c>
      <c r="T638" s="43">
        <f t="shared" si="118"/>
        <v>3.6492540917753629</v>
      </c>
      <c r="U638" s="43" t="str" cm="1">
        <f t="array" ref="U638">_xlfn.IFS(T638&lt;3,"Group I",T638&lt;5,"Group II",T638&lt;10,"Group III",T638&lt;20,"Group IV",T638&lt;50,"Group V",T638&lt;100,"Group VI",T638&lt;200,"Group VII",T638&lt;500,"Group VIII",T638&lt;1000,"Group IX",TRUE,"Group X")</f>
        <v>Group II</v>
      </c>
      <c r="V638" s="43">
        <f t="shared" si="119"/>
        <v>0.5622041036535157</v>
      </c>
      <c r="W638" s="43">
        <f t="shared" si="120"/>
        <v>0.15565948275862071</v>
      </c>
      <c r="X638" s="43">
        <f t="shared" si="123"/>
        <v>-0.80782441700333452</v>
      </c>
      <c r="Y638" s="43">
        <f t="shared" si="121"/>
        <v>0.6742628321805606</v>
      </c>
      <c r="Z638" s="43">
        <f t="shared" si="124"/>
        <v>-0.17117077955482293</v>
      </c>
      <c r="AA638" s="43">
        <f t="shared" si="125"/>
        <v>0.19094778068611989</v>
      </c>
      <c r="AB638" s="43">
        <f t="shared" si="126"/>
        <v>0.27560088160440066</v>
      </c>
    </row>
    <row r="639" spans="1:28">
      <c r="A639" s="48" t="s">
        <v>29</v>
      </c>
      <c r="B639" s="50">
        <v>100</v>
      </c>
      <c r="C639" s="50">
        <v>600</v>
      </c>
      <c r="D639" s="50">
        <v>19.25</v>
      </c>
      <c r="E639" s="50">
        <v>191.47084421235857</v>
      </c>
      <c r="F639" s="50">
        <v>4667.1018276762397</v>
      </c>
      <c r="G639" s="57" t="s">
        <v>102</v>
      </c>
      <c r="H639" s="50">
        <v>0.13400000000000001</v>
      </c>
      <c r="I639" s="50">
        <v>174</v>
      </c>
      <c r="J639" s="50">
        <v>3422</v>
      </c>
      <c r="K639" s="50">
        <v>5555</v>
      </c>
      <c r="L639" s="50">
        <v>0.75</v>
      </c>
      <c r="M639" s="50">
        <v>60.63</v>
      </c>
      <c r="N639" s="51">
        <v>21.48</v>
      </c>
      <c r="O639" s="43">
        <f t="shared" si="122"/>
        <v>0.25</v>
      </c>
      <c r="P639" s="43">
        <f t="shared" si="115"/>
        <v>646.66884421235864</v>
      </c>
      <c r="Q639" s="43">
        <f t="shared" si="116"/>
        <v>6.7454933126574905E-5</v>
      </c>
      <c r="R639" s="43">
        <v>35</v>
      </c>
      <c r="S639" s="43">
        <f t="shared" si="117"/>
        <v>0.16666666666666666</v>
      </c>
      <c r="T639" s="43">
        <f t="shared" si="118"/>
        <v>0.86013743818903821</v>
      </c>
      <c r="U639" s="43" t="str" cm="1">
        <f t="array" ref="U639">_xlfn.IFS(T639&lt;3,"Group I",T639&lt;5,"Group II",T639&lt;10,"Group III",T639&lt;20,"Group IV",T639&lt;50,"Group V",T639&lt;100,"Group VI",T639&lt;200,"Group VII",T639&lt;500,"Group VIII",T639&lt;1000,"Group IX",TRUE,"Group X")</f>
        <v>Group I</v>
      </c>
      <c r="V639" s="43">
        <f t="shared" si="119"/>
        <v>-6.5432148898137324E-2</v>
      </c>
      <c r="W639" s="43">
        <f t="shared" si="120"/>
        <v>0.31131896551724142</v>
      </c>
      <c r="X639" s="43">
        <f t="shared" si="123"/>
        <v>-0.50679442133935326</v>
      </c>
      <c r="Y639" s="43">
        <f t="shared" si="121"/>
        <v>0.35428005937654627</v>
      </c>
      <c r="Z639" s="43">
        <f t="shared" si="124"/>
        <v>-0.4506532912074484</v>
      </c>
      <c r="AA639" s="43">
        <f t="shared" si="125"/>
        <v>4.6431817252224727E-2</v>
      </c>
      <c r="AB639" s="43">
        <f t="shared" si="126"/>
        <v>0.17918752168294838</v>
      </c>
    </row>
    <row r="640" spans="1:28">
      <c r="A640" s="48" t="s">
        <v>29</v>
      </c>
      <c r="B640" s="50">
        <v>150</v>
      </c>
      <c r="C640" s="50">
        <v>600</v>
      </c>
      <c r="D640" s="50">
        <v>19.25</v>
      </c>
      <c r="E640" s="50">
        <v>191.47084421235857</v>
      </c>
      <c r="F640" s="50">
        <v>4667.1018276762397</v>
      </c>
      <c r="G640" s="57" t="s">
        <v>102</v>
      </c>
      <c r="H640" s="50">
        <v>0.13400000000000001</v>
      </c>
      <c r="I640" s="50">
        <v>174</v>
      </c>
      <c r="J640" s="50">
        <v>3422</v>
      </c>
      <c r="K640" s="50">
        <v>5555</v>
      </c>
      <c r="L640" s="50">
        <v>0.75</v>
      </c>
      <c r="M640" s="50">
        <v>77.89</v>
      </c>
      <c r="N640" s="51">
        <v>23.57</v>
      </c>
      <c r="O640" s="43">
        <f t="shared" si="122"/>
        <v>0.25</v>
      </c>
      <c r="P640" s="43">
        <f t="shared" si="115"/>
        <v>646.66884421235864</v>
      </c>
      <c r="Q640" s="43">
        <f t="shared" si="116"/>
        <v>6.7454933126574905E-5</v>
      </c>
      <c r="R640" s="43">
        <v>35</v>
      </c>
      <c r="S640" s="43">
        <f t="shared" si="117"/>
        <v>0.25</v>
      </c>
      <c r="T640" s="43">
        <f t="shared" si="118"/>
        <v>1.2902061572835573</v>
      </c>
      <c r="U640" s="43" t="str" cm="1">
        <f t="array" ref="U640">_xlfn.IFS(T640&lt;3,"Group I",T640&lt;5,"Group II",T640&lt;10,"Group III",T640&lt;20,"Group IV",T640&lt;50,"Group V",T640&lt;100,"Group VI",T640&lt;200,"Group VII",T640&lt;500,"Group VIII",T640&lt;1000,"Group IX",TRUE,"Group X")</f>
        <v>Group I</v>
      </c>
      <c r="V640" s="43">
        <f t="shared" si="119"/>
        <v>0.1106591101575439</v>
      </c>
      <c r="W640" s="43">
        <f t="shared" si="120"/>
        <v>0.31131896551724142</v>
      </c>
      <c r="X640" s="43">
        <f t="shared" si="123"/>
        <v>-0.50679442133935326</v>
      </c>
      <c r="Y640" s="43">
        <f t="shared" si="121"/>
        <v>0.30260623956862243</v>
      </c>
      <c r="Z640" s="43">
        <f t="shared" si="124"/>
        <v>-0.51912212131519619</v>
      </c>
      <c r="AA640" s="43">
        <f t="shared" si="125"/>
        <v>6.9647725878337091E-2</v>
      </c>
      <c r="AB640" s="43">
        <f t="shared" si="126"/>
        <v>0.20219264283807759</v>
      </c>
    </row>
    <row r="641" spans="1:28">
      <c r="A641" s="48" t="s">
        <v>29</v>
      </c>
      <c r="B641" s="50">
        <v>200</v>
      </c>
      <c r="C641" s="50">
        <v>600</v>
      </c>
      <c r="D641" s="50">
        <v>19.25</v>
      </c>
      <c r="E641" s="50">
        <v>191.47084421235857</v>
      </c>
      <c r="F641" s="50">
        <v>4667.1018276762397</v>
      </c>
      <c r="G641" s="57" t="s">
        <v>102</v>
      </c>
      <c r="H641" s="50">
        <v>0.13400000000000001</v>
      </c>
      <c r="I641" s="50">
        <v>174</v>
      </c>
      <c r="J641" s="50">
        <v>3422</v>
      </c>
      <c r="K641" s="50">
        <v>5555</v>
      </c>
      <c r="L641" s="50">
        <v>0.75</v>
      </c>
      <c r="M641" s="50">
        <v>113.31</v>
      </c>
      <c r="N641" s="51">
        <v>36.26</v>
      </c>
      <c r="O641" s="43">
        <f t="shared" si="122"/>
        <v>0.25</v>
      </c>
      <c r="P641" s="43">
        <f t="shared" si="115"/>
        <v>646.66884421235864</v>
      </c>
      <c r="Q641" s="43">
        <f t="shared" si="116"/>
        <v>6.7454933126574905E-5</v>
      </c>
      <c r="R641" s="43">
        <v>35</v>
      </c>
      <c r="S641" s="43">
        <f t="shared" si="117"/>
        <v>0.33333333333333331</v>
      </c>
      <c r="T641" s="43">
        <f t="shared" si="118"/>
        <v>1.7202748763780764</v>
      </c>
      <c r="U641" s="43" t="str" cm="1">
        <f t="array" ref="U641">_xlfn.IFS(T641&lt;3,"Group I",T641&lt;5,"Group II",T641&lt;10,"Group III",T641&lt;20,"Group IV",T641&lt;50,"Group V",T641&lt;100,"Group VI",T641&lt;200,"Group VII",T641&lt;500,"Group VIII",T641&lt;1000,"Group IX",TRUE,"Group X")</f>
        <v>Group I</v>
      </c>
      <c r="V641" s="43">
        <f t="shared" si="119"/>
        <v>0.23559784676584386</v>
      </c>
      <c r="W641" s="43">
        <f t="shared" si="120"/>
        <v>0.31131896551724142</v>
      </c>
      <c r="X641" s="43">
        <f t="shared" si="123"/>
        <v>-0.50679442133935326</v>
      </c>
      <c r="Y641" s="43">
        <f t="shared" si="121"/>
        <v>0.32000706027711584</v>
      </c>
      <c r="Z641" s="43">
        <f t="shared" si="124"/>
        <v>-0.49484043978769765</v>
      </c>
      <c r="AA641" s="43">
        <f t="shared" si="125"/>
        <v>9.2863634504449455E-2</v>
      </c>
      <c r="AB641" s="43">
        <f t="shared" si="126"/>
        <v>0.22028483417367212</v>
      </c>
    </row>
    <row r="642" spans="1:28">
      <c r="A642" s="48" t="s">
        <v>29</v>
      </c>
      <c r="B642" s="50">
        <v>250</v>
      </c>
      <c r="C642" s="50">
        <v>600</v>
      </c>
      <c r="D642" s="50">
        <v>19.25</v>
      </c>
      <c r="E642" s="50">
        <v>191.47084421235857</v>
      </c>
      <c r="F642" s="50">
        <v>4667.1018276762397</v>
      </c>
      <c r="G642" s="57" t="s">
        <v>102</v>
      </c>
      <c r="H642" s="50">
        <v>0.13400000000000001</v>
      </c>
      <c r="I642" s="50">
        <v>174</v>
      </c>
      <c r="J642" s="50">
        <v>3422</v>
      </c>
      <c r="K642" s="50">
        <v>5555</v>
      </c>
      <c r="L642" s="50">
        <v>0.75</v>
      </c>
      <c r="M642" s="50">
        <v>138</v>
      </c>
      <c r="N642" s="51">
        <v>86.61</v>
      </c>
      <c r="O642" s="43">
        <f t="shared" si="122"/>
        <v>0.25</v>
      </c>
      <c r="P642" s="43">
        <f t="shared" si="115"/>
        <v>646.66884421235864</v>
      </c>
      <c r="Q642" s="43">
        <f t="shared" si="116"/>
        <v>6.7454933126574905E-5</v>
      </c>
      <c r="R642" s="43">
        <v>35</v>
      </c>
      <c r="S642" s="43">
        <f t="shared" si="117"/>
        <v>0.41666666666666669</v>
      </c>
      <c r="T642" s="43">
        <f t="shared" si="118"/>
        <v>2.1503435954725956</v>
      </c>
      <c r="U642" s="43" t="str" cm="1">
        <f t="array" ref="U642">_xlfn.IFS(T642&lt;3,"Group I",T642&lt;5,"Group II",T642&lt;10,"Group III",T642&lt;20,"Group IV",T642&lt;50,"Group V",T642&lt;100,"Group VI",T642&lt;200,"Group VII",T642&lt;500,"Group VIII",T642&lt;1000,"Group IX",TRUE,"Group X")</f>
        <v>Group I</v>
      </c>
      <c r="V642" s="43">
        <f t="shared" si="119"/>
        <v>0.33250785977390029</v>
      </c>
      <c r="W642" s="43">
        <f t="shared" si="120"/>
        <v>0.31131896551724142</v>
      </c>
      <c r="X642" s="43">
        <f t="shared" si="123"/>
        <v>-0.50679442133935326</v>
      </c>
      <c r="Y642" s="43">
        <f t="shared" si="121"/>
        <v>0.62760869565217392</v>
      </c>
      <c r="Z642" s="43">
        <f t="shared" si="124"/>
        <v>-0.20231104780085357</v>
      </c>
      <c r="AA642" s="43">
        <f t="shared" si="125"/>
        <v>0.11607954313056182</v>
      </c>
      <c r="AB642" s="43">
        <f t="shared" si="126"/>
        <v>0.23542581981714977</v>
      </c>
    </row>
    <row r="643" spans="1:28">
      <c r="A643" s="48" t="s">
        <v>29</v>
      </c>
      <c r="B643" s="50">
        <v>300</v>
      </c>
      <c r="C643" s="50">
        <v>600</v>
      </c>
      <c r="D643" s="50">
        <v>19.25</v>
      </c>
      <c r="E643" s="50">
        <v>191.47084421235857</v>
      </c>
      <c r="F643" s="50">
        <v>4667.1018276762397</v>
      </c>
      <c r="G643" s="57" t="s">
        <v>102</v>
      </c>
      <c r="H643" s="50">
        <v>0.13400000000000001</v>
      </c>
      <c r="I643" s="50">
        <v>174</v>
      </c>
      <c r="J643" s="50">
        <v>3422</v>
      </c>
      <c r="K643" s="50">
        <v>5555</v>
      </c>
      <c r="L643" s="50">
        <v>0.75</v>
      </c>
      <c r="M643" s="50">
        <v>253.25</v>
      </c>
      <c r="N643" s="51">
        <v>174.15</v>
      </c>
      <c r="O643" s="43">
        <f t="shared" si="122"/>
        <v>0.25</v>
      </c>
      <c r="P643" s="43">
        <f t="shared" si="115"/>
        <v>646.66884421235864</v>
      </c>
      <c r="Q643" s="43">
        <f t="shared" si="116"/>
        <v>6.7454933126574905E-5</v>
      </c>
      <c r="R643" s="43">
        <v>35</v>
      </c>
      <c r="S643" s="43">
        <f t="shared" si="117"/>
        <v>0.5</v>
      </c>
      <c r="T643" s="43">
        <f t="shared" si="118"/>
        <v>2.5804123145671145</v>
      </c>
      <c r="U643" s="43" t="str" cm="1">
        <f t="array" ref="U643">_xlfn.IFS(T643&lt;3,"Group I",T643&lt;5,"Group II",T643&lt;10,"Group III",T643&lt;20,"Group IV",T643&lt;50,"Group V",T643&lt;100,"Group VI",T643&lt;200,"Group VII",T643&lt;500,"Group VIII",T643&lt;1000,"Group IX",TRUE,"Group X")</f>
        <v>Group I</v>
      </c>
      <c r="V643" s="43">
        <f t="shared" si="119"/>
        <v>0.41168910582152507</v>
      </c>
      <c r="W643" s="43">
        <f t="shared" si="120"/>
        <v>0.31131896551724142</v>
      </c>
      <c r="X643" s="43">
        <f t="shared" si="123"/>
        <v>-0.50679442133935326</v>
      </c>
      <c r="Y643" s="43">
        <f t="shared" si="121"/>
        <v>0.6876604146100691</v>
      </c>
      <c r="Z643" s="43">
        <f t="shared" si="124"/>
        <v>-0.16262597523806296</v>
      </c>
      <c r="AA643" s="43">
        <f t="shared" si="125"/>
        <v>0.13929545175667418</v>
      </c>
      <c r="AB643" s="43">
        <f t="shared" si="126"/>
        <v>0.24856626388042119</v>
      </c>
    </row>
    <row r="644" spans="1:28">
      <c r="A644" s="48" t="s">
        <v>29</v>
      </c>
      <c r="B644" s="50">
        <v>100</v>
      </c>
      <c r="C644" s="50">
        <v>900</v>
      </c>
      <c r="D644" s="50">
        <v>19.25</v>
      </c>
      <c r="E644" s="50">
        <v>191.47084421235857</v>
      </c>
      <c r="F644" s="50">
        <v>4667.1018276762397</v>
      </c>
      <c r="G644" s="57" t="s">
        <v>102</v>
      </c>
      <c r="H644" s="50">
        <v>0.13400000000000001</v>
      </c>
      <c r="I644" s="50">
        <v>174</v>
      </c>
      <c r="J644" s="50">
        <v>3422</v>
      </c>
      <c r="K644" s="50">
        <v>5555</v>
      </c>
      <c r="L644" s="50">
        <v>0.75</v>
      </c>
      <c r="M644" s="50">
        <v>46.57</v>
      </c>
      <c r="N644" s="51">
        <v>17.32</v>
      </c>
      <c r="O644" s="43">
        <f t="shared" si="122"/>
        <v>0.25</v>
      </c>
      <c r="P644" s="43">
        <f t="shared" ref="P644:P695" si="127">H644*(J644-25)+E644</f>
        <v>646.66884421235864</v>
      </c>
      <c r="Q644" s="43">
        <f t="shared" ref="Q644:Q695" si="128">I644/(D644*H644*10^6)</f>
        <v>6.7454933126574905E-5</v>
      </c>
      <c r="R644" s="43">
        <v>35</v>
      </c>
      <c r="S644" s="43">
        <f t="shared" ref="S644:S695" si="129">B644/C644</f>
        <v>0.1111111111111111</v>
      </c>
      <c r="T644" s="43">
        <f t="shared" ref="T644:T695" si="130">(O644*B644)/(D644*P644*1000000*SQRT(PI()*(R644*0.000001)^3*Q644*(C644/1000)))</f>
        <v>0.70229927740928288</v>
      </c>
      <c r="U644" s="43" t="str" cm="1">
        <f t="array" ref="U644">_xlfn.IFS(T644&lt;3,"Group I",T644&lt;5,"Group II",T644&lt;10,"Group III",T644&lt;20,"Group IV",T644&lt;50,"Group V",T644&lt;100,"Group VI",T644&lt;200,"Group VII",T644&lt;500,"Group VIII",T644&lt;1000,"Group IX",TRUE,"Group X")</f>
        <v>Group I</v>
      </c>
      <c r="V644" s="43">
        <f t="shared" ref="V644:V695" si="131">LOG(T644)</f>
        <v>-0.15347777842597801</v>
      </c>
      <c r="W644" s="43">
        <f t="shared" ref="W644:W695" si="132">(C644/1000)*(R644/1000000)/Q644</f>
        <v>0.46697844827586216</v>
      </c>
      <c r="X644" s="43">
        <f t="shared" si="123"/>
        <v>-0.33070316228367203</v>
      </c>
      <c r="Y644" s="43">
        <f t="shared" ref="Y644:Y695" si="133">N644/M644</f>
        <v>0.3719132488726648</v>
      </c>
      <c r="Z644" s="43">
        <f t="shared" si="124"/>
        <v>-0.42955835025140349</v>
      </c>
      <c r="AA644" s="43">
        <f t="shared" si="125"/>
        <v>3.8609028679604251E-2</v>
      </c>
      <c r="AB644" s="43">
        <f t="shared" si="126"/>
        <v>0.16868597271360936</v>
      </c>
    </row>
    <row r="645" spans="1:28">
      <c r="A645" s="48" t="s">
        <v>29</v>
      </c>
      <c r="B645" s="50">
        <v>150</v>
      </c>
      <c r="C645" s="50">
        <v>900</v>
      </c>
      <c r="D645" s="50">
        <v>19.25</v>
      </c>
      <c r="E645" s="50">
        <v>191.47084421235857</v>
      </c>
      <c r="F645" s="50">
        <v>4667.1018276762397</v>
      </c>
      <c r="G645" s="57" t="s">
        <v>102</v>
      </c>
      <c r="H645" s="50">
        <v>0.13400000000000001</v>
      </c>
      <c r="I645" s="50">
        <v>174</v>
      </c>
      <c r="J645" s="50">
        <v>3422</v>
      </c>
      <c r="K645" s="50">
        <v>5555</v>
      </c>
      <c r="L645" s="50">
        <v>0.75</v>
      </c>
      <c r="M645" s="50">
        <v>60.49</v>
      </c>
      <c r="N645" s="51">
        <v>22.48</v>
      </c>
      <c r="O645" s="43">
        <f t="shared" si="122"/>
        <v>0.25</v>
      </c>
      <c r="P645" s="43">
        <f t="shared" si="127"/>
        <v>646.66884421235864</v>
      </c>
      <c r="Q645" s="43">
        <f t="shared" si="128"/>
        <v>6.7454933126574905E-5</v>
      </c>
      <c r="R645" s="43">
        <v>35</v>
      </c>
      <c r="S645" s="43">
        <f t="shared" si="129"/>
        <v>0.16666666666666666</v>
      </c>
      <c r="T645" s="43">
        <f t="shared" si="130"/>
        <v>1.0534489161139244</v>
      </c>
      <c r="U645" s="43" t="str" cm="1">
        <f t="array" ref="U645">_xlfn.IFS(T645&lt;3,"Group I",T645&lt;5,"Group II",T645&lt;10,"Group III",T645&lt;20,"Group IV",T645&lt;50,"Group V",T645&lt;100,"Group VI",T645&lt;200,"Group VII",T645&lt;500,"Group VIII",T645&lt;1000,"Group IX",TRUE,"Group X")</f>
        <v>Group I</v>
      </c>
      <c r="V645" s="43">
        <f t="shared" si="131"/>
        <v>2.2613480629703284E-2</v>
      </c>
      <c r="W645" s="43">
        <f t="shared" si="132"/>
        <v>0.46697844827586216</v>
      </c>
      <c r="X645" s="43">
        <f t="shared" si="123"/>
        <v>-0.33070316228367203</v>
      </c>
      <c r="Y645" s="43">
        <f t="shared" si="133"/>
        <v>0.37163167465696811</v>
      </c>
      <c r="Z645" s="43">
        <f t="shared" si="124"/>
        <v>-0.42988727761032725</v>
      </c>
      <c r="AA645" s="43">
        <f t="shared" si="125"/>
        <v>5.7913543019406384E-2</v>
      </c>
      <c r="AB645" s="43">
        <f t="shared" si="126"/>
        <v>0.19034284481608615</v>
      </c>
    </row>
    <row r="646" spans="1:28">
      <c r="A646" s="48" t="s">
        <v>29</v>
      </c>
      <c r="B646" s="50">
        <v>200</v>
      </c>
      <c r="C646" s="50">
        <v>900</v>
      </c>
      <c r="D646" s="50">
        <v>19.25</v>
      </c>
      <c r="E646" s="50">
        <v>191.47084421235857</v>
      </c>
      <c r="F646" s="50">
        <v>4667.1018276762397</v>
      </c>
      <c r="G646" s="57" t="s">
        <v>102</v>
      </c>
      <c r="H646" s="50">
        <v>0.13400000000000001</v>
      </c>
      <c r="I646" s="50">
        <v>174</v>
      </c>
      <c r="J646" s="50">
        <v>3422</v>
      </c>
      <c r="K646" s="50">
        <v>5555</v>
      </c>
      <c r="L646" s="50">
        <v>0.75</v>
      </c>
      <c r="M646" s="50">
        <v>66.67</v>
      </c>
      <c r="N646" s="51">
        <v>34.9</v>
      </c>
      <c r="O646" s="43">
        <f t="shared" si="122"/>
        <v>0.25</v>
      </c>
      <c r="P646" s="43">
        <f t="shared" si="127"/>
        <v>646.66884421235864</v>
      </c>
      <c r="Q646" s="43">
        <f t="shared" si="128"/>
        <v>6.7454933126574905E-5</v>
      </c>
      <c r="R646" s="43">
        <v>35</v>
      </c>
      <c r="S646" s="43">
        <f t="shared" si="129"/>
        <v>0.22222222222222221</v>
      </c>
      <c r="T646" s="43">
        <f t="shared" si="130"/>
        <v>1.4045985548185658</v>
      </c>
      <c r="U646" s="43" t="str" cm="1">
        <f t="array" ref="U646">_xlfn.IFS(T646&lt;3,"Group I",T646&lt;5,"Group II",T646&lt;10,"Group III",T646&lt;20,"Group IV",T646&lt;50,"Group V",T646&lt;100,"Group VI",T646&lt;200,"Group VII",T646&lt;500,"Group VIII",T646&lt;1000,"Group IX",TRUE,"Group X")</f>
        <v>Group I</v>
      </c>
      <c r="V646" s="43">
        <f t="shared" si="131"/>
        <v>0.14755221723800319</v>
      </c>
      <c r="W646" s="43">
        <f t="shared" si="132"/>
        <v>0.46697844827586216</v>
      </c>
      <c r="X646" s="43">
        <f t="shared" si="123"/>
        <v>-0.33070316228367203</v>
      </c>
      <c r="Y646" s="43">
        <f t="shared" si="133"/>
        <v>0.52347382630868455</v>
      </c>
      <c r="Z646" s="43">
        <f t="shared" si="124"/>
        <v>-0.28110502816638405</v>
      </c>
      <c r="AA646" s="43">
        <f t="shared" si="125"/>
        <v>7.7218057359208503E-2</v>
      </c>
      <c r="AB646" s="43">
        <f t="shared" si="126"/>
        <v>0.20737471659656362</v>
      </c>
    </row>
    <row r="647" spans="1:28">
      <c r="A647" s="48" t="s">
        <v>29</v>
      </c>
      <c r="B647" s="50">
        <v>250</v>
      </c>
      <c r="C647" s="50">
        <v>900</v>
      </c>
      <c r="D647" s="50">
        <v>19.25</v>
      </c>
      <c r="E647" s="50">
        <v>191.47084421235857</v>
      </c>
      <c r="F647" s="50">
        <v>4667.1018276762397</v>
      </c>
      <c r="G647" s="57" t="s">
        <v>102</v>
      </c>
      <c r="H647" s="50">
        <v>0.13400000000000001</v>
      </c>
      <c r="I647" s="50">
        <v>174</v>
      </c>
      <c r="J647" s="50">
        <v>3422</v>
      </c>
      <c r="K647" s="50">
        <v>5555</v>
      </c>
      <c r="L647" s="50">
        <v>0.75</v>
      </c>
      <c r="M647" s="50">
        <v>89.59</v>
      </c>
      <c r="N647" s="51">
        <v>39.32</v>
      </c>
      <c r="O647" s="43">
        <f t="shared" si="122"/>
        <v>0.25</v>
      </c>
      <c r="P647" s="43">
        <f t="shared" si="127"/>
        <v>646.66884421235864</v>
      </c>
      <c r="Q647" s="43">
        <f t="shared" si="128"/>
        <v>6.7454933126574905E-5</v>
      </c>
      <c r="R647" s="43">
        <v>35</v>
      </c>
      <c r="S647" s="43">
        <f t="shared" si="129"/>
        <v>0.27777777777777779</v>
      </c>
      <c r="T647" s="43">
        <f t="shared" si="130"/>
        <v>1.7557481935232073</v>
      </c>
      <c r="U647" s="43" t="str" cm="1">
        <f t="array" ref="U647">_xlfn.IFS(T647&lt;3,"Group I",T647&lt;5,"Group II",T647&lt;10,"Group III",T647&lt;20,"Group IV",T647&lt;50,"Group V",T647&lt;100,"Group VI",T647&lt;200,"Group VII",T647&lt;500,"Group VIII",T647&lt;1000,"Group IX",TRUE,"Group X")</f>
        <v>Group I</v>
      </c>
      <c r="V647" s="43">
        <f t="shared" si="131"/>
        <v>0.24446223024605965</v>
      </c>
      <c r="W647" s="43">
        <f t="shared" si="132"/>
        <v>0.46697844827586216</v>
      </c>
      <c r="X647" s="43">
        <f t="shared" si="123"/>
        <v>-0.33070316228367203</v>
      </c>
      <c r="Y647" s="43">
        <f t="shared" si="133"/>
        <v>0.43888826877999776</v>
      </c>
      <c r="Z647" s="43">
        <f t="shared" si="124"/>
        <v>-0.35764602743072255</v>
      </c>
      <c r="AA647" s="43">
        <f t="shared" si="125"/>
        <v>9.6522571699010642E-2</v>
      </c>
      <c r="AB647" s="43">
        <f t="shared" si="126"/>
        <v>0.2216283424468723</v>
      </c>
    </row>
    <row r="648" spans="1:28" ht="18.600000000000001" thickBot="1">
      <c r="A648" s="70" t="s">
        <v>29</v>
      </c>
      <c r="B648" s="66">
        <v>300</v>
      </c>
      <c r="C648" s="66">
        <v>900</v>
      </c>
      <c r="D648" s="66">
        <v>19.25</v>
      </c>
      <c r="E648" s="66">
        <v>191.47084421235857</v>
      </c>
      <c r="F648" s="66">
        <v>4667.1018276762397</v>
      </c>
      <c r="G648" s="65" t="s">
        <v>102</v>
      </c>
      <c r="H648" s="66">
        <v>0.13400000000000001</v>
      </c>
      <c r="I648" s="66">
        <v>174</v>
      </c>
      <c r="J648" s="66">
        <v>3422</v>
      </c>
      <c r="K648" s="66">
        <v>5555</v>
      </c>
      <c r="L648" s="66">
        <v>0.75</v>
      </c>
      <c r="M648" s="66">
        <v>85.74</v>
      </c>
      <c r="N648" s="67">
        <v>50.81</v>
      </c>
      <c r="O648" s="43">
        <f t="shared" si="122"/>
        <v>0.25</v>
      </c>
      <c r="P648" s="43">
        <f t="shared" si="127"/>
        <v>646.66884421235864</v>
      </c>
      <c r="Q648" s="43">
        <f t="shared" si="128"/>
        <v>6.7454933126574905E-5</v>
      </c>
      <c r="R648" s="43">
        <v>35</v>
      </c>
      <c r="S648" s="43">
        <f t="shared" si="129"/>
        <v>0.33333333333333331</v>
      </c>
      <c r="T648" s="43">
        <f t="shared" si="130"/>
        <v>2.1068978322278489</v>
      </c>
      <c r="U648" s="43" t="str" cm="1">
        <f t="array" ref="U648">_xlfn.IFS(T648&lt;3,"Group I",T648&lt;5,"Group II",T648&lt;10,"Group III",T648&lt;20,"Group IV",T648&lt;50,"Group V",T648&lt;100,"Group VI",T648&lt;200,"Group VII",T648&lt;500,"Group VIII",T648&lt;1000,"Group IX",TRUE,"Group X")</f>
        <v>Group I</v>
      </c>
      <c r="V648" s="43">
        <f t="shared" si="131"/>
        <v>0.32364347629368451</v>
      </c>
      <c r="W648" s="43">
        <f t="shared" si="132"/>
        <v>0.46697844827586216</v>
      </c>
      <c r="X648" s="43">
        <f t="shared" si="123"/>
        <v>-0.33070316228367203</v>
      </c>
      <c r="Y648" s="43">
        <f t="shared" si="133"/>
        <v>0.59260555166783302</v>
      </c>
      <c r="Z648" s="43">
        <f t="shared" si="124"/>
        <v>-0.22723428426431816</v>
      </c>
      <c r="AA648" s="43">
        <f t="shared" si="125"/>
        <v>0.11582708603881277</v>
      </c>
      <c r="AB648" s="43">
        <f t="shared" si="126"/>
        <v>0.23399867140662958</v>
      </c>
    </row>
    <row r="649" spans="1:28">
      <c r="A649" s="71" t="s">
        <v>61</v>
      </c>
      <c r="B649" s="68">
        <v>200</v>
      </c>
      <c r="C649" s="68">
        <v>200</v>
      </c>
      <c r="D649" s="37">
        <v>21.02</v>
      </c>
      <c r="E649" s="37">
        <v>177.2221237654868</v>
      </c>
      <c r="F649" s="37">
        <v>3796.8497424908837</v>
      </c>
      <c r="G649" s="38" t="s">
        <v>120</v>
      </c>
      <c r="H649" s="37">
        <v>0.13700000000000001</v>
      </c>
      <c r="I649" s="37">
        <v>48</v>
      </c>
      <c r="J649" s="37">
        <v>3186</v>
      </c>
      <c r="K649" s="37">
        <v>5596</v>
      </c>
      <c r="L649" s="37">
        <v>0.7</v>
      </c>
      <c r="M649" s="68">
        <v>112</v>
      </c>
      <c r="N649" s="69">
        <v>38.43</v>
      </c>
      <c r="O649" s="43">
        <f t="shared" ref="O649:O664" si="134">1-L649</f>
        <v>0.30000000000000004</v>
      </c>
      <c r="P649" s="43">
        <f t="shared" si="127"/>
        <v>610.27912376548682</v>
      </c>
      <c r="Q649" s="43">
        <f t="shared" si="128"/>
        <v>1.666817143214318E-5</v>
      </c>
      <c r="R649" s="43">
        <v>35</v>
      </c>
      <c r="S649" s="43">
        <f t="shared" si="129"/>
        <v>1</v>
      </c>
      <c r="T649" s="43">
        <f t="shared" si="130"/>
        <v>6.9799778543236739</v>
      </c>
      <c r="U649" s="43" t="str" cm="1">
        <f t="array" ref="U649">_xlfn.IFS(T649&lt;3,"Group I",T649&lt;5,"Group II",T649&lt;10,"Group III",T649&lt;20,"Group IV",T649&lt;50,"Group V",T649&lt;100,"Group VI",T649&lt;200,"Group VII",T649&lt;500,"Group VIII",T649&lt;1000,"Group IX",TRUE,"Group X")</f>
        <v>Group III</v>
      </c>
      <c r="V649" s="43">
        <f t="shared" si="131"/>
        <v>0.8438540447205416</v>
      </c>
      <c r="W649" s="43">
        <f t="shared" si="132"/>
        <v>0.41996208333333329</v>
      </c>
      <c r="X649" s="43">
        <f t="shared" si="123"/>
        <v>-0.37678991851270027</v>
      </c>
      <c r="Y649" s="43">
        <f t="shared" si="133"/>
        <v>0.34312500000000001</v>
      </c>
      <c r="Z649" s="43">
        <f t="shared" si="124"/>
        <v>-0.46454763820583284</v>
      </c>
      <c r="AA649" s="43">
        <f t="shared" ref="AA649:AA664" si="135">(10^-0.7321)*W649^0.04497*T649*0.307</f>
        <v>0.38189869784024255</v>
      </c>
      <c r="AB649" s="43">
        <f t="shared" ref="AB649:AB664" si="136">(10^-0.7272)*T649^0.2979</f>
        <v>0.33433675264850976</v>
      </c>
    </row>
    <row r="650" spans="1:28">
      <c r="A650" s="72" t="s">
        <v>61</v>
      </c>
      <c r="B650" s="59">
        <v>200</v>
      </c>
      <c r="C650" s="59">
        <v>400</v>
      </c>
      <c r="D650" s="23">
        <v>21.02</v>
      </c>
      <c r="E650" s="23">
        <v>177.2221237654868</v>
      </c>
      <c r="F650" s="23">
        <v>3796.8497424908837</v>
      </c>
      <c r="G650" s="24" t="s">
        <v>120</v>
      </c>
      <c r="H650" s="23">
        <v>0.13700000000000001</v>
      </c>
      <c r="I650" s="23">
        <v>48</v>
      </c>
      <c r="J650" s="23">
        <v>3186</v>
      </c>
      <c r="K650" s="23">
        <v>5596</v>
      </c>
      <c r="L650" s="23">
        <v>0.7</v>
      </c>
      <c r="M650" s="59">
        <v>104</v>
      </c>
      <c r="N650" s="60">
        <v>35.880000000000003</v>
      </c>
      <c r="O650" s="43">
        <f t="shared" si="134"/>
        <v>0.30000000000000004</v>
      </c>
      <c r="P650" s="43">
        <f t="shared" si="127"/>
        <v>610.27912376548682</v>
      </c>
      <c r="Q650" s="43">
        <f t="shared" si="128"/>
        <v>1.666817143214318E-5</v>
      </c>
      <c r="R650" s="43">
        <v>35</v>
      </c>
      <c r="S650" s="43">
        <f t="shared" si="129"/>
        <v>0.5</v>
      </c>
      <c r="T650" s="43">
        <f t="shared" si="130"/>
        <v>4.9355896733241984</v>
      </c>
      <c r="U650" s="43" t="str" cm="1">
        <f t="array" ref="U650">_xlfn.IFS(T650&lt;3,"Group I",T650&lt;5,"Group II",T650&lt;10,"Group III",T650&lt;20,"Group IV",T650&lt;50,"Group V",T650&lt;100,"Group VI",T650&lt;200,"Group VII",T650&lt;500,"Group VIII",T650&lt;1000,"Group IX",TRUE,"Group X")</f>
        <v>Group II</v>
      </c>
      <c r="V650" s="43">
        <f t="shared" si="131"/>
        <v>0.69333904688855108</v>
      </c>
      <c r="W650" s="43">
        <f t="shared" si="132"/>
        <v>0.83992416666666658</v>
      </c>
      <c r="X650" s="43">
        <f t="shared" si="123"/>
        <v>-7.5759922848719047E-2</v>
      </c>
      <c r="Y650" s="43">
        <f t="shared" si="133"/>
        <v>0.34500000000000003</v>
      </c>
      <c r="Z650" s="43">
        <f t="shared" si="124"/>
        <v>-0.46218090492672587</v>
      </c>
      <c r="AA650" s="43">
        <f t="shared" si="135"/>
        <v>0.27859319155108203</v>
      </c>
      <c r="AB650" s="43">
        <f t="shared" si="136"/>
        <v>0.30154053571948225</v>
      </c>
    </row>
    <row r="651" spans="1:28">
      <c r="A651" s="72" t="s">
        <v>61</v>
      </c>
      <c r="B651" s="59">
        <v>200</v>
      </c>
      <c r="C651" s="59">
        <v>600</v>
      </c>
      <c r="D651" s="23">
        <v>21.02</v>
      </c>
      <c r="E651" s="23">
        <v>177.2221237654868</v>
      </c>
      <c r="F651" s="23">
        <v>3796.8497424908837</v>
      </c>
      <c r="G651" s="24" t="s">
        <v>120</v>
      </c>
      <c r="H651" s="23">
        <v>0.13700000000000001</v>
      </c>
      <c r="I651" s="23">
        <v>48</v>
      </c>
      <c r="J651" s="23">
        <v>3186</v>
      </c>
      <c r="K651" s="23">
        <v>5596</v>
      </c>
      <c r="L651" s="23">
        <v>0.7</v>
      </c>
      <c r="M651" s="59">
        <v>91</v>
      </c>
      <c r="N651" s="60">
        <v>31.96</v>
      </c>
      <c r="O651" s="43">
        <f t="shared" si="134"/>
        <v>0.30000000000000004</v>
      </c>
      <c r="P651" s="43">
        <f t="shared" si="127"/>
        <v>610.27912376548682</v>
      </c>
      <c r="Q651" s="43">
        <f t="shared" si="128"/>
        <v>1.666817143214318E-5</v>
      </c>
      <c r="R651" s="43">
        <v>35</v>
      </c>
      <c r="S651" s="43">
        <f t="shared" si="129"/>
        <v>0.33333333333333331</v>
      </c>
      <c r="T651" s="43">
        <f t="shared" si="130"/>
        <v>4.0298920931314006</v>
      </c>
      <c r="U651" s="43" t="str" cm="1">
        <f t="array" ref="U651">_xlfn.IFS(T651&lt;3,"Group I",T651&lt;5,"Group II",T651&lt;10,"Group III",T651&lt;20,"Group IV",T651&lt;50,"Group V",T651&lt;100,"Group VI",T651&lt;200,"Group VII",T651&lt;500,"Group VIII",T651&lt;1000,"Group IX",TRUE,"Group X")</f>
        <v>Group II</v>
      </c>
      <c r="V651" s="43">
        <f t="shared" si="131"/>
        <v>0.60529341736071052</v>
      </c>
      <c r="W651" s="43">
        <f t="shared" si="132"/>
        <v>1.2598862499999999</v>
      </c>
      <c r="X651" s="43">
        <f t="shared" si="123"/>
        <v>0.10033133620696219</v>
      </c>
      <c r="Y651" s="43">
        <f t="shared" si="133"/>
        <v>0.35120879120879123</v>
      </c>
      <c r="Z651" s="43">
        <f t="shared" si="124"/>
        <v>-0.45443462167913978</v>
      </c>
      <c r="AA651" s="43">
        <f t="shared" si="135"/>
        <v>0.23165607462892995</v>
      </c>
      <c r="AB651" s="43">
        <f t="shared" si="136"/>
        <v>0.28386830791948026</v>
      </c>
    </row>
    <row r="652" spans="1:28">
      <c r="A652" s="72" t="s">
        <v>61</v>
      </c>
      <c r="B652" s="59">
        <v>200</v>
      </c>
      <c r="C652" s="59">
        <v>800</v>
      </c>
      <c r="D652" s="23">
        <v>21.02</v>
      </c>
      <c r="E652" s="23">
        <v>177.2221237654868</v>
      </c>
      <c r="F652" s="23">
        <v>3796.8497424908837</v>
      </c>
      <c r="G652" s="24" t="s">
        <v>120</v>
      </c>
      <c r="H652" s="23">
        <v>0.13700000000000001</v>
      </c>
      <c r="I652" s="23">
        <v>48</v>
      </c>
      <c r="J652" s="23">
        <v>3186</v>
      </c>
      <c r="K652" s="23">
        <v>5596</v>
      </c>
      <c r="L652" s="23">
        <v>0.7</v>
      </c>
      <c r="M652" s="59">
        <v>87</v>
      </c>
      <c r="N652" s="60">
        <v>20.65</v>
      </c>
      <c r="O652" s="43">
        <f t="shared" si="134"/>
        <v>0.30000000000000004</v>
      </c>
      <c r="P652" s="43">
        <f t="shared" si="127"/>
        <v>610.27912376548682</v>
      </c>
      <c r="Q652" s="43">
        <f t="shared" si="128"/>
        <v>1.666817143214318E-5</v>
      </c>
      <c r="R652" s="43">
        <v>35</v>
      </c>
      <c r="S652" s="43">
        <f t="shared" si="129"/>
        <v>0.25</v>
      </c>
      <c r="T652" s="43">
        <f t="shared" si="130"/>
        <v>3.489988927161837</v>
      </c>
      <c r="U652" s="43" t="str" cm="1">
        <f t="array" ref="U652">_xlfn.IFS(T652&lt;3,"Group I",T652&lt;5,"Group II",T652&lt;10,"Group III",T652&lt;20,"Group IV",T652&lt;50,"Group V",T652&lt;100,"Group VI",T652&lt;200,"Group VII",T652&lt;500,"Group VIII",T652&lt;1000,"Group IX",TRUE,"Group X")</f>
        <v>Group II</v>
      </c>
      <c r="V652" s="43">
        <f t="shared" si="131"/>
        <v>0.54282404905656045</v>
      </c>
      <c r="W652" s="43">
        <f t="shared" si="132"/>
        <v>1.6798483333333332</v>
      </c>
      <c r="X652" s="43">
        <f t="shared" si="123"/>
        <v>0.22527007281526215</v>
      </c>
      <c r="Y652" s="43">
        <f t="shared" si="133"/>
        <v>0.23735632183908045</v>
      </c>
      <c r="Z652" s="43">
        <f t="shared" si="124"/>
        <v>-0.62459919662619867</v>
      </c>
      <c r="AA652" s="43">
        <f t="shared" si="135"/>
        <v>0.20323234097825002</v>
      </c>
      <c r="AB652" s="43">
        <f t="shared" si="136"/>
        <v>0.27196141005049523</v>
      </c>
    </row>
    <row r="653" spans="1:28">
      <c r="A653" s="72" t="s">
        <v>61</v>
      </c>
      <c r="B653" s="59">
        <v>200</v>
      </c>
      <c r="C653" s="59">
        <v>1200</v>
      </c>
      <c r="D653" s="23">
        <v>21.02</v>
      </c>
      <c r="E653" s="23">
        <v>177.2221237654868</v>
      </c>
      <c r="F653" s="23">
        <v>3796.8497424908837</v>
      </c>
      <c r="G653" s="24" t="s">
        <v>120</v>
      </c>
      <c r="H653" s="23">
        <v>0.13700000000000001</v>
      </c>
      <c r="I653" s="23">
        <v>48</v>
      </c>
      <c r="J653" s="23">
        <v>3186</v>
      </c>
      <c r="K653" s="23">
        <v>5596</v>
      </c>
      <c r="L653" s="23">
        <v>0.7</v>
      </c>
      <c r="M653" s="59">
        <v>79</v>
      </c>
      <c r="N653" s="60">
        <v>15.93</v>
      </c>
      <c r="O653" s="43">
        <f t="shared" si="134"/>
        <v>0.30000000000000004</v>
      </c>
      <c r="P653" s="43">
        <f t="shared" si="127"/>
        <v>610.27912376548682</v>
      </c>
      <c r="Q653" s="43">
        <f t="shared" si="128"/>
        <v>1.666817143214318E-5</v>
      </c>
      <c r="R653" s="43">
        <v>35</v>
      </c>
      <c r="S653" s="43">
        <f t="shared" si="129"/>
        <v>0.16666666666666666</v>
      </c>
      <c r="T653" s="43">
        <f t="shared" si="130"/>
        <v>2.8495640265032631</v>
      </c>
      <c r="U653" s="43" t="str" cm="1">
        <f t="array" ref="U653">_xlfn.IFS(T653&lt;3,"Group I",T653&lt;5,"Group II",T653&lt;10,"Group III",T653&lt;20,"Group IV",T653&lt;50,"Group V",T653&lt;100,"Group VI",T653&lt;200,"Group VII",T653&lt;500,"Group VIII",T653&lt;1000,"Group IX",TRUE,"Group X")</f>
        <v>Group I</v>
      </c>
      <c r="V653" s="43">
        <f t="shared" si="131"/>
        <v>0.45477841952871989</v>
      </c>
      <c r="W653" s="43">
        <f t="shared" si="132"/>
        <v>2.5197724999999997</v>
      </c>
      <c r="X653" s="43">
        <f t="shared" si="123"/>
        <v>0.40136133187094336</v>
      </c>
      <c r="Y653" s="43">
        <f t="shared" si="133"/>
        <v>0.20164556962025315</v>
      </c>
      <c r="Z653" s="43">
        <f t="shared" si="124"/>
        <v>-0.6954113154893099</v>
      </c>
      <c r="AA653" s="43">
        <f t="shared" si="135"/>
        <v>0.16899194874989321</v>
      </c>
      <c r="AB653" s="43">
        <f t="shared" si="136"/>
        <v>0.25602271053285164</v>
      </c>
    </row>
    <row r="654" spans="1:28">
      <c r="A654" s="72" t="s">
        <v>61</v>
      </c>
      <c r="B654" s="59">
        <v>200</v>
      </c>
      <c r="C654" s="59">
        <v>1600</v>
      </c>
      <c r="D654" s="23">
        <v>21.02</v>
      </c>
      <c r="E654" s="23">
        <v>177.2221237654868</v>
      </c>
      <c r="F654" s="23">
        <v>3796.8497424908837</v>
      </c>
      <c r="G654" s="24" t="s">
        <v>120</v>
      </c>
      <c r="H654" s="23">
        <v>0.13700000000000001</v>
      </c>
      <c r="I654" s="23">
        <v>48</v>
      </c>
      <c r="J654" s="23">
        <v>3186</v>
      </c>
      <c r="K654" s="23">
        <v>5596</v>
      </c>
      <c r="L654" s="23">
        <v>0.7</v>
      </c>
      <c r="M654" s="59">
        <v>68</v>
      </c>
      <c r="N654" s="60">
        <f>AVERAGE(N653,N655)</f>
        <v>14.18</v>
      </c>
      <c r="O654" s="43">
        <f t="shared" si="134"/>
        <v>0.30000000000000004</v>
      </c>
      <c r="P654" s="43">
        <f t="shared" si="127"/>
        <v>610.27912376548682</v>
      </c>
      <c r="Q654" s="43">
        <f t="shared" si="128"/>
        <v>1.666817143214318E-5</v>
      </c>
      <c r="R654" s="43">
        <v>35</v>
      </c>
      <c r="S654" s="43">
        <f t="shared" si="129"/>
        <v>0.125</v>
      </c>
      <c r="T654" s="43">
        <f t="shared" si="130"/>
        <v>2.4677948366620992</v>
      </c>
      <c r="U654" s="43" t="str" cm="1">
        <f t="array" ref="U654">_xlfn.IFS(T654&lt;3,"Group I",T654&lt;5,"Group II",T654&lt;10,"Group III",T654&lt;20,"Group IV",T654&lt;50,"Group V",T654&lt;100,"Group VI",T654&lt;200,"Group VII",T654&lt;500,"Group VIII",T654&lt;1000,"Group IX",TRUE,"Group X")</f>
        <v>Group I</v>
      </c>
      <c r="V654" s="43">
        <f t="shared" si="131"/>
        <v>0.39230905122456994</v>
      </c>
      <c r="W654" s="43">
        <f t="shared" si="132"/>
        <v>3.3596966666666663</v>
      </c>
      <c r="X654" s="43">
        <f t="shared" si="123"/>
        <v>0.52630006847924338</v>
      </c>
      <c r="Y654" s="43">
        <f t="shared" si="133"/>
        <v>0.20852941176470588</v>
      </c>
      <c r="Z654" s="43">
        <f t="shared" si="124"/>
        <v>-0.68083268185918855</v>
      </c>
      <c r="AA654" s="43">
        <f t="shared" si="135"/>
        <v>0.14825697709818736</v>
      </c>
      <c r="AB654" s="43">
        <f t="shared" si="136"/>
        <v>0.24528380033608504</v>
      </c>
    </row>
    <row r="655" spans="1:28">
      <c r="A655" s="72" t="s">
        <v>61</v>
      </c>
      <c r="B655" s="59">
        <v>200</v>
      </c>
      <c r="C655" s="59">
        <v>2000</v>
      </c>
      <c r="D655" s="23">
        <v>21.02</v>
      </c>
      <c r="E655" s="23">
        <v>177.2221237654868</v>
      </c>
      <c r="F655" s="23">
        <v>3796.8497424908837</v>
      </c>
      <c r="G655" s="24" t="s">
        <v>120</v>
      </c>
      <c r="H655" s="23">
        <v>0.13700000000000001</v>
      </c>
      <c r="I655" s="23">
        <v>48</v>
      </c>
      <c r="J655" s="23">
        <v>3186</v>
      </c>
      <c r="K655" s="23">
        <v>5596</v>
      </c>
      <c r="L655" s="23">
        <v>0.7</v>
      </c>
      <c r="M655" s="59">
        <v>61</v>
      </c>
      <c r="N655" s="60">
        <v>12.43</v>
      </c>
      <c r="O655" s="43">
        <f t="shared" si="134"/>
        <v>0.30000000000000004</v>
      </c>
      <c r="P655" s="43">
        <f t="shared" si="127"/>
        <v>610.27912376548682</v>
      </c>
      <c r="Q655" s="43">
        <f t="shared" si="128"/>
        <v>1.666817143214318E-5</v>
      </c>
      <c r="R655" s="43">
        <v>35</v>
      </c>
      <c r="S655" s="43">
        <f t="shared" si="129"/>
        <v>0.1</v>
      </c>
      <c r="T655" s="43">
        <f t="shared" si="130"/>
        <v>2.2072628037197775</v>
      </c>
      <c r="U655" s="43" t="str" cm="1">
        <f t="array" ref="U655">_xlfn.IFS(T655&lt;3,"Group I",T655&lt;5,"Group II",T655&lt;10,"Group III",T655&lt;20,"Group IV",T655&lt;50,"Group V",T655&lt;100,"Group VI",T655&lt;200,"Group VII",T655&lt;500,"Group VIII",T655&lt;1000,"Group IX",TRUE,"Group X")</f>
        <v>Group I</v>
      </c>
      <c r="V655" s="43">
        <f t="shared" si="131"/>
        <v>0.34385404472054171</v>
      </c>
      <c r="W655" s="43">
        <f t="shared" si="132"/>
        <v>4.1996208333333325</v>
      </c>
      <c r="X655" s="43">
        <f t="shared" si="123"/>
        <v>0.62321008148729973</v>
      </c>
      <c r="Y655" s="43">
        <f t="shared" si="133"/>
        <v>0.20377049180327869</v>
      </c>
      <c r="Z655" s="43">
        <f t="shared" si="124"/>
        <v>-0.69085870636912228</v>
      </c>
      <c r="AA655" s="43">
        <f t="shared" si="135"/>
        <v>0.13394243119257465</v>
      </c>
      <c r="AB655" s="43">
        <f t="shared" si="136"/>
        <v>0.2372652412904564</v>
      </c>
    </row>
    <row r="656" spans="1:28">
      <c r="A656" s="72" t="s">
        <v>61</v>
      </c>
      <c r="B656" s="59">
        <v>200</v>
      </c>
      <c r="C656" s="59">
        <v>2400</v>
      </c>
      <c r="D656" s="23">
        <v>21.02</v>
      </c>
      <c r="E656" s="23">
        <v>177.2221237654868</v>
      </c>
      <c r="F656" s="23">
        <v>3796.8497424908837</v>
      </c>
      <c r="G656" s="24" t="s">
        <v>120</v>
      </c>
      <c r="H656" s="23">
        <v>0.13700000000000001</v>
      </c>
      <c r="I656" s="23">
        <v>48</v>
      </c>
      <c r="J656" s="23">
        <v>3186</v>
      </c>
      <c r="K656" s="23">
        <v>5596</v>
      </c>
      <c r="L656" s="23">
        <v>0.7</v>
      </c>
      <c r="M656" s="59">
        <v>57</v>
      </c>
      <c r="N656" s="60">
        <v>10.79</v>
      </c>
      <c r="O656" s="43">
        <f t="shared" si="134"/>
        <v>0.30000000000000004</v>
      </c>
      <c r="P656" s="43">
        <f t="shared" si="127"/>
        <v>610.27912376548682</v>
      </c>
      <c r="Q656" s="43">
        <f t="shared" si="128"/>
        <v>1.666817143214318E-5</v>
      </c>
      <c r="R656" s="43">
        <v>35</v>
      </c>
      <c r="S656" s="43">
        <f t="shared" si="129"/>
        <v>8.3333333333333329E-2</v>
      </c>
      <c r="T656" s="43">
        <f t="shared" si="130"/>
        <v>2.0149460465657003</v>
      </c>
      <c r="U656" s="43" t="str" cm="1">
        <f t="array" ref="U656">_xlfn.IFS(T656&lt;3,"Group I",T656&lt;5,"Group II",T656&lt;10,"Group III",T656&lt;20,"Group IV",T656&lt;50,"Group V",T656&lt;100,"Group VI",T656&lt;200,"Group VII",T656&lt;500,"Group VIII",T656&lt;1000,"Group IX",TRUE,"Group X")</f>
        <v>Group I</v>
      </c>
      <c r="V656" s="43">
        <f t="shared" si="131"/>
        <v>0.30426342169672932</v>
      </c>
      <c r="W656" s="43">
        <f t="shared" si="132"/>
        <v>5.0395449999999995</v>
      </c>
      <c r="X656" s="43">
        <f t="shared" si="123"/>
        <v>0.70239132753492461</v>
      </c>
      <c r="Y656" s="43">
        <f t="shared" si="133"/>
        <v>0.18929824561403508</v>
      </c>
      <c r="Z656" s="43">
        <f t="shared" si="124"/>
        <v>-0.72285341098958078</v>
      </c>
      <c r="AA656" s="43">
        <f t="shared" si="135"/>
        <v>0.12327878208258339</v>
      </c>
      <c r="AB656" s="43">
        <f t="shared" si="136"/>
        <v>0.23090858147920143</v>
      </c>
    </row>
    <row r="657" spans="1:28">
      <c r="A657" s="72" t="s">
        <v>61</v>
      </c>
      <c r="B657" s="59">
        <v>350</v>
      </c>
      <c r="C657" s="59">
        <v>400</v>
      </c>
      <c r="D657" s="23">
        <v>21.02</v>
      </c>
      <c r="E657" s="23">
        <v>177.2221237654868</v>
      </c>
      <c r="F657" s="23">
        <v>3796.8497424908837</v>
      </c>
      <c r="G657" s="24" t="s">
        <v>120</v>
      </c>
      <c r="H657" s="23">
        <v>0.13700000000000001</v>
      </c>
      <c r="I657" s="23">
        <v>48</v>
      </c>
      <c r="J657" s="23">
        <v>3186</v>
      </c>
      <c r="K657" s="23">
        <v>5596</v>
      </c>
      <c r="L657" s="23">
        <v>0.7</v>
      </c>
      <c r="M657" s="59">
        <v>132</v>
      </c>
      <c r="N657" s="60">
        <v>38.020000000000003</v>
      </c>
      <c r="O657" s="43">
        <f t="shared" si="134"/>
        <v>0.30000000000000004</v>
      </c>
      <c r="P657" s="43">
        <f t="shared" si="127"/>
        <v>610.27912376548682</v>
      </c>
      <c r="Q657" s="43">
        <f t="shared" si="128"/>
        <v>1.666817143214318E-5</v>
      </c>
      <c r="R657" s="43">
        <v>35</v>
      </c>
      <c r="S657" s="43">
        <f t="shared" si="129"/>
        <v>0.875</v>
      </c>
      <c r="T657" s="43">
        <f t="shared" si="130"/>
        <v>8.6372819283173463</v>
      </c>
      <c r="U657" s="43" t="str" cm="1">
        <f t="array" ref="U657">_xlfn.IFS(T657&lt;3,"Group I",T657&lt;5,"Group II",T657&lt;10,"Group III",T657&lt;20,"Group IV",T657&lt;50,"Group V",T657&lt;100,"Group VI",T657&lt;200,"Group VII",T657&lt;500,"Group VIII",T657&lt;1000,"Group IX",TRUE,"Group X")</f>
        <v>Group III</v>
      </c>
      <c r="V657" s="43">
        <f t="shared" si="131"/>
        <v>0.9363770955748455</v>
      </c>
      <c r="W657" s="43">
        <f t="shared" si="132"/>
        <v>0.83992416666666658</v>
      </c>
      <c r="X657" s="43">
        <f t="shared" si="123"/>
        <v>-7.5759922848719047E-2</v>
      </c>
      <c r="Y657" s="43">
        <f t="shared" si="133"/>
        <v>0.28803030303030308</v>
      </c>
      <c r="Z657" s="43">
        <f t="shared" si="124"/>
        <v>-0.5405618186764255</v>
      </c>
      <c r="AA657" s="43">
        <f t="shared" si="135"/>
        <v>0.48753808521439351</v>
      </c>
      <c r="AB657" s="43">
        <f t="shared" si="136"/>
        <v>0.35624332593392971</v>
      </c>
    </row>
    <row r="658" spans="1:28">
      <c r="A658" s="72" t="s">
        <v>61</v>
      </c>
      <c r="B658" s="59">
        <v>350</v>
      </c>
      <c r="C658" s="59">
        <v>600</v>
      </c>
      <c r="D658" s="23">
        <v>21.02</v>
      </c>
      <c r="E658" s="23">
        <v>177.2221237654868</v>
      </c>
      <c r="F658" s="23">
        <v>3796.8497424908837</v>
      </c>
      <c r="G658" s="24" t="s">
        <v>120</v>
      </c>
      <c r="H658" s="23">
        <v>0.13700000000000001</v>
      </c>
      <c r="I658" s="23">
        <v>48</v>
      </c>
      <c r="J658" s="23">
        <v>3186</v>
      </c>
      <c r="K658" s="23">
        <v>5596</v>
      </c>
      <c r="L658" s="23">
        <v>0.7</v>
      </c>
      <c r="M658" s="59">
        <v>126</v>
      </c>
      <c r="N658" s="60">
        <f>AVERAGE(N657,N659)</f>
        <v>34.475000000000001</v>
      </c>
      <c r="O658" s="43">
        <f t="shared" si="134"/>
        <v>0.30000000000000004</v>
      </c>
      <c r="P658" s="43">
        <f t="shared" si="127"/>
        <v>610.27912376548682</v>
      </c>
      <c r="Q658" s="43">
        <f t="shared" si="128"/>
        <v>1.666817143214318E-5</v>
      </c>
      <c r="R658" s="43">
        <v>35</v>
      </c>
      <c r="S658" s="43">
        <f t="shared" si="129"/>
        <v>0.58333333333333337</v>
      </c>
      <c r="T658" s="43">
        <f t="shared" si="130"/>
        <v>7.0523111629799509</v>
      </c>
      <c r="U658" s="43" t="str" cm="1">
        <f t="array" ref="U658">_xlfn.IFS(T658&lt;3,"Group I",T658&lt;5,"Group II",T658&lt;10,"Group III",T658&lt;20,"Group IV",T658&lt;50,"Group V",T658&lt;100,"Group VI",T658&lt;200,"Group VII",T658&lt;500,"Group VIII",T658&lt;1000,"Group IX",TRUE,"Group X")</f>
        <v>Group III</v>
      </c>
      <c r="V658" s="43">
        <f t="shared" si="131"/>
        <v>0.84833146604700493</v>
      </c>
      <c r="W658" s="43">
        <f t="shared" si="132"/>
        <v>1.2598862499999999</v>
      </c>
      <c r="X658" s="43">
        <f t="shared" si="123"/>
        <v>0.10033133620696219</v>
      </c>
      <c r="Y658" s="43">
        <f t="shared" si="133"/>
        <v>0.27361111111111114</v>
      </c>
      <c r="Z658" s="43">
        <f t="shared" si="124"/>
        <v>-0.56286627026967551</v>
      </c>
      <c r="AA658" s="43">
        <f t="shared" si="135"/>
        <v>0.40539813060062746</v>
      </c>
      <c r="AB658" s="43">
        <f t="shared" si="136"/>
        <v>0.33536516043915371</v>
      </c>
    </row>
    <row r="659" spans="1:28">
      <c r="A659" s="72" t="s">
        <v>61</v>
      </c>
      <c r="B659" s="59">
        <v>350</v>
      </c>
      <c r="C659" s="59">
        <v>800</v>
      </c>
      <c r="D659" s="23">
        <v>21.02</v>
      </c>
      <c r="E659" s="23">
        <v>177.2221237654868</v>
      </c>
      <c r="F659" s="23">
        <v>3796.8497424908837</v>
      </c>
      <c r="G659" s="24" t="s">
        <v>120</v>
      </c>
      <c r="H659" s="23">
        <v>0.13700000000000001</v>
      </c>
      <c r="I659" s="23">
        <v>48</v>
      </c>
      <c r="J659" s="23">
        <v>3186</v>
      </c>
      <c r="K659" s="23">
        <v>5596</v>
      </c>
      <c r="L659" s="23">
        <v>0.7</v>
      </c>
      <c r="M659" s="59">
        <v>102</v>
      </c>
      <c r="N659" s="60">
        <v>30.93</v>
      </c>
      <c r="O659" s="43">
        <f t="shared" si="134"/>
        <v>0.30000000000000004</v>
      </c>
      <c r="P659" s="43">
        <f t="shared" si="127"/>
        <v>610.27912376548682</v>
      </c>
      <c r="Q659" s="43">
        <f t="shared" si="128"/>
        <v>1.666817143214318E-5</v>
      </c>
      <c r="R659" s="43">
        <v>35</v>
      </c>
      <c r="S659" s="43">
        <f t="shared" si="129"/>
        <v>0.4375</v>
      </c>
      <c r="T659" s="43">
        <f t="shared" si="130"/>
        <v>6.107480622533215</v>
      </c>
      <c r="U659" s="43" t="str" cm="1">
        <f t="array" ref="U659">_xlfn.IFS(T659&lt;3,"Group I",T659&lt;5,"Group II",T659&lt;10,"Group III",T659&lt;20,"Group IV",T659&lt;50,"Group V",T659&lt;100,"Group VI",T659&lt;200,"Group VII",T659&lt;500,"Group VIII",T659&lt;1000,"Group IX",TRUE,"Group X")</f>
        <v>Group III</v>
      </c>
      <c r="V659" s="43">
        <f t="shared" si="131"/>
        <v>0.78586209774285487</v>
      </c>
      <c r="W659" s="43">
        <f t="shared" si="132"/>
        <v>1.6798483333333332</v>
      </c>
      <c r="X659" s="43">
        <f t="shared" si="123"/>
        <v>0.22527007281526215</v>
      </c>
      <c r="Y659" s="43">
        <f t="shared" si="133"/>
        <v>0.30323529411764705</v>
      </c>
      <c r="Z659" s="43">
        <f t="shared" si="124"/>
        <v>-0.51822025175873865</v>
      </c>
      <c r="AA659" s="43">
        <f t="shared" si="135"/>
        <v>0.35565659671193756</v>
      </c>
      <c r="AB659" s="43">
        <f t="shared" si="136"/>
        <v>0.32129821952760446</v>
      </c>
    </row>
    <row r="660" spans="1:28">
      <c r="A660" s="72" t="s">
        <v>61</v>
      </c>
      <c r="B660" s="59">
        <v>350</v>
      </c>
      <c r="C660" s="59">
        <v>1000</v>
      </c>
      <c r="D660" s="23">
        <v>21.02</v>
      </c>
      <c r="E660" s="23">
        <v>177.2221237654868</v>
      </c>
      <c r="F660" s="23">
        <v>3796.8497424908837</v>
      </c>
      <c r="G660" s="24" t="s">
        <v>120</v>
      </c>
      <c r="H660" s="23">
        <v>0.13700000000000001</v>
      </c>
      <c r="I660" s="23">
        <v>48</v>
      </c>
      <c r="J660" s="23">
        <v>3186</v>
      </c>
      <c r="K660" s="23">
        <v>5596</v>
      </c>
      <c r="L660" s="23">
        <v>0.7</v>
      </c>
      <c r="M660" s="59">
        <v>98</v>
      </c>
      <c r="N660" s="60">
        <v>22.6</v>
      </c>
      <c r="O660" s="43">
        <f t="shared" si="134"/>
        <v>0.30000000000000004</v>
      </c>
      <c r="P660" s="43">
        <f t="shared" si="127"/>
        <v>610.27912376548682</v>
      </c>
      <c r="Q660" s="43">
        <f t="shared" si="128"/>
        <v>1.666817143214318E-5</v>
      </c>
      <c r="R660" s="43">
        <v>35</v>
      </c>
      <c r="S660" s="43">
        <f t="shared" si="129"/>
        <v>0.35</v>
      </c>
      <c r="T660" s="43">
        <f t="shared" si="130"/>
        <v>5.4626967372988018</v>
      </c>
      <c r="U660" s="43" t="str" cm="1">
        <f t="array" ref="U660">_xlfn.IFS(T660&lt;3,"Group I",T660&lt;5,"Group II",T660&lt;10,"Group III",T660&lt;20,"Group IV",T660&lt;50,"Group V",T660&lt;100,"Group VI",T660&lt;200,"Group VII",T660&lt;500,"Group VIII",T660&lt;1000,"Group IX",TRUE,"Group X")</f>
        <v>Group III</v>
      </c>
      <c r="V660" s="43">
        <f t="shared" si="131"/>
        <v>0.73740709123882675</v>
      </c>
      <c r="W660" s="43">
        <f t="shared" si="132"/>
        <v>2.0998104166666662</v>
      </c>
      <c r="X660" s="43">
        <f t="shared" si="123"/>
        <v>0.32218008582331853</v>
      </c>
      <c r="Y660" s="43">
        <f t="shared" si="133"/>
        <v>0.2306122448979592</v>
      </c>
      <c r="Z660" s="43">
        <f t="shared" si="124"/>
        <v>-0.6371176365450939</v>
      </c>
      <c r="AA660" s="43">
        <f t="shared" si="135"/>
        <v>0.32131714922073917</v>
      </c>
      <c r="AB660" s="43">
        <f t="shared" si="136"/>
        <v>0.31079467734093186</v>
      </c>
    </row>
    <row r="661" spans="1:28">
      <c r="A661" s="72" t="s">
        <v>61</v>
      </c>
      <c r="B661" s="59">
        <v>350</v>
      </c>
      <c r="C661" s="59">
        <v>1200</v>
      </c>
      <c r="D661" s="23">
        <v>21.02</v>
      </c>
      <c r="E661" s="23">
        <v>177.2221237654868</v>
      </c>
      <c r="F661" s="23">
        <v>3796.8497424908837</v>
      </c>
      <c r="G661" s="24" t="s">
        <v>120</v>
      </c>
      <c r="H661" s="23">
        <v>0.13700000000000001</v>
      </c>
      <c r="I661" s="23">
        <v>48</v>
      </c>
      <c r="J661" s="23">
        <v>3186</v>
      </c>
      <c r="K661" s="23">
        <v>5596</v>
      </c>
      <c r="L661" s="23">
        <v>0.7</v>
      </c>
      <c r="M661" s="59">
        <v>91</v>
      </c>
      <c r="N661" s="60">
        <v>15.21</v>
      </c>
      <c r="O661" s="43">
        <f t="shared" si="134"/>
        <v>0.30000000000000004</v>
      </c>
      <c r="P661" s="43">
        <f t="shared" si="127"/>
        <v>610.27912376548682</v>
      </c>
      <c r="Q661" s="43">
        <f t="shared" si="128"/>
        <v>1.666817143214318E-5</v>
      </c>
      <c r="R661" s="43">
        <v>35</v>
      </c>
      <c r="S661" s="43">
        <f t="shared" si="129"/>
        <v>0.29166666666666669</v>
      </c>
      <c r="T661" s="43">
        <f t="shared" si="130"/>
        <v>4.9867370463807106</v>
      </c>
      <c r="U661" s="43" t="str" cm="1">
        <f t="array" ref="U661">_xlfn.IFS(T661&lt;3,"Group I",T661&lt;5,"Group II",T661&lt;10,"Group III",T661&lt;20,"Group IV",T661&lt;50,"Group V",T661&lt;100,"Group VI",T661&lt;200,"Group VII",T661&lt;500,"Group VIII",T661&lt;1000,"Group IX",TRUE,"Group X")</f>
        <v>Group II</v>
      </c>
      <c r="V661" s="43">
        <f t="shared" si="131"/>
        <v>0.69781646821501442</v>
      </c>
      <c r="W661" s="43">
        <f t="shared" si="132"/>
        <v>2.5197724999999997</v>
      </c>
      <c r="X661" s="43">
        <f t="shared" si="123"/>
        <v>0.40136133187094336</v>
      </c>
      <c r="Y661" s="43">
        <f t="shared" si="133"/>
        <v>0.16714285714285715</v>
      </c>
      <c r="Z661" s="43">
        <f t="shared" si="124"/>
        <v>-0.77691217826809522</v>
      </c>
      <c r="AA661" s="43">
        <f t="shared" si="135"/>
        <v>0.29573591031231311</v>
      </c>
      <c r="AB661" s="43">
        <f t="shared" si="136"/>
        <v>0.30246806352990785</v>
      </c>
    </row>
    <row r="662" spans="1:28">
      <c r="A662" s="72" t="s">
        <v>61</v>
      </c>
      <c r="B662" s="59">
        <v>350</v>
      </c>
      <c r="C662" s="59">
        <v>1600</v>
      </c>
      <c r="D662" s="23">
        <v>21.02</v>
      </c>
      <c r="E662" s="23">
        <v>177.2221237654868</v>
      </c>
      <c r="F662" s="23">
        <v>3796.8497424908837</v>
      </c>
      <c r="G662" s="24" t="s">
        <v>120</v>
      </c>
      <c r="H662" s="23">
        <v>0.13700000000000001</v>
      </c>
      <c r="I662" s="23">
        <v>48</v>
      </c>
      <c r="J662" s="23">
        <v>3186</v>
      </c>
      <c r="K662" s="23">
        <v>5596</v>
      </c>
      <c r="L662" s="23">
        <v>0.7</v>
      </c>
      <c r="M662" s="59">
        <v>84</v>
      </c>
      <c r="N662" s="60">
        <v>11.24</v>
      </c>
      <c r="O662" s="43">
        <f t="shared" si="134"/>
        <v>0.30000000000000004</v>
      </c>
      <c r="P662" s="43">
        <f t="shared" si="127"/>
        <v>610.27912376548682</v>
      </c>
      <c r="Q662" s="43">
        <f t="shared" si="128"/>
        <v>1.666817143214318E-5</v>
      </c>
      <c r="R662" s="43">
        <v>35</v>
      </c>
      <c r="S662" s="43">
        <f t="shared" si="129"/>
        <v>0.21875</v>
      </c>
      <c r="T662" s="43">
        <f t="shared" si="130"/>
        <v>4.3186409641586732</v>
      </c>
      <c r="U662" s="43" t="str" cm="1">
        <f t="array" ref="U662">_xlfn.IFS(T662&lt;3,"Group I",T662&lt;5,"Group II",T662&lt;10,"Group III",T662&lt;20,"Group IV",T662&lt;50,"Group V",T662&lt;100,"Group VI",T662&lt;200,"Group VII",T662&lt;500,"Group VIII",T662&lt;1000,"Group IX",TRUE,"Group X")</f>
        <v>Group II</v>
      </c>
      <c r="V662" s="43">
        <f t="shared" si="131"/>
        <v>0.63534709991086435</v>
      </c>
      <c r="W662" s="43">
        <f t="shared" si="132"/>
        <v>3.3596966666666663</v>
      </c>
      <c r="X662" s="43">
        <f t="shared" si="123"/>
        <v>0.52630006847924338</v>
      </c>
      <c r="Y662" s="43">
        <f t="shared" si="133"/>
        <v>0.13380952380952382</v>
      </c>
      <c r="Z662" s="43">
        <f t="shared" si="124"/>
        <v>-0.87351297482883938</v>
      </c>
      <c r="AA662" s="43">
        <f t="shared" si="135"/>
        <v>0.25944970992182786</v>
      </c>
      <c r="AB662" s="43">
        <f t="shared" si="136"/>
        <v>0.28978099617999481</v>
      </c>
    </row>
    <row r="663" spans="1:28">
      <c r="A663" s="72" t="s">
        <v>61</v>
      </c>
      <c r="B663" s="59">
        <v>350</v>
      </c>
      <c r="C663" s="59">
        <v>2000</v>
      </c>
      <c r="D663" s="23">
        <v>21.02</v>
      </c>
      <c r="E663" s="23">
        <v>177.2221237654868</v>
      </c>
      <c r="F663" s="23">
        <v>3796.8497424908837</v>
      </c>
      <c r="G663" s="24" t="s">
        <v>120</v>
      </c>
      <c r="H663" s="23">
        <v>0.13700000000000001</v>
      </c>
      <c r="I663" s="23">
        <v>48</v>
      </c>
      <c r="J663" s="23">
        <v>3186</v>
      </c>
      <c r="K663" s="23">
        <v>5596</v>
      </c>
      <c r="L663" s="23">
        <v>0.7</v>
      </c>
      <c r="M663" s="59">
        <v>80</v>
      </c>
      <c r="N663" s="60">
        <v>10.48</v>
      </c>
      <c r="O663" s="43">
        <f t="shared" si="134"/>
        <v>0.30000000000000004</v>
      </c>
      <c r="P663" s="43">
        <f t="shared" si="127"/>
        <v>610.27912376548682</v>
      </c>
      <c r="Q663" s="43">
        <f t="shared" si="128"/>
        <v>1.666817143214318E-5</v>
      </c>
      <c r="R663" s="43">
        <v>35</v>
      </c>
      <c r="S663" s="43">
        <f t="shared" si="129"/>
        <v>0.17499999999999999</v>
      </c>
      <c r="T663" s="43">
        <f t="shared" si="130"/>
        <v>3.8627099065096107</v>
      </c>
      <c r="U663" s="43" t="str" cm="1">
        <f t="array" ref="U663">_xlfn.IFS(T663&lt;3,"Group I",T663&lt;5,"Group II",T663&lt;10,"Group III",T663&lt;20,"Group IV",T663&lt;50,"Group V",T663&lt;100,"Group VI",T663&lt;200,"Group VII",T663&lt;500,"Group VIII",T663&lt;1000,"Group IX",TRUE,"Group X")</f>
        <v>Group II</v>
      </c>
      <c r="V663" s="43">
        <f t="shared" si="131"/>
        <v>0.58689209340683612</v>
      </c>
      <c r="W663" s="43">
        <f t="shared" si="132"/>
        <v>4.1996208333333325</v>
      </c>
      <c r="X663" s="43">
        <f t="shared" si="123"/>
        <v>0.62321008148729973</v>
      </c>
      <c r="Y663" s="43">
        <f t="shared" si="133"/>
        <v>0.13100000000000001</v>
      </c>
      <c r="Z663" s="43">
        <f t="shared" si="124"/>
        <v>-0.88272870434423567</v>
      </c>
      <c r="AA663" s="43">
        <f t="shared" si="135"/>
        <v>0.23439925458700567</v>
      </c>
      <c r="AB663" s="43">
        <f t="shared" si="136"/>
        <v>0.28030778178513233</v>
      </c>
    </row>
    <row r="664" spans="1:28" ht="18.600000000000001" thickBot="1">
      <c r="A664" s="73" t="s">
        <v>61</v>
      </c>
      <c r="B664" s="63">
        <v>350</v>
      </c>
      <c r="C664" s="63">
        <v>2400</v>
      </c>
      <c r="D664" s="74">
        <v>21.02</v>
      </c>
      <c r="E664" s="74">
        <v>177.2221237654868</v>
      </c>
      <c r="F664" s="74">
        <v>3796.8497424908837</v>
      </c>
      <c r="G664" s="75" t="s">
        <v>120</v>
      </c>
      <c r="H664" s="74">
        <v>0.13700000000000001</v>
      </c>
      <c r="I664" s="74">
        <v>48</v>
      </c>
      <c r="J664" s="74">
        <v>3186</v>
      </c>
      <c r="K664" s="74">
        <v>5596</v>
      </c>
      <c r="L664" s="74">
        <v>0.7</v>
      </c>
      <c r="M664" s="63">
        <v>78</v>
      </c>
      <c r="N664" s="64">
        <v>8.5299999999999994</v>
      </c>
      <c r="O664" s="43">
        <f t="shared" si="134"/>
        <v>0.30000000000000004</v>
      </c>
      <c r="P664" s="43">
        <f t="shared" si="127"/>
        <v>610.27912376548682</v>
      </c>
      <c r="Q664" s="43">
        <f t="shared" si="128"/>
        <v>1.666817143214318E-5</v>
      </c>
      <c r="R664" s="43">
        <v>35</v>
      </c>
      <c r="S664" s="43">
        <f t="shared" si="129"/>
        <v>0.14583333333333334</v>
      </c>
      <c r="T664" s="43">
        <f t="shared" si="130"/>
        <v>3.5261555814899754</v>
      </c>
      <c r="U664" s="43" t="str" cm="1">
        <f t="array" ref="U664">_xlfn.IFS(T664&lt;3,"Group I",T664&lt;5,"Group II",T664&lt;10,"Group III",T664&lt;20,"Group IV",T664&lt;50,"Group V",T664&lt;100,"Group VI",T664&lt;200,"Group VII",T664&lt;500,"Group VIII",T664&lt;1000,"Group IX",TRUE,"Group X")</f>
        <v>Group II</v>
      </c>
      <c r="V664" s="43">
        <f t="shared" si="131"/>
        <v>0.54730147038302379</v>
      </c>
      <c r="W664" s="43">
        <f t="shared" si="132"/>
        <v>5.0395449999999995</v>
      </c>
      <c r="X664" s="43">
        <f t="shared" si="123"/>
        <v>0.70239132753492461</v>
      </c>
      <c r="Y664" s="43">
        <f t="shared" si="133"/>
        <v>0.10935897435897435</v>
      </c>
      <c r="Z664" s="43">
        <f t="shared" si="124"/>
        <v>-0.96114557152295743</v>
      </c>
      <c r="AA664" s="43">
        <f t="shared" si="135"/>
        <v>0.21573786864452091</v>
      </c>
      <c r="AB664" s="43">
        <f t="shared" si="136"/>
        <v>0.27279795353736841</v>
      </c>
    </row>
    <row r="665" spans="1:28">
      <c r="A665" s="56" t="s">
        <v>62</v>
      </c>
      <c r="B665" s="57">
        <v>200</v>
      </c>
      <c r="C665" s="57">
        <v>200</v>
      </c>
      <c r="D665" s="57">
        <v>2.3290000000000002</v>
      </c>
      <c r="E665" s="57">
        <v>1787.4310129962612</v>
      </c>
      <c r="F665" s="57">
        <v>13174.292326864874</v>
      </c>
      <c r="G665" s="57" t="s">
        <v>103</v>
      </c>
      <c r="H665" s="57">
        <v>0.70499999999999996</v>
      </c>
      <c r="I665" s="57">
        <v>148</v>
      </c>
      <c r="J665" s="57">
        <v>1414</v>
      </c>
      <c r="K665" s="57">
        <v>2900</v>
      </c>
      <c r="L665" s="57">
        <v>0.3</v>
      </c>
      <c r="M665" s="57">
        <v>545</v>
      </c>
      <c r="N665" s="58">
        <v>478</v>
      </c>
      <c r="O665" s="43">
        <f t="shared" ref="O665:O685" si="137">1-L665</f>
        <v>0.7</v>
      </c>
      <c r="P665" s="43">
        <f t="shared" si="127"/>
        <v>2766.6760129962613</v>
      </c>
      <c r="Q665" s="43">
        <f t="shared" si="128"/>
        <v>9.0137002152934482E-5</v>
      </c>
      <c r="R665" s="43">
        <v>35</v>
      </c>
      <c r="S665" s="43">
        <f t="shared" si="129"/>
        <v>1</v>
      </c>
      <c r="T665" s="43">
        <f t="shared" si="130"/>
        <v>13.943014747498502</v>
      </c>
      <c r="U665" s="43" t="str" cm="1">
        <f t="array" ref="U665">_xlfn.IFS(T665&lt;3,"Group I",T665&lt;5,"Group II",T665&lt;10,"Group III",T665&lt;20,"Group IV",T665&lt;50,"Group V",T665&lt;100,"Group VI",T665&lt;200,"Group VII",T665&lt;500,"Group VIII",T665&lt;1000,"Group IX",TRUE,"Group X")</f>
        <v>Group IV</v>
      </c>
      <c r="V665" s="43">
        <f t="shared" si="131"/>
        <v>1.1443566867208217</v>
      </c>
      <c r="W665" s="43">
        <f t="shared" si="132"/>
        <v>7.765956081081081E-2</v>
      </c>
      <c r="X665" s="43">
        <f t="shared" ref="X665:X691" si="138">LOG(W665)</f>
        <v>-1.1098050698546211</v>
      </c>
      <c r="Y665" s="43">
        <f t="shared" si="133"/>
        <v>0.87706422018348629</v>
      </c>
      <c r="Z665" s="43">
        <f t="shared" ref="Z665:Z691" si="139">LOG(Y665)</f>
        <v>-5.6968605664523539E-2</v>
      </c>
      <c r="AA665" s="43">
        <f t="shared" ref="AA665:AA691" si="140">(10^-0.7321)*W665^0.04497*T665*0.307</f>
        <v>0.70711024275485923</v>
      </c>
      <c r="AB665" s="43">
        <f t="shared" ref="AB665:AB691" si="141">(10^-0.7272)*T665^0.2979</f>
        <v>0.41086945593063773</v>
      </c>
    </row>
    <row r="666" spans="1:28">
      <c r="A666" s="48" t="s">
        <v>62</v>
      </c>
      <c r="B666" s="50">
        <v>200</v>
      </c>
      <c r="C666" s="50">
        <v>400</v>
      </c>
      <c r="D666" s="50">
        <v>2.3290000000000002</v>
      </c>
      <c r="E666" s="50">
        <v>1787.4310129962612</v>
      </c>
      <c r="F666" s="50">
        <v>13174.292326864874</v>
      </c>
      <c r="G666" s="57" t="s">
        <v>103</v>
      </c>
      <c r="H666" s="50">
        <v>0.70499999999999996</v>
      </c>
      <c r="I666" s="50">
        <v>148</v>
      </c>
      <c r="J666" s="50">
        <v>1414</v>
      </c>
      <c r="K666" s="50">
        <v>2900</v>
      </c>
      <c r="L666" s="50">
        <v>0.3</v>
      </c>
      <c r="M666" s="50">
        <v>379</v>
      </c>
      <c r="N666" s="51">
        <v>354</v>
      </c>
      <c r="O666" s="43">
        <f t="shared" si="137"/>
        <v>0.7</v>
      </c>
      <c r="P666" s="43">
        <f t="shared" si="127"/>
        <v>2766.6760129962613</v>
      </c>
      <c r="Q666" s="43">
        <f t="shared" si="128"/>
        <v>9.0137002152934482E-5</v>
      </c>
      <c r="R666" s="43">
        <v>35</v>
      </c>
      <c r="S666" s="43">
        <f t="shared" si="129"/>
        <v>0.5</v>
      </c>
      <c r="T666" s="43">
        <f t="shared" si="130"/>
        <v>9.8592002781402286</v>
      </c>
      <c r="U666" s="43" t="str" cm="1">
        <f t="array" ref="U666">_xlfn.IFS(T666&lt;3,"Group I",T666&lt;5,"Group II",T666&lt;10,"Group III",T666&lt;20,"Group IV",T666&lt;50,"Group V",T666&lt;100,"Group VI",T666&lt;200,"Group VII",T666&lt;500,"Group VIII",T666&lt;1000,"Group IX",TRUE,"Group X")</f>
        <v>Group III</v>
      </c>
      <c r="V666" s="43">
        <f t="shared" si="131"/>
        <v>0.99384168888883107</v>
      </c>
      <c r="W666" s="43">
        <f t="shared" si="132"/>
        <v>0.15531912162162162</v>
      </c>
      <c r="X666" s="43">
        <f t="shared" si="138"/>
        <v>-0.80877507419063999</v>
      </c>
      <c r="Y666" s="43">
        <f t="shared" si="133"/>
        <v>0.93403693931398413</v>
      </c>
      <c r="Z666" s="43">
        <f t="shared" si="139"/>
        <v>-2.9635947942284538E-2</v>
      </c>
      <c r="AA666" s="43">
        <f t="shared" si="140"/>
        <v>0.51583338833468551</v>
      </c>
      <c r="AB666" s="43">
        <f t="shared" si="141"/>
        <v>0.37056588864565243</v>
      </c>
    </row>
    <row r="667" spans="1:28">
      <c r="A667" s="48" t="s">
        <v>62</v>
      </c>
      <c r="B667" s="50">
        <v>200</v>
      </c>
      <c r="C667" s="50">
        <v>600</v>
      </c>
      <c r="D667" s="50">
        <v>2.3290000000000002</v>
      </c>
      <c r="E667" s="50">
        <v>1787.4310129962612</v>
      </c>
      <c r="F667" s="50">
        <v>13174.292326864874</v>
      </c>
      <c r="G667" s="57" t="s">
        <v>103</v>
      </c>
      <c r="H667" s="50">
        <v>0.70499999999999996</v>
      </c>
      <c r="I667" s="50">
        <v>148</v>
      </c>
      <c r="J667" s="50">
        <v>1414</v>
      </c>
      <c r="K667" s="50">
        <v>2900</v>
      </c>
      <c r="L667" s="50">
        <v>0.3</v>
      </c>
      <c r="M667" s="50">
        <v>264.69</v>
      </c>
      <c r="N667" s="51">
        <v>288.89999999999998</v>
      </c>
      <c r="O667" s="43">
        <f t="shared" si="137"/>
        <v>0.7</v>
      </c>
      <c r="P667" s="43">
        <f t="shared" si="127"/>
        <v>2766.6760129962613</v>
      </c>
      <c r="Q667" s="43">
        <f t="shared" si="128"/>
        <v>9.0137002152934482E-5</v>
      </c>
      <c r="R667" s="43">
        <v>35</v>
      </c>
      <c r="S667" s="43">
        <f t="shared" si="129"/>
        <v>0.33333333333333331</v>
      </c>
      <c r="T667" s="43">
        <f t="shared" si="130"/>
        <v>8.0500033177831813</v>
      </c>
      <c r="U667" s="43" t="str" cm="1">
        <f t="array" ref="U667">_xlfn.IFS(T667&lt;3,"Group I",T667&lt;5,"Group II",T667&lt;10,"Group III",T667&lt;20,"Group IV",T667&lt;50,"Group V",T667&lt;100,"Group VI",T667&lt;200,"Group VII",T667&lt;500,"Group VIII",T667&lt;1000,"Group IX",TRUE,"Group X")</f>
        <v>Group III</v>
      </c>
      <c r="V667" s="43">
        <f t="shared" si="131"/>
        <v>0.90579605936099039</v>
      </c>
      <c r="W667" s="43">
        <f t="shared" si="132"/>
        <v>0.23297868243243242</v>
      </c>
      <c r="X667" s="43">
        <f t="shared" si="138"/>
        <v>-0.63268381513495875</v>
      </c>
      <c r="Y667" s="43">
        <f t="shared" si="133"/>
        <v>1.0914654879292758</v>
      </c>
      <c r="Z667" s="43">
        <f t="shared" si="139"/>
        <v>3.8010007897802747E-2</v>
      </c>
      <c r="AA667" s="43">
        <f t="shared" si="140"/>
        <v>0.42892626786338134</v>
      </c>
      <c r="AB667" s="43">
        <f t="shared" si="141"/>
        <v>0.34884832824061185</v>
      </c>
    </row>
    <row r="668" spans="1:28">
      <c r="A668" s="48" t="s">
        <v>62</v>
      </c>
      <c r="B668" s="50">
        <v>200</v>
      </c>
      <c r="C668" s="50">
        <v>800</v>
      </c>
      <c r="D668" s="50">
        <v>2.3290000000000002</v>
      </c>
      <c r="E668" s="50">
        <v>1787.4310129962612</v>
      </c>
      <c r="F668" s="50">
        <v>13174.292326864874</v>
      </c>
      <c r="G668" s="57" t="s">
        <v>103</v>
      </c>
      <c r="H668" s="50">
        <v>0.70499999999999996</v>
      </c>
      <c r="I668" s="50">
        <v>148</v>
      </c>
      <c r="J668" s="50">
        <v>1414</v>
      </c>
      <c r="K668" s="50">
        <v>2900</v>
      </c>
      <c r="L668" s="50">
        <v>0.3</v>
      </c>
      <c r="M668" s="50">
        <v>203.6</v>
      </c>
      <c r="N668" s="51">
        <v>183.56</v>
      </c>
      <c r="O668" s="43">
        <f t="shared" si="137"/>
        <v>0.7</v>
      </c>
      <c r="P668" s="43">
        <f t="shared" si="127"/>
        <v>2766.6760129962613</v>
      </c>
      <c r="Q668" s="43">
        <f t="shared" si="128"/>
        <v>9.0137002152934482E-5</v>
      </c>
      <c r="R668" s="43">
        <v>35</v>
      </c>
      <c r="S668" s="43">
        <f t="shared" si="129"/>
        <v>0.25</v>
      </c>
      <c r="T668" s="43">
        <f t="shared" si="130"/>
        <v>6.971507373749251</v>
      </c>
      <c r="U668" s="43" t="str" cm="1">
        <f t="array" ref="U668">_xlfn.IFS(T668&lt;3,"Group I",T668&lt;5,"Group II",T668&lt;10,"Group III",T668&lt;20,"Group IV",T668&lt;50,"Group V",T668&lt;100,"Group VI",T668&lt;200,"Group VII",T668&lt;500,"Group VIII",T668&lt;1000,"Group IX",TRUE,"Group X")</f>
        <v>Group III</v>
      </c>
      <c r="V668" s="43">
        <f t="shared" si="131"/>
        <v>0.84332669105684044</v>
      </c>
      <c r="W668" s="43">
        <f t="shared" si="132"/>
        <v>0.31063824324324324</v>
      </c>
      <c r="X668" s="43">
        <f t="shared" si="138"/>
        <v>-0.50774507852665873</v>
      </c>
      <c r="Y668" s="43">
        <f t="shared" si="133"/>
        <v>0.90157170923379182</v>
      </c>
      <c r="Z668" s="43">
        <f t="shared" si="139"/>
        <v>-4.4999724642099379E-2</v>
      </c>
      <c r="AA668" s="43">
        <f t="shared" si="140"/>
        <v>0.37629787893355188</v>
      </c>
      <c r="AB668" s="43">
        <f t="shared" si="141"/>
        <v>0.33421583387528336</v>
      </c>
    </row>
    <row r="669" spans="1:28">
      <c r="A669" s="48" t="s">
        <v>62</v>
      </c>
      <c r="B669" s="50">
        <v>200</v>
      </c>
      <c r="C669" s="50">
        <v>1200</v>
      </c>
      <c r="D669" s="50">
        <v>2.3290000000000002</v>
      </c>
      <c r="E669" s="50">
        <v>1787.4310129962612</v>
      </c>
      <c r="F669" s="50">
        <v>13174.292326864874</v>
      </c>
      <c r="G669" s="57" t="s">
        <v>103</v>
      </c>
      <c r="H669" s="50">
        <v>0.70499999999999996</v>
      </c>
      <c r="I669" s="50">
        <v>148</v>
      </c>
      <c r="J669" s="50">
        <v>1414</v>
      </c>
      <c r="K669" s="50">
        <v>2900</v>
      </c>
      <c r="L669" s="50">
        <v>0.3</v>
      </c>
      <c r="M669" s="50">
        <v>195</v>
      </c>
      <c r="N669" s="51">
        <v>138.9</v>
      </c>
      <c r="O669" s="43">
        <f t="shared" si="137"/>
        <v>0.7</v>
      </c>
      <c r="P669" s="43">
        <f t="shared" si="127"/>
        <v>2766.6760129962613</v>
      </c>
      <c r="Q669" s="43">
        <f t="shared" si="128"/>
        <v>9.0137002152934482E-5</v>
      </c>
      <c r="R669" s="43">
        <v>35</v>
      </c>
      <c r="S669" s="43">
        <f t="shared" si="129"/>
        <v>0.16666666666666666</v>
      </c>
      <c r="T669" s="43">
        <f t="shared" si="130"/>
        <v>5.6922119345786948</v>
      </c>
      <c r="U669" s="43" t="str" cm="1">
        <f t="array" ref="U669">_xlfn.IFS(T669&lt;3,"Group I",T669&lt;5,"Group II",T669&lt;10,"Group III",T669&lt;20,"Group IV",T669&lt;50,"Group V",T669&lt;100,"Group VI",T669&lt;200,"Group VII",T669&lt;500,"Group VIII",T669&lt;1000,"Group IX",TRUE,"Group X")</f>
        <v>Group III</v>
      </c>
      <c r="V669" s="43">
        <f t="shared" si="131"/>
        <v>0.75528106152899988</v>
      </c>
      <c r="W669" s="43">
        <f t="shared" si="132"/>
        <v>0.46595736486486483</v>
      </c>
      <c r="X669" s="43">
        <f t="shared" si="138"/>
        <v>-0.33165381947097755</v>
      </c>
      <c r="Y669" s="43">
        <f t="shared" si="133"/>
        <v>0.71230769230769231</v>
      </c>
      <c r="Z669" s="43">
        <f t="shared" si="139"/>
        <v>-0.14733236562490243</v>
      </c>
      <c r="AA669" s="43">
        <f t="shared" si="140"/>
        <v>0.31289956886457299</v>
      </c>
      <c r="AB669" s="43">
        <f t="shared" si="141"/>
        <v>0.31462862203817832</v>
      </c>
    </row>
    <row r="670" spans="1:28">
      <c r="A670" s="48" t="s">
        <v>62</v>
      </c>
      <c r="B670" s="50">
        <v>200</v>
      </c>
      <c r="C670" s="50">
        <v>1600</v>
      </c>
      <c r="D670" s="50">
        <v>2.3290000000000002</v>
      </c>
      <c r="E670" s="50">
        <v>1787.4310129962612</v>
      </c>
      <c r="F670" s="50">
        <v>13174.292326864874</v>
      </c>
      <c r="G670" s="57" t="s">
        <v>103</v>
      </c>
      <c r="H670" s="50">
        <v>0.70499999999999996</v>
      </c>
      <c r="I670" s="50">
        <v>148</v>
      </c>
      <c r="J670" s="50">
        <v>1414</v>
      </c>
      <c r="K670" s="50">
        <v>2900</v>
      </c>
      <c r="L670" s="50">
        <v>0.3</v>
      </c>
      <c r="M670" s="50">
        <v>188.97</v>
      </c>
      <c r="N670" s="51">
        <v>79.2</v>
      </c>
      <c r="O670" s="43">
        <f t="shared" si="137"/>
        <v>0.7</v>
      </c>
      <c r="P670" s="43">
        <f t="shared" si="127"/>
        <v>2766.6760129962613</v>
      </c>
      <c r="Q670" s="43">
        <f t="shared" si="128"/>
        <v>9.0137002152934482E-5</v>
      </c>
      <c r="R670" s="43">
        <v>35</v>
      </c>
      <c r="S670" s="43">
        <f t="shared" si="129"/>
        <v>0.125</v>
      </c>
      <c r="T670" s="43">
        <f t="shared" si="130"/>
        <v>4.9296001390701143</v>
      </c>
      <c r="U670" s="43" t="str" cm="1">
        <f t="array" ref="U670">_xlfn.IFS(T670&lt;3,"Group I",T670&lt;5,"Group II",T670&lt;10,"Group III",T670&lt;20,"Group IV",T670&lt;50,"Group V",T670&lt;100,"Group VI",T670&lt;200,"Group VII",T670&lt;500,"Group VIII",T670&lt;1000,"Group IX",TRUE,"Group X")</f>
        <v>Group II</v>
      </c>
      <c r="V670" s="43">
        <f t="shared" si="131"/>
        <v>0.69281169322484981</v>
      </c>
      <c r="W670" s="43">
        <f t="shared" si="132"/>
        <v>0.62127648648648648</v>
      </c>
      <c r="X670" s="43">
        <f t="shared" si="138"/>
        <v>-0.20671508286267756</v>
      </c>
      <c r="Y670" s="43">
        <f t="shared" si="133"/>
        <v>0.41911414510239725</v>
      </c>
      <c r="Z670" s="43">
        <f t="shared" si="139"/>
        <v>-0.37766768148004154</v>
      </c>
      <c r="AA670" s="43">
        <f t="shared" si="140"/>
        <v>0.2745074221485182</v>
      </c>
      <c r="AB670" s="43">
        <f t="shared" si="141"/>
        <v>0.30143147827554773</v>
      </c>
    </row>
    <row r="671" spans="1:28">
      <c r="A671" s="48" t="s">
        <v>62</v>
      </c>
      <c r="B671" s="50">
        <v>200</v>
      </c>
      <c r="C671" s="50">
        <v>2000</v>
      </c>
      <c r="D671" s="50">
        <v>2.3290000000000002</v>
      </c>
      <c r="E671" s="50">
        <v>1787.4310129962612</v>
      </c>
      <c r="F671" s="50">
        <v>13174.292326864874</v>
      </c>
      <c r="G671" s="57" t="s">
        <v>103</v>
      </c>
      <c r="H671" s="50">
        <v>0.70499999999999996</v>
      </c>
      <c r="I671" s="50">
        <v>148</v>
      </c>
      <c r="J671" s="50">
        <v>1414</v>
      </c>
      <c r="K671" s="50">
        <v>2900</v>
      </c>
      <c r="L671" s="50">
        <v>0.3</v>
      </c>
      <c r="M671" s="50">
        <v>145</v>
      </c>
      <c r="N671" s="51">
        <v>50.6</v>
      </c>
      <c r="O671" s="43">
        <f t="shared" si="137"/>
        <v>0.7</v>
      </c>
      <c r="P671" s="43">
        <f t="shared" si="127"/>
        <v>2766.6760129962613</v>
      </c>
      <c r="Q671" s="43">
        <f t="shared" si="128"/>
        <v>9.0137002152934482E-5</v>
      </c>
      <c r="R671" s="43">
        <v>35</v>
      </c>
      <c r="S671" s="43">
        <f t="shared" si="129"/>
        <v>0.1</v>
      </c>
      <c r="T671" s="43">
        <f t="shared" si="130"/>
        <v>4.4091684051412772</v>
      </c>
      <c r="U671" s="43" t="str" cm="1">
        <f t="array" ref="U671">_xlfn.IFS(T671&lt;3,"Group I",T671&lt;5,"Group II",T671&lt;10,"Group III",T671&lt;20,"Group IV",T671&lt;50,"Group V",T671&lt;100,"Group VI",T671&lt;200,"Group VII",T671&lt;500,"Group VIII",T671&lt;1000,"Group IX",TRUE,"Group X")</f>
        <v>Group II</v>
      </c>
      <c r="V671" s="43">
        <f t="shared" si="131"/>
        <v>0.64435668672082169</v>
      </c>
      <c r="W671" s="43">
        <f t="shared" si="132"/>
        <v>0.77659560810810802</v>
      </c>
      <c r="X671" s="43">
        <f t="shared" si="138"/>
        <v>-0.1098050698546212</v>
      </c>
      <c r="Y671" s="43">
        <f t="shared" si="133"/>
        <v>0.34896551724137931</v>
      </c>
      <c r="Z671" s="43">
        <f t="shared" si="139"/>
        <v>-0.45721748539517576</v>
      </c>
      <c r="AA671" s="43">
        <f t="shared" si="140"/>
        <v>0.24800311069763806</v>
      </c>
      <c r="AB671" s="43">
        <f t="shared" si="141"/>
        <v>0.29157739861985171</v>
      </c>
    </row>
    <row r="672" spans="1:28">
      <c r="A672" s="48" t="s">
        <v>62</v>
      </c>
      <c r="B672" s="50">
        <v>200</v>
      </c>
      <c r="C672" s="50">
        <v>2400</v>
      </c>
      <c r="D672" s="50">
        <v>2.3290000000000002</v>
      </c>
      <c r="E672" s="50">
        <v>1787.4310129962612</v>
      </c>
      <c r="F672" s="50">
        <v>13174.292326864874</v>
      </c>
      <c r="G672" s="57" t="s">
        <v>103</v>
      </c>
      <c r="H672" s="50">
        <v>0.70499999999999996</v>
      </c>
      <c r="I672" s="50">
        <v>148</v>
      </c>
      <c r="J672" s="50">
        <v>1414</v>
      </c>
      <c r="K672" s="50">
        <v>2900</v>
      </c>
      <c r="L672" s="50">
        <v>0.3</v>
      </c>
      <c r="M672" s="50">
        <v>91.26</v>
      </c>
      <c r="N672" s="51">
        <v>34.520000000000003</v>
      </c>
      <c r="O672" s="43">
        <f t="shared" si="137"/>
        <v>0.7</v>
      </c>
      <c r="P672" s="43">
        <f t="shared" si="127"/>
        <v>2766.6760129962613</v>
      </c>
      <c r="Q672" s="43">
        <f t="shared" si="128"/>
        <v>9.0137002152934482E-5</v>
      </c>
      <c r="R672" s="43">
        <v>35</v>
      </c>
      <c r="S672" s="43">
        <f t="shared" si="129"/>
        <v>8.3333333333333329E-2</v>
      </c>
      <c r="T672" s="43">
        <f t="shared" si="130"/>
        <v>4.0250016588915907</v>
      </c>
      <c r="U672" s="43" t="str" cm="1">
        <f t="array" ref="U672">_xlfn.IFS(T672&lt;3,"Group I",T672&lt;5,"Group II",T672&lt;10,"Group III",T672&lt;20,"Group IV",T672&lt;50,"Group V",T672&lt;100,"Group VI",T672&lt;200,"Group VII",T672&lt;500,"Group VIII",T672&lt;1000,"Group IX",TRUE,"Group X")</f>
        <v>Group II</v>
      </c>
      <c r="V672" s="43">
        <f t="shared" si="131"/>
        <v>0.60476606369700914</v>
      </c>
      <c r="W672" s="43">
        <f t="shared" si="132"/>
        <v>0.93191472972972966</v>
      </c>
      <c r="X672" s="43">
        <f t="shared" si="138"/>
        <v>-3.0623823806996357E-2</v>
      </c>
      <c r="Y672" s="43">
        <f t="shared" si="133"/>
        <v>0.3782599167214552</v>
      </c>
      <c r="Z672" s="43">
        <f t="shared" si="139"/>
        <v>-0.42220967739347004</v>
      </c>
      <c r="AA672" s="43">
        <f t="shared" si="140"/>
        <v>0.22825867178370149</v>
      </c>
      <c r="AB672" s="43">
        <f t="shared" si="141"/>
        <v>0.28376564194788256</v>
      </c>
    </row>
    <row r="673" spans="1:28">
      <c r="A673" s="48" t="s">
        <v>62</v>
      </c>
      <c r="B673" s="50">
        <v>350</v>
      </c>
      <c r="C673" s="50">
        <v>400</v>
      </c>
      <c r="D673" s="50">
        <v>2.3290000000000002</v>
      </c>
      <c r="E673" s="50">
        <v>1787.4310129962612</v>
      </c>
      <c r="F673" s="50">
        <v>13174.292326864874</v>
      </c>
      <c r="G673" s="57" t="s">
        <v>103</v>
      </c>
      <c r="H673" s="50">
        <v>0.70499999999999996</v>
      </c>
      <c r="I673" s="50">
        <v>148</v>
      </c>
      <c r="J673" s="50">
        <v>1414</v>
      </c>
      <c r="K673" s="50">
        <v>2900</v>
      </c>
      <c r="L673" s="50">
        <v>0.3</v>
      </c>
      <c r="M673" s="50">
        <v>338.48</v>
      </c>
      <c r="N673" s="51">
        <v>407</v>
      </c>
      <c r="O673" s="43">
        <f t="shared" si="137"/>
        <v>0.7</v>
      </c>
      <c r="P673" s="43">
        <f t="shared" si="127"/>
        <v>2766.6760129962613</v>
      </c>
      <c r="Q673" s="43">
        <f t="shared" si="128"/>
        <v>9.0137002152934482E-5</v>
      </c>
      <c r="R673" s="43">
        <v>35</v>
      </c>
      <c r="S673" s="43">
        <f t="shared" si="129"/>
        <v>0.875</v>
      </c>
      <c r="T673" s="43">
        <f t="shared" si="130"/>
        <v>17.253600486745398</v>
      </c>
      <c r="U673" s="43" t="str" cm="1">
        <f t="array" ref="U673">_xlfn.IFS(T673&lt;3,"Group I",T673&lt;5,"Group II",T673&lt;10,"Group III",T673&lt;20,"Group IV",T673&lt;50,"Group V",T673&lt;100,"Group VI",T673&lt;200,"Group VII",T673&lt;500,"Group VIII",T673&lt;1000,"Group IX",TRUE,"Group X")</f>
        <v>Group IV</v>
      </c>
      <c r="V673" s="43">
        <f t="shared" si="131"/>
        <v>1.2368797375751255</v>
      </c>
      <c r="W673" s="43">
        <f t="shared" si="132"/>
        <v>0.15531912162162162</v>
      </c>
      <c r="X673" s="43">
        <f t="shared" si="138"/>
        <v>-0.80877507419063999</v>
      </c>
      <c r="Y673" s="43">
        <f t="shared" si="133"/>
        <v>1.2024344126683999</v>
      </c>
      <c r="Z673" s="43">
        <f t="shared" si="139"/>
        <v>8.0061396901981788E-2</v>
      </c>
      <c r="AA673" s="43">
        <f t="shared" si="140"/>
        <v>0.90270842958569963</v>
      </c>
      <c r="AB673" s="43">
        <f t="shared" si="141"/>
        <v>0.43779064175835214</v>
      </c>
    </row>
    <row r="674" spans="1:28">
      <c r="A674" s="48" t="s">
        <v>62</v>
      </c>
      <c r="B674" s="50">
        <v>350</v>
      </c>
      <c r="C674" s="50">
        <v>600</v>
      </c>
      <c r="D674" s="50">
        <v>2.3290000000000002</v>
      </c>
      <c r="E674" s="50">
        <v>1787.4310129962612</v>
      </c>
      <c r="F674" s="50">
        <v>13174.292326864874</v>
      </c>
      <c r="G674" s="57" t="s">
        <v>103</v>
      </c>
      <c r="H674" s="50">
        <v>0.70499999999999996</v>
      </c>
      <c r="I674" s="50">
        <v>148</v>
      </c>
      <c r="J674" s="50">
        <v>1414</v>
      </c>
      <c r="K674" s="50">
        <v>2900</v>
      </c>
      <c r="L674" s="50">
        <v>0.3</v>
      </c>
      <c r="M674" s="50">
        <v>282.26</v>
      </c>
      <c r="N674" s="51">
        <v>263.95999999999998</v>
      </c>
      <c r="O674" s="43">
        <f t="shared" si="137"/>
        <v>0.7</v>
      </c>
      <c r="P674" s="43">
        <f t="shared" si="127"/>
        <v>2766.6760129962613</v>
      </c>
      <c r="Q674" s="43">
        <f t="shared" si="128"/>
        <v>9.0137002152934482E-5</v>
      </c>
      <c r="R674" s="43">
        <v>35</v>
      </c>
      <c r="S674" s="43">
        <f t="shared" si="129"/>
        <v>0.58333333333333337</v>
      </c>
      <c r="T674" s="43">
        <f t="shared" si="130"/>
        <v>14.087505806120566</v>
      </c>
      <c r="U674" s="43" t="str" cm="1">
        <f t="array" ref="U674">_xlfn.IFS(T674&lt;3,"Group I",T674&lt;5,"Group II",T674&lt;10,"Group III",T674&lt;20,"Group IV",T674&lt;50,"Group V",T674&lt;100,"Group VI",T674&lt;200,"Group VII",T674&lt;500,"Group VIII",T674&lt;1000,"Group IX",TRUE,"Group X")</f>
        <v>Group IV</v>
      </c>
      <c r="V674" s="43">
        <f t="shared" si="131"/>
        <v>1.1488341080472848</v>
      </c>
      <c r="W674" s="43">
        <f t="shared" si="132"/>
        <v>0.23297868243243242</v>
      </c>
      <c r="X674" s="43">
        <f t="shared" si="138"/>
        <v>-0.63268381513495875</v>
      </c>
      <c r="Y674" s="43">
        <f t="shared" si="133"/>
        <v>0.93516615886062493</v>
      </c>
      <c r="Z674" s="43">
        <f t="shared" si="139"/>
        <v>-2.9111217507049762E-2</v>
      </c>
      <c r="AA674" s="43">
        <f t="shared" si="140"/>
        <v>0.75062096876091722</v>
      </c>
      <c r="AB674" s="43">
        <f t="shared" si="141"/>
        <v>0.41213327555581941</v>
      </c>
    </row>
    <row r="675" spans="1:28">
      <c r="A675" s="48" t="s">
        <v>62</v>
      </c>
      <c r="B675" s="50">
        <v>350</v>
      </c>
      <c r="C675" s="50">
        <v>800</v>
      </c>
      <c r="D675" s="50">
        <v>2.3290000000000002</v>
      </c>
      <c r="E675" s="50">
        <v>1787.4310129962612</v>
      </c>
      <c r="F675" s="50">
        <v>13174.292326864874</v>
      </c>
      <c r="G675" s="57" t="s">
        <v>103</v>
      </c>
      <c r="H675" s="50">
        <v>0.70499999999999996</v>
      </c>
      <c r="I675" s="50">
        <v>148</v>
      </c>
      <c r="J675" s="50">
        <v>1414</v>
      </c>
      <c r="K675" s="50">
        <v>2900</v>
      </c>
      <c r="L675" s="50">
        <v>0.3</v>
      </c>
      <c r="M675" s="50">
        <v>203.3</v>
      </c>
      <c r="N675" s="51">
        <v>225.89</v>
      </c>
      <c r="O675" s="43">
        <f t="shared" si="137"/>
        <v>0.7</v>
      </c>
      <c r="P675" s="43">
        <f t="shared" si="127"/>
        <v>2766.6760129962613</v>
      </c>
      <c r="Q675" s="43">
        <f t="shared" si="128"/>
        <v>9.0137002152934482E-5</v>
      </c>
      <c r="R675" s="43">
        <v>35</v>
      </c>
      <c r="S675" s="43">
        <f t="shared" si="129"/>
        <v>0.4375</v>
      </c>
      <c r="T675" s="43">
        <f t="shared" si="130"/>
        <v>12.200137904061188</v>
      </c>
      <c r="U675" s="43" t="str" cm="1">
        <f t="array" ref="U675">_xlfn.IFS(T675&lt;3,"Group I",T675&lt;5,"Group II",T675&lt;10,"Group III",T675&lt;20,"Group IV",T675&lt;50,"Group V",T675&lt;100,"Group VI",T675&lt;200,"Group VII",T675&lt;500,"Group VIII",T675&lt;1000,"Group IX",TRUE,"Group X")</f>
        <v>Group IV</v>
      </c>
      <c r="V675" s="43">
        <f t="shared" si="131"/>
        <v>1.0863647397431349</v>
      </c>
      <c r="W675" s="43">
        <f t="shared" si="132"/>
        <v>0.31063824324324324</v>
      </c>
      <c r="X675" s="43">
        <f t="shared" si="138"/>
        <v>-0.50774507852665873</v>
      </c>
      <c r="Y675" s="43">
        <f t="shared" si="133"/>
        <v>1.1111165764879487</v>
      </c>
      <c r="Z675" s="43">
        <f t="shared" si="139"/>
        <v>4.5759626780123151E-2</v>
      </c>
      <c r="AA675" s="43">
        <f t="shared" si="140"/>
        <v>0.65852128813371569</v>
      </c>
      <c r="AB675" s="43">
        <f t="shared" si="141"/>
        <v>0.39484628478034561</v>
      </c>
    </row>
    <row r="676" spans="1:28">
      <c r="A676" s="48" t="s">
        <v>62</v>
      </c>
      <c r="B676" s="50">
        <v>350</v>
      </c>
      <c r="C676" s="50">
        <v>1000</v>
      </c>
      <c r="D676" s="50">
        <v>2.3290000000000002</v>
      </c>
      <c r="E676" s="50">
        <v>1787.4310129962612</v>
      </c>
      <c r="F676" s="50">
        <v>13174.292326864874</v>
      </c>
      <c r="G676" s="57" t="s">
        <v>103</v>
      </c>
      <c r="H676" s="50">
        <v>0.70499999999999996</v>
      </c>
      <c r="I676" s="50">
        <v>148</v>
      </c>
      <c r="J676" s="50">
        <v>1414</v>
      </c>
      <c r="K676" s="50">
        <v>2900</v>
      </c>
      <c r="L676" s="50">
        <v>0.3</v>
      </c>
      <c r="M676" s="50">
        <v>214.85</v>
      </c>
      <c r="N676" s="51">
        <v>112.22</v>
      </c>
      <c r="O676" s="43">
        <f t="shared" si="137"/>
        <v>0.7</v>
      </c>
      <c r="P676" s="43">
        <f t="shared" si="127"/>
        <v>2766.6760129962613</v>
      </c>
      <c r="Q676" s="43">
        <f t="shared" si="128"/>
        <v>9.0137002152934482E-5</v>
      </c>
      <c r="R676" s="43">
        <v>35</v>
      </c>
      <c r="S676" s="43">
        <f t="shared" si="129"/>
        <v>0.35</v>
      </c>
      <c r="T676" s="43">
        <f t="shared" si="130"/>
        <v>10.91213507534105</v>
      </c>
      <c r="U676" s="43" t="str" cm="1">
        <f t="array" ref="U676">_xlfn.IFS(T676&lt;3,"Group I",T676&lt;5,"Group II",T676&lt;10,"Group III",T676&lt;20,"Group IV",T676&lt;50,"Group V",T676&lt;100,"Group VI",T676&lt;200,"Group VII",T676&lt;500,"Group VIII",T676&lt;1000,"Group IX",TRUE,"Group X")</f>
        <v>Group IV</v>
      </c>
      <c r="V676" s="43">
        <f t="shared" si="131"/>
        <v>1.0379097332391067</v>
      </c>
      <c r="W676" s="43">
        <f t="shared" si="132"/>
        <v>0.38829780405405401</v>
      </c>
      <c r="X676" s="43">
        <f t="shared" si="138"/>
        <v>-0.41083506551860238</v>
      </c>
      <c r="Y676" s="43">
        <f t="shared" si="133"/>
        <v>0.52231789620665581</v>
      </c>
      <c r="Z676" s="43">
        <f t="shared" si="139"/>
        <v>-0.28206509365248361</v>
      </c>
      <c r="AA676" s="43">
        <f t="shared" si="140"/>
        <v>0.59493957081210624</v>
      </c>
      <c r="AB676" s="43">
        <f t="shared" si="141"/>
        <v>0.38193838689177662</v>
      </c>
    </row>
    <row r="677" spans="1:28">
      <c r="A677" s="48" t="s">
        <v>62</v>
      </c>
      <c r="B677" s="50">
        <v>350</v>
      </c>
      <c r="C677" s="50">
        <v>1200</v>
      </c>
      <c r="D677" s="50">
        <v>2.3290000000000002</v>
      </c>
      <c r="E677" s="50">
        <v>1787.4310129962612</v>
      </c>
      <c r="F677" s="50">
        <v>13174.292326864874</v>
      </c>
      <c r="G677" s="57" t="s">
        <v>103</v>
      </c>
      <c r="H677" s="50">
        <v>0.70499999999999996</v>
      </c>
      <c r="I677" s="50">
        <v>148</v>
      </c>
      <c r="J677" s="50">
        <v>1414</v>
      </c>
      <c r="K677" s="50">
        <v>2900</v>
      </c>
      <c r="L677" s="50">
        <v>0.3</v>
      </c>
      <c r="M677" s="50">
        <v>230.6</v>
      </c>
      <c r="N677" s="51">
        <v>129.9</v>
      </c>
      <c r="O677" s="43">
        <f t="shared" si="137"/>
        <v>0.7</v>
      </c>
      <c r="P677" s="43">
        <f t="shared" si="127"/>
        <v>2766.6760129962613</v>
      </c>
      <c r="Q677" s="43">
        <f t="shared" si="128"/>
        <v>9.0137002152934482E-5</v>
      </c>
      <c r="R677" s="43">
        <v>35</v>
      </c>
      <c r="S677" s="43">
        <f t="shared" si="129"/>
        <v>0.29166666666666669</v>
      </c>
      <c r="T677" s="43">
        <f t="shared" si="130"/>
        <v>9.9613708855127143</v>
      </c>
      <c r="U677" s="43" t="str" cm="1">
        <f t="array" ref="U677">_xlfn.IFS(T677&lt;3,"Group I",T677&lt;5,"Group II",T677&lt;10,"Group III",T677&lt;20,"Group IV",T677&lt;50,"Group V",T677&lt;100,"Group VI",T677&lt;200,"Group VII",T677&lt;500,"Group VIII",T677&lt;1000,"Group IX",TRUE,"Group X")</f>
        <v>Group III</v>
      </c>
      <c r="V677" s="43">
        <f t="shared" si="131"/>
        <v>0.99831911021529418</v>
      </c>
      <c r="W677" s="43">
        <f t="shared" si="132"/>
        <v>0.46595736486486483</v>
      </c>
      <c r="X677" s="43">
        <f t="shared" si="138"/>
        <v>-0.33165381947097755</v>
      </c>
      <c r="Y677" s="43">
        <f t="shared" si="133"/>
        <v>0.56331309627059845</v>
      </c>
      <c r="Z677" s="43">
        <f t="shared" si="139"/>
        <v>-0.24925015188565233</v>
      </c>
      <c r="AA677" s="43">
        <f t="shared" si="140"/>
        <v>0.5475742455130026</v>
      </c>
      <c r="AB677" s="43">
        <f t="shared" si="141"/>
        <v>0.37170573595173284</v>
      </c>
    </row>
    <row r="678" spans="1:28">
      <c r="A678" s="48" t="s">
        <v>62</v>
      </c>
      <c r="B678" s="50">
        <v>350</v>
      </c>
      <c r="C678" s="50">
        <v>1600</v>
      </c>
      <c r="D678" s="50">
        <v>2.3290000000000002</v>
      </c>
      <c r="E678" s="50">
        <v>1787.4310129962612</v>
      </c>
      <c r="F678" s="50">
        <v>13174.292326864874</v>
      </c>
      <c r="G678" s="57" t="s">
        <v>103</v>
      </c>
      <c r="H678" s="50">
        <v>0.70499999999999996</v>
      </c>
      <c r="I678" s="50">
        <v>148</v>
      </c>
      <c r="J678" s="50">
        <v>1414</v>
      </c>
      <c r="K678" s="50">
        <v>2900</v>
      </c>
      <c r="L678" s="50">
        <v>0.3</v>
      </c>
      <c r="M678" s="50">
        <v>161.19999999999999</v>
      </c>
      <c r="N678" s="51">
        <v>95.2</v>
      </c>
      <c r="O678" s="43">
        <f t="shared" si="137"/>
        <v>0.7</v>
      </c>
      <c r="P678" s="43">
        <f t="shared" si="127"/>
        <v>2766.6760129962613</v>
      </c>
      <c r="Q678" s="43">
        <f t="shared" si="128"/>
        <v>9.0137002152934482E-5</v>
      </c>
      <c r="R678" s="43">
        <v>35</v>
      </c>
      <c r="S678" s="43">
        <f t="shared" si="129"/>
        <v>0.21875</v>
      </c>
      <c r="T678" s="43">
        <f t="shared" si="130"/>
        <v>8.6268002433726991</v>
      </c>
      <c r="U678" s="43" t="str" cm="1">
        <f t="array" ref="U678">_xlfn.IFS(T678&lt;3,"Group I",T678&lt;5,"Group II",T678&lt;10,"Group III",T678&lt;20,"Group IV",T678&lt;50,"Group V",T678&lt;100,"Group VI",T678&lt;200,"Group VII",T678&lt;500,"Group VIII",T678&lt;1000,"Group IX",TRUE,"Group X")</f>
        <v>Group III</v>
      </c>
      <c r="V678" s="43">
        <f t="shared" si="131"/>
        <v>0.93584974191114423</v>
      </c>
      <c r="W678" s="43">
        <f t="shared" si="132"/>
        <v>0.62127648648648648</v>
      </c>
      <c r="X678" s="43">
        <f t="shared" si="138"/>
        <v>-0.20671508286267756</v>
      </c>
      <c r="Y678" s="43">
        <f t="shared" si="133"/>
        <v>0.59057071960297769</v>
      </c>
      <c r="Z678" s="43">
        <f t="shared" si="139"/>
        <v>-0.22872808908459749</v>
      </c>
      <c r="AA678" s="43">
        <f t="shared" si="140"/>
        <v>0.48038798875990679</v>
      </c>
      <c r="AB678" s="43">
        <f t="shared" si="141"/>
        <v>0.35611448426276798</v>
      </c>
    </row>
    <row r="679" spans="1:28">
      <c r="A679" s="48" t="s">
        <v>62</v>
      </c>
      <c r="B679" s="50">
        <v>350</v>
      </c>
      <c r="C679" s="50">
        <v>2000</v>
      </c>
      <c r="D679" s="50">
        <v>2.3290000000000002</v>
      </c>
      <c r="E679" s="50">
        <v>1787.4310129962612</v>
      </c>
      <c r="F679" s="50">
        <v>13174.292326864874</v>
      </c>
      <c r="G679" s="57" t="s">
        <v>103</v>
      </c>
      <c r="H679" s="50">
        <v>0.70499999999999996</v>
      </c>
      <c r="I679" s="50">
        <v>148</v>
      </c>
      <c r="J679" s="50">
        <v>1414</v>
      </c>
      <c r="K679" s="50">
        <v>2900</v>
      </c>
      <c r="L679" s="50">
        <v>0.3</v>
      </c>
      <c r="M679" s="50">
        <v>134</v>
      </c>
      <c r="N679" s="51">
        <v>55.79</v>
      </c>
      <c r="O679" s="43">
        <f t="shared" si="137"/>
        <v>0.7</v>
      </c>
      <c r="P679" s="43">
        <f t="shared" si="127"/>
        <v>2766.6760129962613</v>
      </c>
      <c r="Q679" s="43">
        <f t="shared" si="128"/>
        <v>9.0137002152934482E-5</v>
      </c>
      <c r="R679" s="43">
        <v>35</v>
      </c>
      <c r="S679" s="43">
        <f t="shared" si="129"/>
        <v>0.17499999999999999</v>
      </c>
      <c r="T679" s="43">
        <f t="shared" si="130"/>
        <v>7.7160447089972335</v>
      </c>
      <c r="U679" s="43" t="str" cm="1">
        <f t="array" ref="U679">_xlfn.IFS(T679&lt;3,"Group I",T679&lt;5,"Group II",T679&lt;10,"Group III",T679&lt;20,"Group IV",T679&lt;50,"Group V",T679&lt;100,"Group VI",T679&lt;200,"Group VII",T679&lt;500,"Group VIII",T679&lt;1000,"Group IX",TRUE,"Group X")</f>
        <v>Group III</v>
      </c>
      <c r="V679" s="43">
        <f t="shared" si="131"/>
        <v>0.887394735407116</v>
      </c>
      <c r="W679" s="43">
        <f t="shared" si="132"/>
        <v>0.77659560810810802</v>
      </c>
      <c r="X679" s="43">
        <f t="shared" si="138"/>
        <v>-0.1098050698546212</v>
      </c>
      <c r="Y679" s="43">
        <f t="shared" si="133"/>
        <v>0.41634328358208955</v>
      </c>
      <c r="Z679" s="43">
        <f t="shared" si="139"/>
        <v>-0.38054843695443846</v>
      </c>
      <c r="AA679" s="43">
        <f t="shared" si="140"/>
        <v>0.43400544372086647</v>
      </c>
      <c r="AB679" s="43">
        <f t="shared" si="141"/>
        <v>0.34447276550616029</v>
      </c>
    </row>
    <row r="680" spans="1:28">
      <c r="A680" s="48" t="s">
        <v>62</v>
      </c>
      <c r="B680" s="50">
        <v>350</v>
      </c>
      <c r="C680" s="50">
        <v>2400</v>
      </c>
      <c r="D680" s="50">
        <v>2.3290000000000002</v>
      </c>
      <c r="E680" s="50">
        <v>1787.4310129962612</v>
      </c>
      <c r="F680" s="50">
        <v>13174.292326864874</v>
      </c>
      <c r="G680" s="57" t="s">
        <v>103</v>
      </c>
      <c r="H680" s="50">
        <v>0.70499999999999996</v>
      </c>
      <c r="I680" s="50">
        <v>148</v>
      </c>
      <c r="J680" s="50">
        <v>1414</v>
      </c>
      <c r="K680" s="50">
        <v>2900</v>
      </c>
      <c r="L680" s="50">
        <v>0.3</v>
      </c>
      <c r="M680" s="50">
        <v>119.64</v>
      </c>
      <c r="N680" s="51">
        <v>51.17</v>
      </c>
      <c r="O680" s="43">
        <f t="shared" si="137"/>
        <v>0.7</v>
      </c>
      <c r="P680" s="43">
        <f t="shared" si="127"/>
        <v>2766.6760129962613</v>
      </c>
      <c r="Q680" s="43">
        <f t="shared" si="128"/>
        <v>9.0137002152934482E-5</v>
      </c>
      <c r="R680" s="43">
        <v>35</v>
      </c>
      <c r="S680" s="43">
        <f t="shared" si="129"/>
        <v>0.14583333333333334</v>
      </c>
      <c r="T680" s="43">
        <f t="shared" si="130"/>
        <v>7.043752903060283</v>
      </c>
      <c r="U680" s="43" t="str" cm="1">
        <f t="array" ref="U680">_xlfn.IFS(T680&lt;3,"Group I",T680&lt;5,"Group II",T680&lt;10,"Group III",T680&lt;20,"Group IV",T680&lt;50,"Group V",T680&lt;100,"Group VI",T680&lt;200,"Group VII",T680&lt;500,"Group VIII",T680&lt;1000,"Group IX",TRUE,"Group X")</f>
        <v>Group III</v>
      </c>
      <c r="V680" s="43">
        <f t="shared" si="131"/>
        <v>0.84780411238330355</v>
      </c>
      <c r="W680" s="43">
        <f t="shared" si="132"/>
        <v>0.93191472972972966</v>
      </c>
      <c r="X680" s="43">
        <f t="shared" si="138"/>
        <v>-3.0623823806996357E-2</v>
      </c>
      <c r="Y680" s="43">
        <f t="shared" si="133"/>
        <v>0.42769976596456039</v>
      </c>
      <c r="Z680" s="43">
        <f t="shared" si="139"/>
        <v>-0.36886098738716322</v>
      </c>
      <c r="AA680" s="43">
        <f t="shared" si="140"/>
        <v>0.39945267562147757</v>
      </c>
      <c r="AB680" s="43">
        <f t="shared" si="141"/>
        <v>0.33524386972414272</v>
      </c>
    </row>
    <row r="681" spans="1:28">
      <c r="A681" s="48" t="s">
        <v>62</v>
      </c>
      <c r="B681" s="50">
        <v>100</v>
      </c>
      <c r="C681" s="50">
        <v>300</v>
      </c>
      <c r="D681" s="50">
        <v>2.3290000000000002</v>
      </c>
      <c r="E681" s="50">
        <v>1787.4310129962612</v>
      </c>
      <c r="F681" s="50">
        <v>13174.292326864874</v>
      </c>
      <c r="G681" s="57" t="s">
        <v>103</v>
      </c>
      <c r="H681" s="50">
        <v>0.70499999999999996</v>
      </c>
      <c r="I681" s="50">
        <v>148</v>
      </c>
      <c r="J681" s="50">
        <v>1414</v>
      </c>
      <c r="K681" s="50">
        <v>2900</v>
      </c>
      <c r="L681" s="50">
        <v>0.3</v>
      </c>
      <c r="M681" s="50">
        <v>172.5</v>
      </c>
      <c r="N681" s="51">
        <v>63.9</v>
      </c>
      <c r="O681" s="43">
        <f t="shared" si="137"/>
        <v>0.7</v>
      </c>
      <c r="P681" s="43">
        <f t="shared" si="127"/>
        <v>2766.6760129962613</v>
      </c>
      <c r="Q681" s="43">
        <f t="shared" si="128"/>
        <v>9.0137002152934482E-5</v>
      </c>
      <c r="R681" s="43">
        <v>35</v>
      </c>
      <c r="S681" s="43">
        <f t="shared" si="129"/>
        <v>0.33333333333333331</v>
      </c>
      <c r="T681" s="43">
        <f t="shared" si="130"/>
        <v>5.6922119345786948</v>
      </c>
      <c r="U681" s="43" t="str" cm="1">
        <f t="array" ref="U681">_xlfn.IFS(T681&lt;3,"Group I",T681&lt;5,"Group II",T681&lt;10,"Group III",T681&lt;20,"Group IV",T681&lt;50,"Group V",T681&lt;100,"Group VI",T681&lt;200,"Group VII",T681&lt;500,"Group VIII",T681&lt;1000,"Group IX",TRUE,"Group X")</f>
        <v>Group III</v>
      </c>
      <c r="V681" s="43">
        <f t="shared" si="131"/>
        <v>0.75528106152899988</v>
      </c>
      <c r="W681" s="43">
        <f t="shared" si="132"/>
        <v>0.11648934121621621</v>
      </c>
      <c r="X681" s="43">
        <f t="shared" si="138"/>
        <v>-0.93371381079893989</v>
      </c>
      <c r="Y681" s="43">
        <f t="shared" si="133"/>
        <v>0.37043478260869567</v>
      </c>
      <c r="Z681" s="43">
        <f t="shared" si="139"/>
        <v>-0.43128824125089277</v>
      </c>
      <c r="AA681" s="43">
        <f t="shared" si="140"/>
        <v>0.29398848955083923</v>
      </c>
      <c r="AB681" s="43">
        <f t="shared" si="141"/>
        <v>0.31462862203817832</v>
      </c>
    </row>
    <row r="682" spans="1:28">
      <c r="A682" s="48" t="s">
        <v>62</v>
      </c>
      <c r="B682" s="50">
        <v>150</v>
      </c>
      <c r="C682" s="50">
        <v>300</v>
      </c>
      <c r="D682" s="50">
        <v>2.3290000000000002</v>
      </c>
      <c r="E682" s="50">
        <v>1787.4310129962612</v>
      </c>
      <c r="F682" s="50">
        <v>13174.292326864874</v>
      </c>
      <c r="G682" s="57" t="s">
        <v>103</v>
      </c>
      <c r="H682" s="50">
        <v>0.70499999999999996</v>
      </c>
      <c r="I682" s="50">
        <v>148</v>
      </c>
      <c r="J682" s="50">
        <v>1414</v>
      </c>
      <c r="K682" s="50">
        <v>2900</v>
      </c>
      <c r="L682" s="50">
        <v>0.3</v>
      </c>
      <c r="M682" s="50">
        <v>268.27999999999997</v>
      </c>
      <c r="N682" s="51">
        <v>197.33</v>
      </c>
      <c r="O682" s="43">
        <f t="shared" si="137"/>
        <v>0.7</v>
      </c>
      <c r="P682" s="43">
        <f t="shared" si="127"/>
        <v>2766.6760129962613</v>
      </c>
      <c r="Q682" s="43">
        <f t="shared" si="128"/>
        <v>9.0137002152934482E-5</v>
      </c>
      <c r="R682" s="43">
        <v>35</v>
      </c>
      <c r="S682" s="43">
        <f t="shared" si="129"/>
        <v>0.5</v>
      </c>
      <c r="T682" s="43">
        <f t="shared" si="130"/>
        <v>8.5383179018680426</v>
      </c>
      <c r="U682" s="43" t="str" cm="1">
        <f t="array" ref="U682">_xlfn.IFS(T682&lt;3,"Group I",T682&lt;5,"Group II",T682&lt;10,"Group III",T682&lt;20,"Group IV",T682&lt;50,"Group V",T682&lt;100,"Group VI",T682&lt;200,"Group VII",T682&lt;500,"Group VIII",T682&lt;1000,"Group IX",TRUE,"Group X")</f>
        <v>Group III</v>
      </c>
      <c r="V682" s="43">
        <f t="shared" si="131"/>
        <v>0.93137232058468111</v>
      </c>
      <c r="W682" s="43">
        <f t="shared" si="132"/>
        <v>0.11648934121621621</v>
      </c>
      <c r="X682" s="43">
        <f t="shared" si="138"/>
        <v>-0.93371381079893989</v>
      </c>
      <c r="Y682" s="43">
        <f t="shared" si="133"/>
        <v>0.73553749813627567</v>
      </c>
      <c r="Z682" s="43">
        <f t="shared" si="139"/>
        <v>-0.13339518178275467</v>
      </c>
      <c r="AA682" s="43">
        <f t="shared" si="140"/>
        <v>0.4409827343262589</v>
      </c>
      <c r="AB682" s="43">
        <f t="shared" si="141"/>
        <v>0.35502244801935673</v>
      </c>
    </row>
    <row r="683" spans="1:28">
      <c r="A683" s="48" t="s">
        <v>62</v>
      </c>
      <c r="B683" s="50">
        <v>200</v>
      </c>
      <c r="C683" s="50">
        <v>300</v>
      </c>
      <c r="D683" s="50">
        <v>2.3290000000000002</v>
      </c>
      <c r="E683" s="50">
        <v>1787.4310129962612</v>
      </c>
      <c r="F683" s="50">
        <v>13174.292326864874</v>
      </c>
      <c r="G683" s="57" t="s">
        <v>103</v>
      </c>
      <c r="H683" s="50">
        <v>0.70499999999999996</v>
      </c>
      <c r="I683" s="50">
        <v>148</v>
      </c>
      <c r="J683" s="50">
        <v>1414</v>
      </c>
      <c r="K683" s="50">
        <v>2900</v>
      </c>
      <c r="L683" s="50">
        <v>0.3</v>
      </c>
      <c r="M683" s="50">
        <v>286.89999999999998</v>
      </c>
      <c r="N683" s="51">
        <v>295.66000000000003</v>
      </c>
      <c r="O683" s="43">
        <f t="shared" si="137"/>
        <v>0.7</v>
      </c>
      <c r="P683" s="43">
        <f t="shared" si="127"/>
        <v>2766.6760129962613</v>
      </c>
      <c r="Q683" s="43">
        <f t="shared" si="128"/>
        <v>9.0137002152934482E-5</v>
      </c>
      <c r="R683" s="43">
        <v>35</v>
      </c>
      <c r="S683" s="43">
        <f t="shared" si="129"/>
        <v>0.66666666666666663</v>
      </c>
      <c r="T683" s="43">
        <f t="shared" si="130"/>
        <v>11.38442386915739</v>
      </c>
      <c r="U683" s="43" t="str" cm="1">
        <f t="array" ref="U683">_xlfn.IFS(T683&lt;3,"Group I",T683&lt;5,"Group II",T683&lt;10,"Group III",T683&lt;20,"Group IV",T683&lt;50,"Group V",T683&lt;100,"Group VI",T683&lt;200,"Group VII",T683&lt;500,"Group VIII",T683&lt;1000,"Group IX",TRUE,"Group X")</f>
        <v>Group IV</v>
      </c>
      <c r="V683" s="43">
        <f t="shared" si="131"/>
        <v>1.056311057192981</v>
      </c>
      <c r="W683" s="43">
        <f t="shared" si="132"/>
        <v>0.11648934121621621</v>
      </c>
      <c r="X683" s="43">
        <f t="shared" si="138"/>
        <v>-0.93371381079893989</v>
      </c>
      <c r="Y683" s="43">
        <f t="shared" si="133"/>
        <v>1.0305332868595332</v>
      </c>
      <c r="Z683" s="43">
        <f t="shared" si="139"/>
        <v>1.3062024320897798E-2</v>
      </c>
      <c r="AA683" s="43">
        <f t="shared" si="140"/>
        <v>0.58797697910167845</v>
      </c>
      <c r="AB683" s="43">
        <f t="shared" si="141"/>
        <v>0.38678984552620482</v>
      </c>
    </row>
    <row r="684" spans="1:28">
      <c r="A684" s="48" t="s">
        <v>62</v>
      </c>
      <c r="B684" s="50">
        <v>250</v>
      </c>
      <c r="C684" s="50">
        <v>300</v>
      </c>
      <c r="D684" s="50">
        <v>2.3290000000000002</v>
      </c>
      <c r="E684" s="50">
        <v>1787.4310129962612</v>
      </c>
      <c r="F684" s="50">
        <v>13174.292326864874</v>
      </c>
      <c r="G684" s="57" t="s">
        <v>103</v>
      </c>
      <c r="H684" s="50">
        <v>0.70499999999999996</v>
      </c>
      <c r="I684" s="50">
        <v>148</v>
      </c>
      <c r="J684" s="50">
        <v>1414</v>
      </c>
      <c r="K684" s="50">
        <v>2900</v>
      </c>
      <c r="L684" s="50">
        <v>0.3</v>
      </c>
      <c r="M684" s="50">
        <v>291.77999999999997</v>
      </c>
      <c r="N684" s="51">
        <v>376.95</v>
      </c>
      <c r="O684" s="43">
        <f t="shared" si="137"/>
        <v>0.7</v>
      </c>
      <c r="P684" s="43">
        <f t="shared" si="127"/>
        <v>2766.6760129962613</v>
      </c>
      <c r="Q684" s="43">
        <f t="shared" si="128"/>
        <v>9.0137002152934482E-5</v>
      </c>
      <c r="R684" s="43">
        <v>35</v>
      </c>
      <c r="S684" s="43">
        <f t="shared" si="129"/>
        <v>0.83333333333333337</v>
      </c>
      <c r="T684" s="43">
        <f t="shared" si="130"/>
        <v>14.230529836446737</v>
      </c>
      <c r="U684" s="43" t="str" cm="1">
        <f t="array" ref="U684">_xlfn.IFS(T684&lt;3,"Group I",T684&lt;5,"Group II",T684&lt;10,"Group III",T684&lt;20,"Group IV",T684&lt;50,"Group V",T684&lt;100,"Group VI",T684&lt;200,"Group VII",T684&lt;500,"Group VIII",T684&lt;1000,"Group IX",TRUE,"Group X")</f>
        <v>Group IV</v>
      </c>
      <c r="V684" s="43">
        <f t="shared" si="131"/>
        <v>1.1532210702010375</v>
      </c>
      <c r="W684" s="43">
        <f t="shared" si="132"/>
        <v>0.11648934121621621</v>
      </c>
      <c r="X684" s="43">
        <f t="shared" si="138"/>
        <v>-0.93371381079893989</v>
      </c>
      <c r="Y684" s="43">
        <f t="shared" si="133"/>
        <v>1.2918980053464939</v>
      </c>
      <c r="Z684" s="43">
        <f t="shared" si="139"/>
        <v>0.1112282276964362</v>
      </c>
      <c r="AA684" s="43">
        <f t="shared" si="140"/>
        <v>0.73497122387709801</v>
      </c>
      <c r="AB684" s="43">
        <f t="shared" si="141"/>
        <v>0.41337533208556571</v>
      </c>
    </row>
    <row r="685" spans="1:28">
      <c r="A685" s="48" t="s">
        <v>62</v>
      </c>
      <c r="B685" s="50">
        <v>300</v>
      </c>
      <c r="C685" s="50">
        <v>300</v>
      </c>
      <c r="D685" s="50">
        <v>2.3290000000000002</v>
      </c>
      <c r="E685" s="50">
        <v>1787.4310129962612</v>
      </c>
      <c r="F685" s="50">
        <v>13174.292326864874</v>
      </c>
      <c r="G685" s="57" t="s">
        <v>103</v>
      </c>
      <c r="H685" s="50">
        <v>0.70499999999999996</v>
      </c>
      <c r="I685" s="50">
        <v>148</v>
      </c>
      <c r="J685" s="50">
        <v>1414</v>
      </c>
      <c r="K685" s="50">
        <v>2900</v>
      </c>
      <c r="L685" s="50">
        <v>0.3</v>
      </c>
      <c r="M685" s="50">
        <v>319.11</v>
      </c>
      <c r="N685" s="51">
        <v>483</v>
      </c>
      <c r="O685" s="43">
        <f t="shared" si="137"/>
        <v>0.7</v>
      </c>
      <c r="P685" s="43">
        <f t="shared" si="127"/>
        <v>2766.6760129962613</v>
      </c>
      <c r="Q685" s="43">
        <f t="shared" si="128"/>
        <v>9.0137002152934482E-5</v>
      </c>
      <c r="R685" s="43">
        <v>35</v>
      </c>
      <c r="S685" s="43">
        <f t="shared" si="129"/>
        <v>1</v>
      </c>
      <c r="T685" s="43">
        <f t="shared" si="130"/>
        <v>17.076635803736085</v>
      </c>
      <c r="U685" s="43" t="str" cm="1">
        <f t="array" ref="U685">_xlfn.IFS(T685&lt;3,"Group I",T685&lt;5,"Group II",T685&lt;10,"Group III",T685&lt;20,"Group IV",T685&lt;50,"Group V",T685&lt;100,"Group VI",T685&lt;200,"Group VII",T685&lt;500,"Group VIII",T685&lt;1000,"Group IX",TRUE,"Group X")</f>
        <v>Group IV</v>
      </c>
      <c r="V685" s="43">
        <f t="shared" si="131"/>
        <v>1.2324023162486624</v>
      </c>
      <c r="W685" s="43">
        <f t="shared" si="132"/>
        <v>0.11648934121621621</v>
      </c>
      <c r="X685" s="43">
        <f t="shared" si="138"/>
        <v>-0.93371381079893989</v>
      </c>
      <c r="Y685" s="43">
        <f t="shared" si="133"/>
        <v>1.5135846573281939</v>
      </c>
      <c r="Z685" s="43">
        <f t="shared" si="139"/>
        <v>0.18000671679062297</v>
      </c>
      <c r="AA685" s="43">
        <f t="shared" si="140"/>
        <v>0.88196546865251779</v>
      </c>
      <c r="AB685" s="43">
        <f t="shared" si="141"/>
        <v>0.43644814301439877</v>
      </c>
    </row>
    <row r="686" spans="1:28">
      <c r="A686" s="48" t="s">
        <v>62</v>
      </c>
      <c r="B686" s="50">
        <v>100</v>
      </c>
      <c r="C686" s="50">
        <v>600</v>
      </c>
      <c r="D686" s="50">
        <v>2.3290000000000002</v>
      </c>
      <c r="E686" s="50">
        <v>1787.4310129962612</v>
      </c>
      <c r="F686" s="50">
        <v>13174.292326864874</v>
      </c>
      <c r="G686" s="57" t="s">
        <v>103</v>
      </c>
      <c r="H686" s="50">
        <v>0.70499999999999996</v>
      </c>
      <c r="I686" s="50">
        <v>148</v>
      </c>
      <c r="J686" s="50">
        <v>1414</v>
      </c>
      <c r="K686" s="50">
        <v>2900</v>
      </c>
      <c r="L686" s="50">
        <v>0.3</v>
      </c>
      <c r="M686" s="50">
        <v>83.24</v>
      </c>
      <c r="N686" s="51">
        <v>36.54</v>
      </c>
      <c r="O686" s="43">
        <f t="shared" ref="O686:O695" si="142">1-L686</f>
        <v>0.7</v>
      </c>
      <c r="P686" s="43">
        <f t="shared" si="127"/>
        <v>2766.6760129962613</v>
      </c>
      <c r="Q686" s="43">
        <f t="shared" si="128"/>
        <v>9.0137002152934482E-5</v>
      </c>
      <c r="R686" s="43">
        <v>35</v>
      </c>
      <c r="S686" s="43">
        <f t="shared" si="129"/>
        <v>0.16666666666666666</v>
      </c>
      <c r="T686" s="43">
        <f t="shared" si="130"/>
        <v>4.0250016588915907</v>
      </c>
      <c r="U686" s="43" t="str" cm="1">
        <f t="array" ref="U686">_xlfn.IFS(T686&lt;3,"Group I",T686&lt;5,"Group II",T686&lt;10,"Group III",T686&lt;20,"Group IV",T686&lt;50,"Group V",T686&lt;100,"Group VI",T686&lt;200,"Group VII",T686&lt;500,"Group VIII",T686&lt;1000,"Group IX",TRUE,"Group X")</f>
        <v>Group II</v>
      </c>
      <c r="V686" s="43">
        <f t="shared" si="131"/>
        <v>0.60476606369700914</v>
      </c>
      <c r="W686" s="43">
        <f t="shared" si="132"/>
        <v>0.23297868243243242</v>
      </c>
      <c r="X686" s="43">
        <f t="shared" si="138"/>
        <v>-0.63268381513495875</v>
      </c>
      <c r="Y686" s="43">
        <f t="shared" si="133"/>
        <v>0.43897164824603557</v>
      </c>
      <c r="Z686" s="43">
        <f t="shared" si="139"/>
        <v>-0.35756352852307033</v>
      </c>
      <c r="AA686" s="43">
        <f t="shared" si="140"/>
        <v>0.21446313393169067</v>
      </c>
      <c r="AB686" s="43">
        <f t="shared" si="141"/>
        <v>0.28376564194788256</v>
      </c>
    </row>
    <row r="687" spans="1:28">
      <c r="A687" s="48" t="s">
        <v>62</v>
      </c>
      <c r="B687" s="50">
        <v>150</v>
      </c>
      <c r="C687" s="50">
        <v>600</v>
      </c>
      <c r="D687" s="50">
        <v>2.3290000000000002</v>
      </c>
      <c r="E687" s="50">
        <v>1787.4310129962612</v>
      </c>
      <c r="F687" s="50">
        <v>13174.292326864874</v>
      </c>
      <c r="G687" s="57" t="s">
        <v>103</v>
      </c>
      <c r="H687" s="50">
        <v>0.70499999999999996</v>
      </c>
      <c r="I687" s="50">
        <v>148</v>
      </c>
      <c r="J687" s="50">
        <v>1414</v>
      </c>
      <c r="K687" s="50">
        <v>2900</v>
      </c>
      <c r="L687" s="50">
        <v>0.3</v>
      </c>
      <c r="M687" s="50">
        <v>142</v>
      </c>
      <c r="N687" s="51">
        <v>119.45</v>
      </c>
      <c r="O687" s="43">
        <f t="shared" si="142"/>
        <v>0.7</v>
      </c>
      <c r="P687" s="43">
        <f t="shared" si="127"/>
        <v>2766.6760129962613</v>
      </c>
      <c r="Q687" s="43">
        <f t="shared" si="128"/>
        <v>9.0137002152934482E-5</v>
      </c>
      <c r="R687" s="43">
        <v>35</v>
      </c>
      <c r="S687" s="43">
        <f t="shared" si="129"/>
        <v>0.25</v>
      </c>
      <c r="T687" s="43">
        <f t="shared" si="130"/>
        <v>6.0375024883373865</v>
      </c>
      <c r="U687" s="43" t="str" cm="1">
        <f t="array" ref="U687">_xlfn.IFS(T687&lt;3,"Group I",T687&lt;5,"Group II",T687&lt;10,"Group III",T687&lt;20,"Group IV",T687&lt;50,"Group V",T687&lt;100,"Group VI",T687&lt;200,"Group VII",T687&lt;500,"Group VIII",T687&lt;1000,"Group IX",TRUE,"Group X")</f>
        <v>Group III</v>
      </c>
      <c r="V687" s="43">
        <f t="shared" si="131"/>
        <v>0.78085732275269049</v>
      </c>
      <c r="W687" s="43">
        <f t="shared" si="132"/>
        <v>0.23297868243243242</v>
      </c>
      <c r="X687" s="43">
        <f t="shared" si="138"/>
        <v>-0.63268381513495875</v>
      </c>
      <c r="Y687" s="43">
        <f t="shared" si="133"/>
        <v>0.84119718309859159</v>
      </c>
      <c r="Z687" s="43">
        <f t="shared" si="139"/>
        <v>-7.5102190297159768E-2</v>
      </c>
      <c r="AA687" s="43">
        <f t="shared" si="140"/>
        <v>0.32169470089753605</v>
      </c>
      <c r="AB687" s="43">
        <f t="shared" si="141"/>
        <v>0.3201971016352636</v>
      </c>
    </row>
    <row r="688" spans="1:28">
      <c r="A688" s="48" t="s">
        <v>62</v>
      </c>
      <c r="B688" s="50">
        <v>200</v>
      </c>
      <c r="C688" s="50">
        <v>600</v>
      </c>
      <c r="D688" s="50">
        <v>2.3290000000000002</v>
      </c>
      <c r="E688" s="50">
        <v>1787.4310129962612</v>
      </c>
      <c r="F688" s="50">
        <v>13174.292326864874</v>
      </c>
      <c r="G688" s="57" t="s">
        <v>103</v>
      </c>
      <c r="H688" s="50">
        <v>0.70499999999999996</v>
      </c>
      <c r="I688" s="50">
        <v>148</v>
      </c>
      <c r="J688" s="50">
        <v>1414</v>
      </c>
      <c r="K688" s="50">
        <v>2900</v>
      </c>
      <c r="L688" s="50">
        <v>0.3</v>
      </c>
      <c r="M688" s="50">
        <v>167.35</v>
      </c>
      <c r="N688" s="51">
        <v>180.22</v>
      </c>
      <c r="O688" s="43">
        <f t="shared" si="142"/>
        <v>0.7</v>
      </c>
      <c r="P688" s="43">
        <f t="shared" si="127"/>
        <v>2766.6760129962613</v>
      </c>
      <c r="Q688" s="43">
        <f t="shared" si="128"/>
        <v>9.0137002152934482E-5</v>
      </c>
      <c r="R688" s="43">
        <v>35</v>
      </c>
      <c r="S688" s="43">
        <f t="shared" si="129"/>
        <v>0.33333333333333331</v>
      </c>
      <c r="T688" s="43">
        <f t="shared" si="130"/>
        <v>8.0500033177831813</v>
      </c>
      <c r="U688" s="43" t="str" cm="1">
        <f t="array" ref="U688">_xlfn.IFS(T688&lt;3,"Group I",T688&lt;5,"Group II",T688&lt;10,"Group III",T688&lt;20,"Group IV",T688&lt;50,"Group V",T688&lt;100,"Group VI",T688&lt;200,"Group VII",T688&lt;500,"Group VIII",T688&lt;1000,"Group IX",TRUE,"Group X")</f>
        <v>Group III</v>
      </c>
      <c r="V688" s="43">
        <f t="shared" si="131"/>
        <v>0.90579605936099039</v>
      </c>
      <c r="W688" s="43">
        <f t="shared" si="132"/>
        <v>0.23297868243243242</v>
      </c>
      <c r="X688" s="43">
        <f t="shared" si="138"/>
        <v>-0.63268381513495875</v>
      </c>
      <c r="Y688" s="43">
        <f t="shared" si="133"/>
        <v>1.0769046907678519</v>
      </c>
      <c r="Z688" s="43">
        <f t="shared" si="139"/>
        <v>3.2177268659902385E-2</v>
      </c>
      <c r="AA688" s="43">
        <f t="shared" si="140"/>
        <v>0.42892626786338134</v>
      </c>
      <c r="AB688" s="43">
        <f t="shared" si="141"/>
        <v>0.34884832824061185</v>
      </c>
    </row>
    <row r="689" spans="1:28">
      <c r="A689" s="48" t="s">
        <v>62</v>
      </c>
      <c r="B689" s="50">
        <v>250</v>
      </c>
      <c r="C689" s="50">
        <v>600</v>
      </c>
      <c r="D689" s="50">
        <v>2.3290000000000002</v>
      </c>
      <c r="E689" s="50">
        <v>1787.4310129962612</v>
      </c>
      <c r="F689" s="50">
        <v>13174.292326864874</v>
      </c>
      <c r="G689" s="57" t="s">
        <v>103</v>
      </c>
      <c r="H689" s="50">
        <v>0.70499999999999996</v>
      </c>
      <c r="I689" s="50">
        <v>148</v>
      </c>
      <c r="J689" s="50">
        <v>1414</v>
      </c>
      <c r="K689" s="50">
        <v>2900</v>
      </c>
      <c r="L689" s="50">
        <v>0.3</v>
      </c>
      <c r="M689" s="50">
        <v>190.53</v>
      </c>
      <c r="N689" s="51">
        <v>258.24</v>
      </c>
      <c r="O689" s="43">
        <f t="shared" si="142"/>
        <v>0.7</v>
      </c>
      <c r="P689" s="43">
        <f t="shared" si="127"/>
        <v>2766.6760129962613</v>
      </c>
      <c r="Q689" s="43">
        <f t="shared" si="128"/>
        <v>9.0137002152934482E-5</v>
      </c>
      <c r="R689" s="43">
        <v>35</v>
      </c>
      <c r="S689" s="43">
        <f t="shared" si="129"/>
        <v>0.41666666666666669</v>
      </c>
      <c r="T689" s="43">
        <f t="shared" si="130"/>
        <v>10.062504147228976</v>
      </c>
      <c r="U689" s="43" t="str" cm="1">
        <f t="array" ref="U689">_xlfn.IFS(T689&lt;3,"Group I",T689&lt;5,"Group II",T689&lt;10,"Group III",T689&lt;20,"Group IV",T689&lt;50,"Group V",T689&lt;100,"Group VI",T689&lt;200,"Group VII",T689&lt;500,"Group VIII",T689&lt;1000,"Group IX",TRUE,"Group X")</f>
        <v>Group IV</v>
      </c>
      <c r="V689" s="43">
        <f t="shared" si="131"/>
        <v>1.0027060723690469</v>
      </c>
      <c r="W689" s="43">
        <f t="shared" si="132"/>
        <v>0.23297868243243242</v>
      </c>
      <c r="X689" s="43">
        <f t="shared" si="138"/>
        <v>-0.63268381513495875</v>
      </c>
      <c r="Y689" s="43">
        <f t="shared" si="133"/>
        <v>1.3553771059675641</v>
      </c>
      <c r="Z689" s="43">
        <f t="shared" si="139"/>
        <v>0.1320601455832395</v>
      </c>
      <c r="AA689" s="43">
        <f t="shared" si="140"/>
        <v>0.53615783482922663</v>
      </c>
      <c r="AB689" s="43">
        <f t="shared" si="141"/>
        <v>0.3728259549776301</v>
      </c>
    </row>
    <row r="690" spans="1:28">
      <c r="A690" s="48" t="s">
        <v>62</v>
      </c>
      <c r="B690" s="50">
        <v>300</v>
      </c>
      <c r="C690" s="50">
        <v>600</v>
      </c>
      <c r="D690" s="50">
        <v>2.3290000000000002</v>
      </c>
      <c r="E690" s="50">
        <v>1787.4310129962612</v>
      </c>
      <c r="F690" s="50">
        <v>13174.292326864874</v>
      </c>
      <c r="G690" s="57" t="s">
        <v>103</v>
      </c>
      <c r="H690" s="50">
        <v>0.70499999999999996</v>
      </c>
      <c r="I690" s="50">
        <v>148</v>
      </c>
      <c r="J690" s="50">
        <v>1414</v>
      </c>
      <c r="K690" s="50">
        <v>2900</v>
      </c>
      <c r="L690" s="50">
        <v>0.3</v>
      </c>
      <c r="M690" s="50">
        <v>243.17</v>
      </c>
      <c r="N690" s="51">
        <v>317.97000000000003</v>
      </c>
      <c r="O690" s="43">
        <f t="shared" si="142"/>
        <v>0.7</v>
      </c>
      <c r="P690" s="43">
        <f t="shared" si="127"/>
        <v>2766.6760129962613</v>
      </c>
      <c r="Q690" s="43">
        <f t="shared" si="128"/>
        <v>9.0137002152934482E-5</v>
      </c>
      <c r="R690" s="43">
        <v>35</v>
      </c>
      <c r="S690" s="43">
        <f t="shared" si="129"/>
        <v>0.5</v>
      </c>
      <c r="T690" s="43">
        <f t="shared" si="130"/>
        <v>12.075004976674773</v>
      </c>
      <c r="U690" s="43" t="str" cm="1">
        <f t="array" ref="U690">_xlfn.IFS(T690&lt;3,"Group I",T690&lt;5,"Group II",T690&lt;10,"Group III",T690&lt;20,"Group IV",T690&lt;50,"Group V",T690&lt;100,"Group VI",T690&lt;200,"Group VII",T690&lt;500,"Group VIII",T690&lt;1000,"Group IX",TRUE,"Group X")</f>
        <v>Group IV</v>
      </c>
      <c r="V690" s="43">
        <f t="shared" si="131"/>
        <v>1.0818873184166717</v>
      </c>
      <c r="W690" s="43">
        <f t="shared" si="132"/>
        <v>0.23297868243243242</v>
      </c>
      <c r="X690" s="43">
        <f t="shared" si="138"/>
        <v>-0.63268381513495875</v>
      </c>
      <c r="Y690" s="43">
        <f t="shared" si="133"/>
        <v>1.307603734013242</v>
      </c>
      <c r="Z690" s="43">
        <f t="shared" si="139"/>
        <v>0.11647615208807362</v>
      </c>
      <c r="AA690" s="43">
        <f t="shared" si="140"/>
        <v>0.64338940179507209</v>
      </c>
      <c r="AB690" s="43">
        <f t="shared" si="141"/>
        <v>0.39363547625496625</v>
      </c>
    </row>
    <row r="691" spans="1:28">
      <c r="A691" s="48" t="s">
        <v>62</v>
      </c>
      <c r="B691" s="50">
        <v>100</v>
      </c>
      <c r="C691" s="50">
        <v>900</v>
      </c>
      <c r="D691" s="50">
        <v>2.3290000000000002</v>
      </c>
      <c r="E691" s="50">
        <v>1787.4310129962612</v>
      </c>
      <c r="F691" s="50">
        <v>13174.292326864874</v>
      </c>
      <c r="G691" s="57" t="s">
        <v>103</v>
      </c>
      <c r="H691" s="50">
        <v>0.70499999999999996</v>
      </c>
      <c r="I691" s="50">
        <v>148</v>
      </c>
      <c r="J691" s="50">
        <v>1414</v>
      </c>
      <c r="K691" s="50">
        <v>2900</v>
      </c>
      <c r="L691" s="50">
        <v>0.3</v>
      </c>
      <c r="M691" s="50">
        <v>72.739999999999995</v>
      </c>
      <c r="N691" s="51">
        <v>27.35</v>
      </c>
      <c r="O691" s="43">
        <f t="shared" si="142"/>
        <v>0.7</v>
      </c>
      <c r="P691" s="43">
        <f t="shared" si="127"/>
        <v>2766.6760129962613</v>
      </c>
      <c r="Q691" s="43">
        <f t="shared" si="128"/>
        <v>9.0137002152934482E-5</v>
      </c>
      <c r="R691" s="43">
        <v>35</v>
      </c>
      <c r="S691" s="43">
        <f t="shared" si="129"/>
        <v>0.1111111111111111</v>
      </c>
      <c r="T691" s="43">
        <f t="shared" si="130"/>
        <v>3.2864000927134089</v>
      </c>
      <c r="U691" s="43" t="str" cm="1">
        <f t="array" ref="U691">_xlfn.IFS(T691&lt;3,"Group I",T691&lt;5,"Group II",T691&lt;10,"Group III",T691&lt;20,"Group IV",T691&lt;50,"Group V",T691&lt;100,"Group VI",T691&lt;200,"Group VII",T691&lt;500,"Group VIII",T691&lt;1000,"Group IX",TRUE,"Group X")</f>
        <v>Group II</v>
      </c>
      <c r="V691" s="43">
        <f t="shared" si="131"/>
        <v>0.51672043416916846</v>
      </c>
      <c r="W691" s="43">
        <f t="shared" si="132"/>
        <v>0.34946802364864865</v>
      </c>
      <c r="X691" s="43">
        <f t="shared" si="138"/>
        <v>-0.45659255607927746</v>
      </c>
      <c r="Y691" s="43">
        <f t="shared" si="133"/>
        <v>0.37599670057739898</v>
      </c>
      <c r="Z691" s="43">
        <f t="shared" si="139"/>
        <v>-0.42481596604924349</v>
      </c>
      <c r="AA691" s="43">
        <f t="shared" si="140"/>
        <v>0.17833058834865476</v>
      </c>
      <c r="AB691" s="43">
        <f t="shared" si="141"/>
        <v>0.2671351380113175</v>
      </c>
    </row>
    <row r="692" spans="1:28">
      <c r="A692" s="48" t="s">
        <v>62</v>
      </c>
      <c r="B692" s="50">
        <v>150</v>
      </c>
      <c r="C692" s="50">
        <v>900</v>
      </c>
      <c r="D692" s="50">
        <v>2.3290000000000002</v>
      </c>
      <c r="E692" s="50">
        <v>1787.4310129962612</v>
      </c>
      <c r="F692" s="50">
        <v>13174.292326864874</v>
      </c>
      <c r="G692" s="57" t="s">
        <v>103</v>
      </c>
      <c r="H692" s="50">
        <v>0.70499999999999996</v>
      </c>
      <c r="I692" s="50">
        <v>148</v>
      </c>
      <c r="J692" s="50">
        <v>1414</v>
      </c>
      <c r="K692" s="50">
        <v>2900</v>
      </c>
      <c r="L692" s="50">
        <v>0.3</v>
      </c>
      <c r="M692" s="50">
        <v>128.46</v>
      </c>
      <c r="N692" s="51">
        <v>58.39</v>
      </c>
      <c r="O692" s="43">
        <f t="shared" si="142"/>
        <v>0.7</v>
      </c>
      <c r="P692" s="43">
        <f t="shared" si="127"/>
        <v>2766.6760129962613</v>
      </c>
      <c r="Q692" s="43">
        <f t="shared" si="128"/>
        <v>9.0137002152934482E-5</v>
      </c>
      <c r="R692" s="43">
        <v>35</v>
      </c>
      <c r="S692" s="43">
        <f t="shared" si="129"/>
        <v>0.16666666666666666</v>
      </c>
      <c r="T692" s="43">
        <f t="shared" si="130"/>
        <v>4.9296001390701134</v>
      </c>
      <c r="U692" s="43" t="str" cm="1">
        <f t="array" ref="U692">_xlfn.IFS(T692&lt;3,"Group I",T692&lt;5,"Group II",T692&lt;10,"Group III",T692&lt;20,"Group IV",T692&lt;50,"Group V",T692&lt;100,"Group VI",T692&lt;200,"Group VII",T692&lt;500,"Group VIII",T692&lt;1000,"Group IX",TRUE,"Group X")</f>
        <v>Group II</v>
      </c>
      <c r="V692" s="43">
        <f t="shared" si="131"/>
        <v>0.6928116932248497</v>
      </c>
      <c r="W692" s="43">
        <f t="shared" si="132"/>
        <v>0.34946802364864865</v>
      </c>
      <c r="X692" s="43">
        <f t="shared" ref="X692:X695" si="143">LOG(W692)</f>
        <v>-0.45659255607927746</v>
      </c>
      <c r="Y692" s="43">
        <f t="shared" si="133"/>
        <v>0.45453837770512218</v>
      </c>
      <c r="Z692" s="43">
        <f t="shared" ref="Z692:Z695" si="144">LOG(Y692)</f>
        <v>-0.34242944242679468</v>
      </c>
      <c r="AA692" s="43">
        <f t="shared" ref="AA692:AA695" si="145">(10^-0.7321)*W692^0.04497*T692*0.307</f>
        <v>0.26749588252298212</v>
      </c>
      <c r="AB692" s="43">
        <f t="shared" ref="AB692:AB695" si="146">(10^-0.7272)*T692^0.2979</f>
        <v>0.30143147827554767</v>
      </c>
    </row>
    <row r="693" spans="1:28">
      <c r="A693" s="48" t="s">
        <v>62</v>
      </c>
      <c r="B693" s="50">
        <v>200</v>
      </c>
      <c r="C693" s="50">
        <v>900</v>
      </c>
      <c r="D693" s="50">
        <v>2.3290000000000002</v>
      </c>
      <c r="E693" s="50">
        <v>1787.4310129962612</v>
      </c>
      <c r="F693" s="50">
        <v>13174.292326864874</v>
      </c>
      <c r="G693" s="57" t="s">
        <v>103</v>
      </c>
      <c r="H693" s="50">
        <v>0.70499999999999996</v>
      </c>
      <c r="I693" s="50">
        <v>148</v>
      </c>
      <c r="J693" s="50">
        <v>1414</v>
      </c>
      <c r="K693" s="50">
        <v>2900</v>
      </c>
      <c r="L693" s="50">
        <v>0.3</v>
      </c>
      <c r="M693" s="50">
        <v>172.29</v>
      </c>
      <c r="N693" s="51">
        <v>136.22999999999999</v>
      </c>
      <c r="O693" s="43">
        <f t="shared" si="142"/>
        <v>0.7</v>
      </c>
      <c r="P693" s="43">
        <f t="shared" si="127"/>
        <v>2766.6760129962613</v>
      </c>
      <c r="Q693" s="43">
        <f t="shared" si="128"/>
        <v>9.0137002152934482E-5</v>
      </c>
      <c r="R693" s="43">
        <v>35</v>
      </c>
      <c r="S693" s="43">
        <f t="shared" si="129"/>
        <v>0.22222222222222221</v>
      </c>
      <c r="T693" s="43">
        <f t="shared" si="130"/>
        <v>6.5728001854268179</v>
      </c>
      <c r="U693" s="43" t="str" cm="1">
        <f t="array" ref="U693">_xlfn.IFS(T693&lt;3,"Group I",T693&lt;5,"Group II",T693&lt;10,"Group III",T693&lt;20,"Group IV",T693&lt;50,"Group V",T693&lt;100,"Group VI",T693&lt;200,"Group VII",T693&lt;500,"Group VIII",T693&lt;1000,"Group IX",TRUE,"Group X")</f>
        <v>Group III</v>
      </c>
      <c r="V693" s="43">
        <f t="shared" si="131"/>
        <v>0.81775042983314972</v>
      </c>
      <c r="W693" s="43">
        <f t="shared" si="132"/>
        <v>0.34946802364864865</v>
      </c>
      <c r="X693" s="43">
        <f t="shared" si="143"/>
        <v>-0.45659255607927746</v>
      </c>
      <c r="Y693" s="43">
        <f t="shared" si="133"/>
        <v>0.79070172383771542</v>
      </c>
      <c r="Z693" s="43">
        <f t="shared" si="144"/>
        <v>-0.10198731438019987</v>
      </c>
      <c r="AA693" s="43">
        <f t="shared" si="145"/>
        <v>0.35666117669730951</v>
      </c>
      <c r="AB693" s="43">
        <f t="shared" si="146"/>
        <v>0.32840355749160355</v>
      </c>
    </row>
    <row r="694" spans="1:28">
      <c r="A694" s="48" t="s">
        <v>62</v>
      </c>
      <c r="B694" s="50">
        <v>250</v>
      </c>
      <c r="C694" s="50">
        <v>900</v>
      </c>
      <c r="D694" s="50">
        <v>2.3290000000000002</v>
      </c>
      <c r="E694" s="50">
        <v>1787.4310129962612</v>
      </c>
      <c r="F694" s="50">
        <v>13174.292326864874</v>
      </c>
      <c r="G694" s="57" t="s">
        <v>103</v>
      </c>
      <c r="H694" s="50">
        <v>0.70499999999999996</v>
      </c>
      <c r="I694" s="50">
        <v>148</v>
      </c>
      <c r="J694" s="50">
        <v>1414</v>
      </c>
      <c r="K694" s="50">
        <v>2900</v>
      </c>
      <c r="L694" s="50">
        <v>0.3</v>
      </c>
      <c r="M694" s="50">
        <v>214.49</v>
      </c>
      <c r="N694" s="51">
        <v>184.1</v>
      </c>
      <c r="O694" s="43">
        <f t="shared" si="142"/>
        <v>0.7</v>
      </c>
      <c r="P694" s="43">
        <f t="shared" si="127"/>
        <v>2766.6760129962613</v>
      </c>
      <c r="Q694" s="43">
        <f t="shared" si="128"/>
        <v>9.0137002152934482E-5</v>
      </c>
      <c r="R694" s="43">
        <v>35</v>
      </c>
      <c r="S694" s="43">
        <f t="shared" si="129"/>
        <v>0.27777777777777779</v>
      </c>
      <c r="T694" s="43">
        <f t="shared" si="130"/>
        <v>8.2160002317835232</v>
      </c>
      <c r="U694" s="43" t="str" cm="1">
        <f t="array" ref="U694">_xlfn.IFS(T694&lt;3,"Group I",T694&lt;5,"Group II",T694&lt;10,"Group III",T694&lt;20,"Group IV",T694&lt;50,"Group V",T694&lt;100,"Group VI",T694&lt;200,"Group VII",T694&lt;500,"Group VIII",T694&lt;1000,"Group IX",TRUE,"Group X")</f>
        <v>Group III</v>
      </c>
      <c r="V694" s="43">
        <f t="shared" si="131"/>
        <v>0.91466044284120618</v>
      </c>
      <c r="W694" s="43">
        <f t="shared" si="132"/>
        <v>0.34946802364864865</v>
      </c>
      <c r="X694" s="43">
        <f t="shared" si="143"/>
        <v>-0.45659255607927746</v>
      </c>
      <c r="Y694" s="43">
        <f t="shared" si="133"/>
        <v>0.85831507296377452</v>
      </c>
      <c r="Z694" s="43">
        <f t="shared" si="144"/>
        <v>-6.6353260715766485E-2</v>
      </c>
      <c r="AA694" s="43">
        <f t="shared" si="145"/>
        <v>0.44582647087163702</v>
      </c>
      <c r="AB694" s="43">
        <f t="shared" si="146"/>
        <v>0.35097594005211674</v>
      </c>
    </row>
    <row r="695" spans="1:28" ht="18.600000000000001" thickBot="1">
      <c r="A695" s="53" t="s">
        <v>62</v>
      </c>
      <c r="B695" s="54">
        <v>300</v>
      </c>
      <c r="C695" s="54">
        <v>900</v>
      </c>
      <c r="D695" s="54">
        <v>2.3290000000000002</v>
      </c>
      <c r="E695" s="54">
        <v>1787.4310129962612</v>
      </c>
      <c r="F695" s="54">
        <v>13174.292326864874</v>
      </c>
      <c r="G695" s="57" t="s">
        <v>103</v>
      </c>
      <c r="H695" s="54">
        <v>0.70499999999999996</v>
      </c>
      <c r="I695" s="54">
        <v>148</v>
      </c>
      <c r="J695" s="54">
        <v>1414</v>
      </c>
      <c r="K695" s="54">
        <v>2900</v>
      </c>
      <c r="L695" s="54">
        <v>0.3</v>
      </c>
      <c r="M695" s="54">
        <v>204.83</v>
      </c>
      <c r="N695" s="55">
        <v>226.74</v>
      </c>
      <c r="O695" s="43">
        <f t="shared" si="142"/>
        <v>0.7</v>
      </c>
      <c r="P695" s="43">
        <f t="shared" si="127"/>
        <v>2766.6760129962613</v>
      </c>
      <c r="Q695" s="43">
        <f t="shared" si="128"/>
        <v>9.0137002152934482E-5</v>
      </c>
      <c r="R695" s="43">
        <v>35</v>
      </c>
      <c r="S695" s="43">
        <f t="shared" si="129"/>
        <v>0.33333333333333331</v>
      </c>
      <c r="T695" s="43">
        <f t="shared" si="130"/>
        <v>9.8592002781402268</v>
      </c>
      <c r="U695" s="43" t="str" cm="1">
        <f t="array" ref="U695">_xlfn.IFS(T695&lt;3,"Group I",T695&lt;5,"Group II",T695&lt;10,"Group III",T695&lt;20,"Group IV",T695&lt;50,"Group V",T695&lt;100,"Group VI",T695&lt;200,"Group VII",T695&lt;500,"Group VIII",T695&lt;1000,"Group IX",TRUE,"Group X")</f>
        <v>Group III</v>
      </c>
      <c r="V695" s="43">
        <f t="shared" si="131"/>
        <v>0.99384168888883095</v>
      </c>
      <c r="W695" s="43">
        <f t="shared" si="132"/>
        <v>0.34946802364864865</v>
      </c>
      <c r="X695" s="43">
        <f t="shared" si="143"/>
        <v>-0.45659255607927746</v>
      </c>
      <c r="Y695" s="43">
        <f t="shared" si="133"/>
        <v>1.106966752917053</v>
      </c>
      <c r="Z695" s="43">
        <f t="shared" si="144"/>
        <v>4.4134577300136722E-2</v>
      </c>
      <c r="AA695" s="43">
        <f t="shared" si="145"/>
        <v>0.53499176504596424</v>
      </c>
      <c r="AB695" s="43">
        <f t="shared" si="146"/>
        <v>0.37056588864565232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6BDEC-DD21-43CB-A0D0-87CB3E23E686}">
  <dimension ref="H1:K693"/>
  <sheetViews>
    <sheetView topLeftCell="A645" workbookViewId="0">
      <selection activeCell="K1" sqref="K1:K693"/>
    </sheetView>
  </sheetViews>
  <sheetFormatPr defaultRowHeight="14.1"/>
  <cols>
    <col min="8" max="8" width="16.375" customWidth="1"/>
    <col min="11" max="11" width="9.875" bestFit="1" customWidth="1"/>
  </cols>
  <sheetData>
    <row r="1" spans="8:11">
      <c r="H1">
        <v>25.2</v>
      </c>
      <c r="I1" t="s">
        <v>121</v>
      </c>
      <c r="J1" t="s">
        <v>122</v>
      </c>
      <c r="K1" s="78">
        <f>H1*0.000001</f>
        <v>2.5199999999999999E-5</v>
      </c>
    </row>
    <row r="2" spans="8:11">
      <c r="H2">
        <v>25.2</v>
      </c>
      <c r="I2" t="s">
        <v>121</v>
      </c>
      <c r="J2" t="s">
        <v>122</v>
      </c>
      <c r="K2" s="78">
        <f t="shared" ref="K2:K65" si="0">H2*0.000001</f>
        <v>2.5199999999999999E-5</v>
      </c>
    </row>
    <row r="3" spans="8:11">
      <c r="H3">
        <v>25.2</v>
      </c>
      <c r="I3" t="s">
        <v>121</v>
      </c>
      <c r="J3" t="s">
        <v>122</v>
      </c>
      <c r="K3" s="78">
        <f t="shared" si="0"/>
        <v>2.5199999999999999E-5</v>
      </c>
    </row>
    <row r="4" spans="8:11">
      <c r="H4">
        <v>25.2</v>
      </c>
      <c r="I4" t="s">
        <v>121</v>
      </c>
      <c r="J4" t="s">
        <v>122</v>
      </c>
      <c r="K4" s="78">
        <f t="shared" si="0"/>
        <v>2.5199999999999999E-5</v>
      </c>
    </row>
    <row r="5" spans="8:11">
      <c r="H5">
        <v>25.2</v>
      </c>
      <c r="I5" t="s">
        <v>121</v>
      </c>
      <c r="J5" t="s">
        <v>122</v>
      </c>
      <c r="K5" s="78">
        <f t="shared" si="0"/>
        <v>2.5199999999999999E-5</v>
      </c>
    </row>
    <row r="6" spans="8:11">
      <c r="H6">
        <v>25.2</v>
      </c>
      <c r="I6" t="s">
        <v>121</v>
      </c>
      <c r="J6" t="s">
        <v>122</v>
      </c>
      <c r="K6" s="78">
        <f t="shared" si="0"/>
        <v>2.5199999999999999E-5</v>
      </c>
    </row>
    <row r="7" spans="8:11">
      <c r="H7">
        <v>25.2</v>
      </c>
      <c r="I7" t="s">
        <v>121</v>
      </c>
      <c r="J7" t="s">
        <v>122</v>
      </c>
      <c r="K7" s="78">
        <f t="shared" si="0"/>
        <v>2.5199999999999999E-5</v>
      </c>
    </row>
    <row r="8" spans="8:11">
      <c r="H8">
        <v>25.2</v>
      </c>
      <c r="I8" t="s">
        <v>121</v>
      </c>
      <c r="J8" t="s">
        <v>122</v>
      </c>
      <c r="K8" s="78">
        <f t="shared" si="0"/>
        <v>2.5199999999999999E-5</v>
      </c>
    </row>
    <row r="9" spans="8:11">
      <c r="H9">
        <v>25.2</v>
      </c>
      <c r="I9" t="s">
        <v>121</v>
      </c>
      <c r="J9" t="s">
        <v>122</v>
      </c>
      <c r="K9" s="78">
        <f t="shared" si="0"/>
        <v>2.5199999999999999E-5</v>
      </c>
    </row>
    <row r="10" spans="8:11">
      <c r="H10">
        <v>25.2</v>
      </c>
      <c r="I10" t="s">
        <v>121</v>
      </c>
      <c r="J10" t="s">
        <v>122</v>
      </c>
      <c r="K10" s="78">
        <f t="shared" si="0"/>
        <v>2.5199999999999999E-5</v>
      </c>
    </row>
    <row r="11" spans="8:11">
      <c r="H11">
        <v>25.2</v>
      </c>
      <c r="I11" t="s">
        <v>121</v>
      </c>
      <c r="J11" t="s">
        <v>122</v>
      </c>
      <c r="K11" s="78">
        <f t="shared" si="0"/>
        <v>2.5199999999999999E-5</v>
      </c>
    </row>
    <row r="12" spans="8:11">
      <c r="H12">
        <v>25.2</v>
      </c>
      <c r="I12" t="s">
        <v>121</v>
      </c>
      <c r="J12" t="s">
        <v>122</v>
      </c>
      <c r="K12" s="78">
        <f t="shared" si="0"/>
        <v>2.5199999999999999E-5</v>
      </c>
    </row>
    <row r="13" spans="8:11">
      <c r="H13">
        <v>25.2</v>
      </c>
      <c r="I13" t="s">
        <v>121</v>
      </c>
      <c r="J13" t="s">
        <v>122</v>
      </c>
      <c r="K13" s="78">
        <f t="shared" si="0"/>
        <v>2.5199999999999999E-5</v>
      </c>
    </row>
    <row r="14" spans="8:11">
      <c r="H14">
        <v>25.2</v>
      </c>
      <c r="I14" t="s">
        <v>121</v>
      </c>
      <c r="J14" t="s">
        <v>122</v>
      </c>
      <c r="K14" s="78">
        <f t="shared" si="0"/>
        <v>2.5199999999999999E-5</v>
      </c>
    </row>
    <row r="15" spans="8:11">
      <c r="H15">
        <v>25.2</v>
      </c>
      <c r="I15" t="s">
        <v>121</v>
      </c>
      <c r="J15" t="s">
        <v>122</v>
      </c>
      <c r="K15" s="78">
        <f t="shared" si="0"/>
        <v>2.5199999999999999E-5</v>
      </c>
    </row>
    <row r="16" spans="8:11">
      <c r="H16">
        <v>25.2</v>
      </c>
      <c r="I16" t="s">
        <v>121</v>
      </c>
      <c r="J16" t="s">
        <v>122</v>
      </c>
      <c r="K16" s="78">
        <f t="shared" si="0"/>
        <v>2.5199999999999999E-5</v>
      </c>
    </row>
    <row r="17" spans="8:11">
      <c r="H17">
        <v>25.2</v>
      </c>
      <c r="I17" t="s">
        <v>121</v>
      </c>
      <c r="J17" t="s">
        <v>122</v>
      </c>
      <c r="K17" s="78">
        <f t="shared" si="0"/>
        <v>2.5199999999999999E-5</v>
      </c>
    </row>
    <row r="18" spans="8:11">
      <c r="H18">
        <v>25.2</v>
      </c>
      <c r="I18" t="s">
        <v>121</v>
      </c>
      <c r="J18" t="s">
        <v>122</v>
      </c>
      <c r="K18" s="78">
        <f t="shared" si="0"/>
        <v>2.5199999999999999E-5</v>
      </c>
    </row>
    <row r="19" spans="8:11">
      <c r="H19">
        <v>25.2</v>
      </c>
      <c r="I19" t="s">
        <v>121</v>
      </c>
      <c r="J19" t="s">
        <v>122</v>
      </c>
      <c r="K19" s="78">
        <f t="shared" si="0"/>
        <v>2.5199999999999999E-5</v>
      </c>
    </row>
    <row r="20" spans="8:11">
      <c r="H20">
        <v>25.2</v>
      </c>
      <c r="I20" t="s">
        <v>121</v>
      </c>
      <c r="J20" t="s">
        <v>122</v>
      </c>
      <c r="K20" s="78">
        <f t="shared" si="0"/>
        <v>2.5199999999999999E-5</v>
      </c>
    </row>
    <row r="21" spans="8:11">
      <c r="H21">
        <v>25.2</v>
      </c>
      <c r="I21" t="s">
        <v>121</v>
      </c>
      <c r="J21" t="s">
        <v>122</v>
      </c>
      <c r="K21" s="78">
        <f t="shared" si="0"/>
        <v>2.5199999999999999E-5</v>
      </c>
    </row>
    <row r="22" spans="8:11">
      <c r="H22">
        <v>25.2</v>
      </c>
      <c r="I22" t="s">
        <v>121</v>
      </c>
      <c r="J22" t="s">
        <v>122</v>
      </c>
      <c r="K22" s="78">
        <f t="shared" si="0"/>
        <v>2.5199999999999999E-5</v>
      </c>
    </row>
    <row r="23" spans="8:11">
      <c r="H23">
        <v>25.2</v>
      </c>
      <c r="I23" t="s">
        <v>121</v>
      </c>
      <c r="J23" t="s">
        <v>122</v>
      </c>
      <c r="K23" s="78">
        <f t="shared" si="0"/>
        <v>2.5199999999999999E-5</v>
      </c>
    </row>
    <row r="24" spans="8:11">
      <c r="H24">
        <v>25.2</v>
      </c>
      <c r="I24" t="s">
        <v>121</v>
      </c>
      <c r="J24" t="s">
        <v>122</v>
      </c>
      <c r="K24" s="78">
        <f t="shared" si="0"/>
        <v>2.5199999999999999E-5</v>
      </c>
    </row>
    <row r="25" spans="8:11">
      <c r="H25">
        <v>25.2</v>
      </c>
      <c r="I25" t="s">
        <v>121</v>
      </c>
      <c r="J25" t="s">
        <v>122</v>
      </c>
      <c r="K25" s="78">
        <f t="shared" si="0"/>
        <v>2.5199999999999999E-5</v>
      </c>
    </row>
    <row r="26" spans="8:11">
      <c r="H26">
        <v>25.2</v>
      </c>
      <c r="I26" t="s">
        <v>121</v>
      </c>
      <c r="J26" t="s">
        <v>122</v>
      </c>
      <c r="K26" s="78">
        <f t="shared" si="0"/>
        <v>2.5199999999999999E-5</v>
      </c>
    </row>
    <row r="27" spans="8:11">
      <c r="H27">
        <v>25.2</v>
      </c>
      <c r="I27" t="s">
        <v>121</v>
      </c>
      <c r="J27" t="s">
        <v>122</v>
      </c>
      <c r="K27" s="78">
        <f t="shared" si="0"/>
        <v>2.5199999999999999E-5</v>
      </c>
    </row>
    <row r="28" spans="8:11">
      <c r="H28">
        <v>25.2</v>
      </c>
      <c r="I28" t="s">
        <v>121</v>
      </c>
      <c r="J28" t="s">
        <v>122</v>
      </c>
      <c r="K28" s="78">
        <f t="shared" si="0"/>
        <v>2.5199999999999999E-5</v>
      </c>
    </row>
    <row r="29" spans="8:11">
      <c r="H29">
        <v>25.2</v>
      </c>
      <c r="I29" t="s">
        <v>121</v>
      </c>
      <c r="J29" t="s">
        <v>122</v>
      </c>
      <c r="K29" s="78">
        <f t="shared" si="0"/>
        <v>2.5199999999999999E-5</v>
      </c>
    </row>
    <row r="30" spans="8:11">
      <c r="H30">
        <v>25.2</v>
      </c>
      <c r="I30" t="s">
        <v>121</v>
      </c>
      <c r="J30" t="s">
        <v>122</v>
      </c>
      <c r="K30" s="78">
        <f t="shared" si="0"/>
        <v>2.5199999999999999E-5</v>
      </c>
    </row>
    <row r="31" spans="8:11">
      <c r="H31">
        <v>25.2</v>
      </c>
      <c r="I31" t="s">
        <v>121</v>
      </c>
      <c r="J31" t="s">
        <v>122</v>
      </c>
      <c r="K31" s="78">
        <f t="shared" si="0"/>
        <v>2.5199999999999999E-5</v>
      </c>
    </row>
    <row r="32" spans="8:11">
      <c r="H32">
        <v>23.1</v>
      </c>
      <c r="I32" t="s">
        <v>121</v>
      </c>
      <c r="J32" t="s">
        <v>122</v>
      </c>
      <c r="K32" s="78">
        <f t="shared" si="0"/>
        <v>2.3099999999999999E-5</v>
      </c>
    </row>
    <row r="33" spans="8:11">
      <c r="H33">
        <v>23.1</v>
      </c>
      <c r="I33" t="s">
        <v>121</v>
      </c>
      <c r="J33" t="s">
        <v>122</v>
      </c>
      <c r="K33" s="78">
        <f t="shared" si="0"/>
        <v>2.3099999999999999E-5</v>
      </c>
    </row>
    <row r="34" spans="8:11">
      <c r="H34">
        <v>23.1</v>
      </c>
      <c r="I34" t="s">
        <v>121</v>
      </c>
      <c r="J34" t="s">
        <v>122</v>
      </c>
      <c r="K34" s="78">
        <f t="shared" si="0"/>
        <v>2.3099999999999999E-5</v>
      </c>
    </row>
    <row r="35" spans="8:11">
      <c r="H35">
        <v>23.1</v>
      </c>
      <c r="I35" t="s">
        <v>121</v>
      </c>
      <c r="J35" t="s">
        <v>122</v>
      </c>
      <c r="K35" s="78">
        <f t="shared" si="0"/>
        <v>2.3099999999999999E-5</v>
      </c>
    </row>
    <row r="36" spans="8:11">
      <c r="H36">
        <v>23.1</v>
      </c>
      <c r="I36" t="s">
        <v>121</v>
      </c>
      <c r="J36" t="s">
        <v>122</v>
      </c>
      <c r="K36" s="78">
        <f t="shared" si="0"/>
        <v>2.3099999999999999E-5</v>
      </c>
    </row>
    <row r="37" spans="8:11">
      <c r="H37">
        <v>23.1</v>
      </c>
      <c r="I37" t="s">
        <v>121</v>
      </c>
      <c r="J37" t="s">
        <v>122</v>
      </c>
      <c r="K37" s="78">
        <f t="shared" si="0"/>
        <v>2.3099999999999999E-5</v>
      </c>
    </row>
    <row r="38" spans="8:11">
      <c r="H38">
        <v>23.1</v>
      </c>
      <c r="I38" t="s">
        <v>121</v>
      </c>
      <c r="J38" t="s">
        <v>122</v>
      </c>
      <c r="K38" s="78">
        <f t="shared" si="0"/>
        <v>2.3099999999999999E-5</v>
      </c>
    </row>
    <row r="39" spans="8:11">
      <c r="H39">
        <v>23.1</v>
      </c>
      <c r="I39" t="s">
        <v>121</v>
      </c>
      <c r="J39" t="s">
        <v>122</v>
      </c>
      <c r="K39" s="78">
        <f t="shared" si="0"/>
        <v>2.3099999999999999E-5</v>
      </c>
    </row>
    <row r="40" spans="8:11">
      <c r="H40">
        <v>23.1</v>
      </c>
      <c r="I40" t="s">
        <v>121</v>
      </c>
      <c r="J40" t="s">
        <v>122</v>
      </c>
      <c r="K40" s="78">
        <f t="shared" si="0"/>
        <v>2.3099999999999999E-5</v>
      </c>
    </row>
    <row r="41" spans="8:11">
      <c r="H41">
        <v>23.1</v>
      </c>
      <c r="I41" t="s">
        <v>121</v>
      </c>
      <c r="J41" t="s">
        <v>122</v>
      </c>
      <c r="K41" s="78">
        <f t="shared" si="0"/>
        <v>2.3099999999999999E-5</v>
      </c>
    </row>
    <row r="42" spans="8:11">
      <c r="H42">
        <v>23.1</v>
      </c>
      <c r="I42" t="s">
        <v>121</v>
      </c>
      <c r="J42" t="s">
        <v>122</v>
      </c>
      <c r="K42" s="78">
        <f t="shared" si="0"/>
        <v>2.3099999999999999E-5</v>
      </c>
    </row>
    <row r="43" spans="8:11">
      <c r="H43">
        <v>23.1</v>
      </c>
      <c r="I43" t="s">
        <v>121</v>
      </c>
      <c r="J43" t="s">
        <v>122</v>
      </c>
      <c r="K43" s="78">
        <f t="shared" si="0"/>
        <v>2.3099999999999999E-5</v>
      </c>
    </row>
    <row r="44" spans="8:11">
      <c r="H44">
        <v>23.1</v>
      </c>
      <c r="I44" t="s">
        <v>121</v>
      </c>
      <c r="J44" t="s">
        <v>122</v>
      </c>
      <c r="K44" s="78">
        <f t="shared" si="0"/>
        <v>2.3099999999999999E-5</v>
      </c>
    </row>
    <row r="45" spans="8:11">
      <c r="H45">
        <v>23.1</v>
      </c>
      <c r="I45" t="s">
        <v>121</v>
      </c>
      <c r="J45" t="s">
        <v>122</v>
      </c>
      <c r="K45" s="78">
        <f t="shared" si="0"/>
        <v>2.3099999999999999E-5</v>
      </c>
    </row>
    <row r="46" spans="8:11">
      <c r="H46">
        <v>23.1</v>
      </c>
      <c r="I46" t="s">
        <v>121</v>
      </c>
      <c r="J46" t="s">
        <v>122</v>
      </c>
      <c r="K46" s="78">
        <f t="shared" si="0"/>
        <v>2.3099999999999999E-5</v>
      </c>
    </row>
    <row r="47" spans="8:11">
      <c r="H47">
        <v>23.1</v>
      </c>
      <c r="I47" t="s">
        <v>121</v>
      </c>
      <c r="J47" t="s">
        <v>122</v>
      </c>
      <c r="K47" s="78">
        <f t="shared" si="0"/>
        <v>2.3099999999999999E-5</v>
      </c>
    </row>
    <row r="48" spans="8:11">
      <c r="H48">
        <v>23.1</v>
      </c>
      <c r="I48" t="s">
        <v>121</v>
      </c>
      <c r="J48" t="s">
        <v>122</v>
      </c>
      <c r="K48" s="78">
        <f t="shared" si="0"/>
        <v>2.3099999999999999E-5</v>
      </c>
    </row>
    <row r="49" spans="8:11">
      <c r="H49">
        <v>23.1</v>
      </c>
      <c r="I49" t="s">
        <v>121</v>
      </c>
      <c r="J49" t="s">
        <v>122</v>
      </c>
      <c r="K49" s="78">
        <f t="shared" si="0"/>
        <v>2.3099999999999999E-5</v>
      </c>
    </row>
    <row r="50" spans="8:11">
      <c r="H50">
        <v>23.1</v>
      </c>
      <c r="I50" t="s">
        <v>121</v>
      </c>
      <c r="J50" t="s">
        <v>122</v>
      </c>
      <c r="K50" s="78">
        <f t="shared" si="0"/>
        <v>2.3099999999999999E-5</v>
      </c>
    </row>
    <row r="51" spans="8:11">
      <c r="H51">
        <v>23.1</v>
      </c>
      <c r="I51" t="s">
        <v>121</v>
      </c>
      <c r="J51" t="s">
        <v>122</v>
      </c>
      <c r="K51" s="78">
        <f t="shared" si="0"/>
        <v>2.3099999999999999E-5</v>
      </c>
    </row>
    <row r="52" spans="8:11">
      <c r="H52">
        <v>23.1</v>
      </c>
      <c r="I52" t="s">
        <v>121</v>
      </c>
      <c r="J52" t="s">
        <v>122</v>
      </c>
      <c r="K52" s="78">
        <f t="shared" si="0"/>
        <v>2.3099999999999999E-5</v>
      </c>
    </row>
    <row r="53" spans="8:11">
      <c r="H53">
        <v>23.1</v>
      </c>
      <c r="I53" t="s">
        <v>121</v>
      </c>
      <c r="J53" t="s">
        <v>122</v>
      </c>
      <c r="K53" s="78">
        <f t="shared" si="0"/>
        <v>2.3099999999999999E-5</v>
      </c>
    </row>
    <row r="54" spans="8:11">
      <c r="H54">
        <v>23.1</v>
      </c>
      <c r="I54" t="s">
        <v>121</v>
      </c>
      <c r="J54" t="s">
        <v>122</v>
      </c>
      <c r="K54" s="78">
        <f t="shared" si="0"/>
        <v>2.3099999999999999E-5</v>
      </c>
    </row>
    <row r="55" spans="8:11">
      <c r="H55">
        <v>23.1</v>
      </c>
      <c r="I55" t="s">
        <v>121</v>
      </c>
      <c r="J55" t="s">
        <v>122</v>
      </c>
      <c r="K55" s="78">
        <f t="shared" si="0"/>
        <v>2.3099999999999999E-5</v>
      </c>
    </row>
    <row r="56" spans="8:11">
      <c r="H56">
        <v>23.1</v>
      </c>
      <c r="I56" t="s">
        <v>121</v>
      </c>
      <c r="J56" t="s">
        <v>122</v>
      </c>
      <c r="K56" s="78">
        <f t="shared" si="0"/>
        <v>2.3099999999999999E-5</v>
      </c>
    </row>
    <row r="57" spans="8:11">
      <c r="H57">
        <v>23.1</v>
      </c>
      <c r="I57" t="s">
        <v>121</v>
      </c>
      <c r="J57" t="s">
        <v>122</v>
      </c>
      <c r="K57" s="78">
        <f t="shared" si="0"/>
        <v>2.3099999999999999E-5</v>
      </c>
    </row>
    <row r="58" spans="8:11">
      <c r="H58">
        <v>23.1</v>
      </c>
      <c r="I58" t="s">
        <v>121</v>
      </c>
      <c r="J58" t="s">
        <v>122</v>
      </c>
      <c r="K58" s="78">
        <f t="shared" si="0"/>
        <v>2.3099999999999999E-5</v>
      </c>
    </row>
    <row r="59" spans="8:11">
      <c r="H59">
        <v>23.1</v>
      </c>
      <c r="I59" t="s">
        <v>121</v>
      </c>
      <c r="J59" t="s">
        <v>122</v>
      </c>
      <c r="K59" s="78">
        <f t="shared" si="0"/>
        <v>2.3099999999999999E-5</v>
      </c>
    </row>
    <row r="60" spans="8:11">
      <c r="H60">
        <v>23.1</v>
      </c>
      <c r="I60" t="s">
        <v>121</v>
      </c>
      <c r="J60" t="s">
        <v>122</v>
      </c>
      <c r="K60" s="78">
        <f t="shared" si="0"/>
        <v>2.3099999999999999E-5</v>
      </c>
    </row>
    <row r="61" spans="8:11">
      <c r="H61">
        <v>23.1</v>
      </c>
      <c r="I61" t="s">
        <v>121</v>
      </c>
      <c r="J61" t="s">
        <v>122</v>
      </c>
      <c r="K61" s="78">
        <f t="shared" si="0"/>
        <v>2.3099999999999999E-5</v>
      </c>
    </row>
    <row r="62" spans="8:11">
      <c r="H62">
        <v>23.1</v>
      </c>
      <c r="I62" t="s">
        <v>121</v>
      </c>
      <c r="J62" t="s">
        <v>122</v>
      </c>
      <c r="K62" s="78">
        <f t="shared" si="0"/>
        <v>2.3099999999999999E-5</v>
      </c>
    </row>
    <row r="63" spans="8:11">
      <c r="H63">
        <v>30.2</v>
      </c>
      <c r="I63" t="s">
        <v>121</v>
      </c>
      <c r="J63" t="s">
        <v>122</v>
      </c>
      <c r="K63" s="78">
        <f t="shared" si="0"/>
        <v>3.0199999999999999E-5</v>
      </c>
    </row>
    <row r="64" spans="8:11">
      <c r="H64">
        <v>30.2</v>
      </c>
      <c r="I64" t="s">
        <v>121</v>
      </c>
      <c r="J64" t="s">
        <v>122</v>
      </c>
      <c r="K64" s="78">
        <f t="shared" si="0"/>
        <v>3.0199999999999999E-5</v>
      </c>
    </row>
    <row r="65" spans="8:11">
      <c r="H65">
        <v>30.2</v>
      </c>
      <c r="I65" t="s">
        <v>121</v>
      </c>
      <c r="J65" t="s">
        <v>122</v>
      </c>
      <c r="K65" s="78">
        <f t="shared" si="0"/>
        <v>3.0199999999999999E-5</v>
      </c>
    </row>
    <row r="66" spans="8:11">
      <c r="H66">
        <v>30.2</v>
      </c>
      <c r="I66" t="s">
        <v>121</v>
      </c>
      <c r="J66" t="s">
        <v>122</v>
      </c>
      <c r="K66" s="78">
        <f t="shared" ref="K66:K129" si="1">H66*0.000001</f>
        <v>3.0199999999999999E-5</v>
      </c>
    </row>
    <row r="67" spans="8:11">
      <c r="H67">
        <v>30.2</v>
      </c>
      <c r="I67" t="s">
        <v>121</v>
      </c>
      <c r="J67" t="s">
        <v>122</v>
      </c>
      <c r="K67" s="78">
        <f t="shared" si="1"/>
        <v>3.0199999999999999E-5</v>
      </c>
    </row>
    <row r="68" spans="8:11">
      <c r="H68">
        <v>30.2</v>
      </c>
      <c r="I68" t="s">
        <v>121</v>
      </c>
      <c r="J68" t="s">
        <v>122</v>
      </c>
      <c r="K68" s="78">
        <f t="shared" si="1"/>
        <v>3.0199999999999999E-5</v>
      </c>
    </row>
    <row r="69" spans="8:11">
      <c r="H69">
        <v>30.2</v>
      </c>
      <c r="I69" t="s">
        <v>121</v>
      </c>
      <c r="J69" t="s">
        <v>122</v>
      </c>
      <c r="K69" s="78">
        <f t="shared" si="1"/>
        <v>3.0199999999999999E-5</v>
      </c>
    </row>
    <row r="70" spans="8:11">
      <c r="H70">
        <v>30.2</v>
      </c>
      <c r="I70" t="s">
        <v>121</v>
      </c>
      <c r="J70" t="s">
        <v>122</v>
      </c>
      <c r="K70" s="78">
        <f t="shared" si="1"/>
        <v>3.0199999999999999E-5</v>
      </c>
    </row>
    <row r="71" spans="8:11">
      <c r="H71">
        <v>30.2</v>
      </c>
      <c r="I71" t="s">
        <v>121</v>
      </c>
      <c r="J71" t="s">
        <v>122</v>
      </c>
      <c r="K71" s="78">
        <f t="shared" si="1"/>
        <v>3.0199999999999999E-5</v>
      </c>
    </row>
    <row r="72" spans="8:11">
      <c r="H72">
        <v>30.2</v>
      </c>
      <c r="I72" t="s">
        <v>121</v>
      </c>
      <c r="J72" t="s">
        <v>122</v>
      </c>
      <c r="K72" s="78">
        <f t="shared" si="1"/>
        <v>3.0199999999999999E-5</v>
      </c>
    </row>
    <row r="73" spans="8:11">
      <c r="H73">
        <v>30.2</v>
      </c>
      <c r="I73" t="s">
        <v>121</v>
      </c>
      <c r="J73" t="s">
        <v>122</v>
      </c>
      <c r="K73" s="78">
        <f t="shared" si="1"/>
        <v>3.0199999999999999E-5</v>
      </c>
    </row>
    <row r="74" spans="8:11">
      <c r="H74">
        <v>30.2</v>
      </c>
      <c r="I74" t="s">
        <v>121</v>
      </c>
      <c r="J74" t="s">
        <v>122</v>
      </c>
      <c r="K74" s="78">
        <f t="shared" si="1"/>
        <v>3.0199999999999999E-5</v>
      </c>
    </row>
    <row r="75" spans="8:11">
      <c r="H75">
        <v>30.2</v>
      </c>
      <c r="I75" t="s">
        <v>121</v>
      </c>
      <c r="J75" t="s">
        <v>122</v>
      </c>
      <c r="K75" s="78">
        <f t="shared" si="1"/>
        <v>3.0199999999999999E-5</v>
      </c>
    </row>
    <row r="76" spans="8:11">
      <c r="H76">
        <v>30.2</v>
      </c>
      <c r="I76" t="s">
        <v>121</v>
      </c>
      <c r="J76" t="s">
        <v>122</v>
      </c>
      <c r="K76" s="78">
        <f t="shared" si="1"/>
        <v>3.0199999999999999E-5</v>
      </c>
    </row>
    <row r="77" spans="8:11">
      <c r="H77">
        <v>30.2</v>
      </c>
      <c r="I77" t="s">
        <v>121</v>
      </c>
      <c r="J77" t="s">
        <v>122</v>
      </c>
      <c r="K77" s="78">
        <f t="shared" si="1"/>
        <v>3.0199999999999999E-5</v>
      </c>
    </row>
    <row r="78" spans="8:11">
      <c r="H78">
        <v>30.2</v>
      </c>
      <c r="I78" t="s">
        <v>121</v>
      </c>
      <c r="J78" t="s">
        <v>122</v>
      </c>
      <c r="K78" s="78">
        <f t="shared" si="1"/>
        <v>3.0199999999999999E-5</v>
      </c>
    </row>
    <row r="79" spans="8:11">
      <c r="H79">
        <v>30.2</v>
      </c>
      <c r="I79" t="s">
        <v>121</v>
      </c>
      <c r="J79" t="s">
        <v>122</v>
      </c>
      <c r="K79" s="78">
        <f t="shared" si="1"/>
        <v>3.0199999999999999E-5</v>
      </c>
    </row>
    <row r="80" spans="8:11">
      <c r="H80">
        <v>30.2</v>
      </c>
      <c r="I80" t="s">
        <v>121</v>
      </c>
      <c r="J80" t="s">
        <v>122</v>
      </c>
      <c r="K80" s="78">
        <f t="shared" si="1"/>
        <v>3.0199999999999999E-5</v>
      </c>
    </row>
    <row r="81" spans="8:11">
      <c r="H81">
        <v>30.2</v>
      </c>
      <c r="I81" t="s">
        <v>121</v>
      </c>
      <c r="J81" t="s">
        <v>122</v>
      </c>
      <c r="K81" s="78">
        <f t="shared" si="1"/>
        <v>3.0199999999999999E-5</v>
      </c>
    </row>
    <row r="82" spans="8:11">
      <c r="H82">
        <v>30.2</v>
      </c>
      <c r="I82" t="s">
        <v>121</v>
      </c>
      <c r="J82" t="s">
        <v>122</v>
      </c>
      <c r="K82" s="78">
        <f t="shared" si="1"/>
        <v>3.0199999999999999E-5</v>
      </c>
    </row>
    <row r="83" spans="8:11">
      <c r="H83">
        <v>30.2</v>
      </c>
      <c r="I83" t="s">
        <v>121</v>
      </c>
      <c r="J83" t="s">
        <v>122</v>
      </c>
      <c r="K83" s="78">
        <f t="shared" si="1"/>
        <v>3.0199999999999999E-5</v>
      </c>
    </row>
    <row r="84" spans="8:11">
      <c r="H84">
        <v>30.2</v>
      </c>
      <c r="I84" t="s">
        <v>121</v>
      </c>
      <c r="J84" t="s">
        <v>122</v>
      </c>
      <c r="K84" s="78">
        <f t="shared" si="1"/>
        <v>3.0199999999999999E-5</v>
      </c>
    </row>
    <row r="85" spans="8:11">
      <c r="H85">
        <v>30.2</v>
      </c>
      <c r="I85" t="s">
        <v>121</v>
      </c>
      <c r="J85" t="s">
        <v>122</v>
      </c>
      <c r="K85" s="78">
        <f t="shared" si="1"/>
        <v>3.0199999999999999E-5</v>
      </c>
    </row>
    <row r="86" spans="8:11">
      <c r="H86">
        <v>30.2</v>
      </c>
      <c r="I86" t="s">
        <v>121</v>
      </c>
      <c r="J86" t="s">
        <v>122</v>
      </c>
      <c r="K86" s="78">
        <f t="shared" si="1"/>
        <v>3.0199999999999999E-5</v>
      </c>
    </row>
    <row r="87" spans="8:11">
      <c r="H87">
        <v>30.2</v>
      </c>
      <c r="I87" t="s">
        <v>121</v>
      </c>
      <c r="J87" t="s">
        <v>122</v>
      </c>
      <c r="K87" s="78">
        <f t="shared" si="1"/>
        <v>3.0199999999999999E-5</v>
      </c>
    </row>
    <row r="88" spans="8:11">
      <c r="H88">
        <v>30.2</v>
      </c>
      <c r="I88" t="s">
        <v>121</v>
      </c>
      <c r="J88" t="s">
        <v>122</v>
      </c>
      <c r="K88" s="78">
        <f t="shared" si="1"/>
        <v>3.0199999999999999E-5</v>
      </c>
    </row>
    <row r="89" spans="8:11">
      <c r="H89">
        <v>30.2</v>
      </c>
      <c r="I89" t="s">
        <v>121</v>
      </c>
      <c r="J89" t="s">
        <v>122</v>
      </c>
      <c r="K89" s="78">
        <f t="shared" si="1"/>
        <v>3.0199999999999999E-5</v>
      </c>
    </row>
    <row r="90" spans="8:11">
      <c r="H90">
        <v>30.2</v>
      </c>
      <c r="I90" t="s">
        <v>121</v>
      </c>
      <c r="J90" t="s">
        <v>122</v>
      </c>
      <c r="K90" s="78">
        <f t="shared" si="1"/>
        <v>3.0199999999999999E-5</v>
      </c>
    </row>
    <row r="91" spans="8:11">
      <c r="H91">
        <v>30.2</v>
      </c>
      <c r="I91" t="s">
        <v>121</v>
      </c>
      <c r="J91" t="s">
        <v>122</v>
      </c>
      <c r="K91" s="78">
        <f t="shared" si="1"/>
        <v>3.0199999999999999E-5</v>
      </c>
    </row>
    <row r="92" spans="8:11">
      <c r="H92">
        <v>30.2</v>
      </c>
      <c r="I92" t="s">
        <v>121</v>
      </c>
      <c r="J92" t="s">
        <v>122</v>
      </c>
      <c r="K92" s="78">
        <f t="shared" si="1"/>
        <v>3.0199999999999999E-5</v>
      </c>
    </row>
    <row r="93" spans="8:11">
      <c r="H93">
        <v>30.2</v>
      </c>
      <c r="I93" t="s">
        <v>121</v>
      </c>
      <c r="J93" t="s">
        <v>122</v>
      </c>
      <c r="K93" s="78">
        <f t="shared" si="1"/>
        <v>3.0199999999999999E-5</v>
      </c>
    </row>
    <row r="94" spans="8:11">
      <c r="H94">
        <v>11.3</v>
      </c>
      <c r="I94" t="s">
        <v>121</v>
      </c>
      <c r="J94" t="s">
        <v>122</v>
      </c>
      <c r="K94" s="78">
        <f t="shared" si="1"/>
        <v>1.13E-5</v>
      </c>
    </row>
    <row r="95" spans="8:11">
      <c r="H95">
        <v>11.3</v>
      </c>
      <c r="I95" t="s">
        <v>121</v>
      </c>
      <c r="J95" t="s">
        <v>122</v>
      </c>
      <c r="K95" s="78">
        <f t="shared" si="1"/>
        <v>1.13E-5</v>
      </c>
    </row>
    <row r="96" spans="8:11">
      <c r="H96">
        <v>11.3</v>
      </c>
      <c r="I96" t="s">
        <v>121</v>
      </c>
      <c r="J96" t="s">
        <v>122</v>
      </c>
      <c r="K96" s="78">
        <f t="shared" si="1"/>
        <v>1.13E-5</v>
      </c>
    </row>
    <row r="97" spans="8:11">
      <c r="H97">
        <v>11.3</v>
      </c>
      <c r="I97" t="s">
        <v>121</v>
      </c>
      <c r="J97" t="s">
        <v>122</v>
      </c>
      <c r="K97" s="78">
        <f t="shared" si="1"/>
        <v>1.13E-5</v>
      </c>
    </row>
    <row r="98" spans="8:11">
      <c r="H98">
        <v>11.3</v>
      </c>
      <c r="I98" t="s">
        <v>121</v>
      </c>
      <c r="J98" t="s">
        <v>122</v>
      </c>
      <c r="K98" s="78">
        <f t="shared" si="1"/>
        <v>1.13E-5</v>
      </c>
    </row>
    <row r="99" spans="8:11">
      <c r="H99">
        <v>11.3</v>
      </c>
      <c r="I99" t="s">
        <v>121</v>
      </c>
      <c r="J99" t="s">
        <v>122</v>
      </c>
      <c r="K99" s="78">
        <f t="shared" si="1"/>
        <v>1.13E-5</v>
      </c>
    </row>
    <row r="100" spans="8:11">
      <c r="H100">
        <v>11.3</v>
      </c>
      <c r="I100" t="s">
        <v>121</v>
      </c>
      <c r="J100" t="s">
        <v>122</v>
      </c>
      <c r="K100" s="78">
        <f t="shared" si="1"/>
        <v>1.13E-5</v>
      </c>
    </row>
    <row r="101" spans="8:11">
      <c r="H101">
        <v>11.3</v>
      </c>
      <c r="I101" t="s">
        <v>121</v>
      </c>
      <c r="J101" t="s">
        <v>122</v>
      </c>
      <c r="K101" s="78">
        <f t="shared" si="1"/>
        <v>1.13E-5</v>
      </c>
    </row>
    <row r="102" spans="8:11">
      <c r="H102">
        <v>11.3</v>
      </c>
      <c r="I102" t="s">
        <v>121</v>
      </c>
      <c r="J102" t="s">
        <v>122</v>
      </c>
      <c r="K102" s="78">
        <f t="shared" si="1"/>
        <v>1.13E-5</v>
      </c>
    </row>
    <row r="103" spans="8:11">
      <c r="H103">
        <v>11.3</v>
      </c>
      <c r="I103" t="s">
        <v>121</v>
      </c>
      <c r="J103" t="s">
        <v>122</v>
      </c>
      <c r="K103" s="78">
        <f t="shared" si="1"/>
        <v>1.13E-5</v>
      </c>
    </row>
    <row r="104" spans="8:11">
      <c r="H104">
        <v>11.3</v>
      </c>
      <c r="I104" t="s">
        <v>121</v>
      </c>
      <c r="J104" t="s">
        <v>122</v>
      </c>
      <c r="K104" s="78">
        <f t="shared" si="1"/>
        <v>1.13E-5</v>
      </c>
    </row>
    <row r="105" spans="8:11">
      <c r="H105">
        <v>11.3</v>
      </c>
      <c r="I105" t="s">
        <v>121</v>
      </c>
      <c r="J105" t="s">
        <v>122</v>
      </c>
      <c r="K105" s="78">
        <f t="shared" si="1"/>
        <v>1.13E-5</v>
      </c>
    </row>
    <row r="106" spans="8:11">
      <c r="H106">
        <v>11.3</v>
      </c>
      <c r="I106" t="s">
        <v>121</v>
      </c>
      <c r="J106" t="s">
        <v>122</v>
      </c>
      <c r="K106" s="78">
        <f t="shared" si="1"/>
        <v>1.13E-5</v>
      </c>
    </row>
    <row r="107" spans="8:11">
      <c r="H107">
        <v>11.3</v>
      </c>
      <c r="I107" t="s">
        <v>121</v>
      </c>
      <c r="J107" t="s">
        <v>122</v>
      </c>
      <c r="K107" s="78">
        <f t="shared" si="1"/>
        <v>1.13E-5</v>
      </c>
    </row>
    <row r="108" spans="8:11">
      <c r="H108">
        <v>11.3</v>
      </c>
      <c r="I108" t="s">
        <v>121</v>
      </c>
      <c r="J108" t="s">
        <v>122</v>
      </c>
      <c r="K108" s="78">
        <f t="shared" si="1"/>
        <v>1.13E-5</v>
      </c>
    </row>
    <row r="109" spans="8:11">
      <c r="H109">
        <v>11.3</v>
      </c>
      <c r="I109" t="s">
        <v>121</v>
      </c>
      <c r="J109" t="s">
        <v>122</v>
      </c>
      <c r="K109" s="78">
        <f t="shared" si="1"/>
        <v>1.13E-5</v>
      </c>
    </row>
    <row r="110" spans="8:11">
      <c r="H110">
        <v>11.3</v>
      </c>
      <c r="I110" t="s">
        <v>121</v>
      </c>
      <c r="J110" t="s">
        <v>122</v>
      </c>
      <c r="K110" s="78">
        <f t="shared" si="1"/>
        <v>1.13E-5</v>
      </c>
    </row>
    <row r="111" spans="8:11">
      <c r="H111">
        <v>11.3</v>
      </c>
      <c r="I111" t="s">
        <v>121</v>
      </c>
      <c r="J111" t="s">
        <v>122</v>
      </c>
      <c r="K111" s="78">
        <f t="shared" si="1"/>
        <v>1.13E-5</v>
      </c>
    </row>
    <row r="112" spans="8:11">
      <c r="H112">
        <v>11.3</v>
      </c>
      <c r="I112" t="s">
        <v>121</v>
      </c>
      <c r="J112" t="s">
        <v>122</v>
      </c>
      <c r="K112" s="78">
        <f t="shared" si="1"/>
        <v>1.13E-5</v>
      </c>
    </row>
    <row r="113" spans="8:11">
      <c r="H113">
        <v>11.3</v>
      </c>
      <c r="I113" t="s">
        <v>121</v>
      </c>
      <c r="J113" t="s">
        <v>122</v>
      </c>
      <c r="K113" s="78">
        <f t="shared" si="1"/>
        <v>1.13E-5</v>
      </c>
    </row>
    <row r="114" spans="8:11">
      <c r="H114">
        <v>11.3</v>
      </c>
      <c r="I114" t="s">
        <v>121</v>
      </c>
      <c r="J114" t="s">
        <v>122</v>
      </c>
      <c r="K114" s="78">
        <f t="shared" si="1"/>
        <v>1.13E-5</v>
      </c>
    </row>
    <row r="115" spans="8:11">
      <c r="H115">
        <v>11.3</v>
      </c>
      <c r="I115" t="s">
        <v>121</v>
      </c>
      <c r="J115" t="s">
        <v>122</v>
      </c>
      <c r="K115" s="78">
        <f t="shared" si="1"/>
        <v>1.13E-5</v>
      </c>
    </row>
    <row r="116" spans="8:11">
      <c r="H116">
        <v>11.3</v>
      </c>
      <c r="I116" t="s">
        <v>121</v>
      </c>
      <c r="J116" t="s">
        <v>122</v>
      </c>
      <c r="K116" s="78">
        <f t="shared" si="1"/>
        <v>1.13E-5</v>
      </c>
    </row>
    <row r="117" spans="8:11">
      <c r="H117">
        <v>11.3</v>
      </c>
      <c r="I117" t="s">
        <v>121</v>
      </c>
      <c r="J117" t="s">
        <v>122</v>
      </c>
      <c r="K117" s="78">
        <f t="shared" si="1"/>
        <v>1.13E-5</v>
      </c>
    </row>
    <row r="118" spans="8:11">
      <c r="H118">
        <v>11.3</v>
      </c>
      <c r="I118" t="s">
        <v>121</v>
      </c>
      <c r="J118" t="s">
        <v>122</v>
      </c>
      <c r="K118" s="78">
        <f t="shared" si="1"/>
        <v>1.13E-5</v>
      </c>
    </row>
    <row r="119" spans="8:11">
      <c r="H119">
        <v>11.3</v>
      </c>
      <c r="I119" t="s">
        <v>121</v>
      </c>
      <c r="J119" t="s">
        <v>122</v>
      </c>
      <c r="K119" s="78">
        <f t="shared" si="1"/>
        <v>1.13E-5</v>
      </c>
    </row>
    <row r="120" spans="8:11">
      <c r="H120">
        <v>11.3</v>
      </c>
      <c r="I120" t="s">
        <v>121</v>
      </c>
      <c r="J120" t="s">
        <v>122</v>
      </c>
      <c r="K120" s="78">
        <f t="shared" si="1"/>
        <v>1.13E-5</v>
      </c>
    </row>
    <row r="121" spans="8:11">
      <c r="H121">
        <v>11.3</v>
      </c>
      <c r="I121" t="s">
        <v>121</v>
      </c>
      <c r="J121" t="s">
        <v>122</v>
      </c>
      <c r="K121" s="78">
        <f t="shared" si="1"/>
        <v>1.13E-5</v>
      </c>
    </row>
    <row r="122" spans="8:11">
      <c r="H122">
        <v>11.3</v>
      </c>
      <c r="I122" t="s">
        <v>121</v>
      </c>
      <c r="J122" t="s">
        <v>122</v>
      </c>
      <c r="K122" s="78">
        <f t="shared" si="1"/>
        <v>1.13E-5</v>
      </c>
    </row>
    <row r="123" spans="8:11">
      <c r="H123">
        <v>11.3</v>
      </c>
      <c r="I123" t="s">
        <v>121</v>
      </c>
      <c r="J123" t="s">
        <v>122</v>
      </c>
      <c r="K123" s="78">
        <f t="shared" si="1"/>
        <v>1.13E-5</v>
      </c>
    </row>
    <row r="124" spans="8:11">
      <c r="H124">
        <v>11.3</v>
      </c>
      <c r="I124" t="s">
        <v>121</v>
      </c>
      <c r="J124" t="s">
        <v>122</v>
      </c>
      <c r="K124" s="78">
        <f t="shared" si="1"/>
        <v>1.13E-5</v>
      </c>
    </row>
    <row r="125" spans="8:11">
      <c r="H125">
        <v>8.6</v>
      </c>
      <c r="I125" t="s">
        <v>121</v>
      </c>
      <c r="J125" t="s">
        <v>122</v>
      </c>
      <c r="K125" s="78">
        <f t="shared" si="1"/>
        <v>8.599999999999999E-6</v>
      </c>
    </row>
    <row r="126" spans="8:11">
      <c r="H126">
        <v>8.6</v>
      </c>
      <c r="I126" t="s">
        <v>121</v>
      </c>
      <c r="J126" t="s">
        <v>122</v>
      </c>
      <c r="K126" s="78">
        <f t="shared" si="1"/>
        <v>8.599999999999999E-6</v>
      </c>
    </row>
    <row r="127" spans="8:11">
      <c r="H127">
        <v>8.6</v>
      </c>
      <c r="I127" t="s">
        <v>121</v>
      </c>
      <c r="J127" t="s">
        <v>122</v>
      </c>
      <c r="K127" s="78">
        <f t="shared" si="1"/>
        <v>8.599999999999999E-6</v>
      </c>
    </row>
    <row r="128" spans="8:11">
      <c r="H128">
        <v>8.6</v>
      </c>
      <c r="I128" t="s">
        <v>121</v>
      </c>
      <c r="J128" t="s">
        <v>122</v>
      </c>
      <c r="K128" s="78">
        <f t="shared" si="1"/>
        <v>8.599999999999999E-6</v>
      </c>
    </row>
    <row r="129" spans="8:11">
      <c r="H129">
        <v>8.6</v>
      </c>
      <c r="I129" t="s">
        <v>121</v>
      </c>
      <c r="J129" t="s">
        <v>122</v>
      </c>
      <c r="K129" s="78">
        <f t="shared" si="1"/>
        <v>8.599999999999999E-6</v>
      </c>
    </row>
    <row r="130" spans="8:11">
      <c r="H130">
        <v>8.6</v>
      </c>
      <c r="I130" t="s">
        <v>121</v>
      </c>
      <c r="J130" t="s">
        <v>122</v>
      </c>
      <c r="K130" s="78">
        <f t="shared" ref="K130:K193" si="2">H130*0.000001</f>
        <v>8.599999999999999E-6</v>
      </c>
    </row>
    <row r="131" spans="8:11">
      <c r="H131">
        <v>8.6</v>
      </c>
      <c r="I131" t="s">
        <v>121</v>
      </c>
      <c r="J131" t="s">
        <v>122</v>
      </c>
      <c r="K131" s="78">
        <f t="shared" si="2"/>
        <v>8.599999999999999E-6</v>
      </c>
    </row>
    <row r="132" spans="8:11">
      <c r="H132">
        <v>8.6</v>
      </c>
      <c r="I132" t="s">
        <v>121</v>
      </c>
      <c r="J132" t="s">
        <v>122</v>
      </c>
      <c r="K132" s="78">
        <f t="shared" si="2"/>
        <v>8.599999999999999E-6</v>
      </c>
    </row>
    <row r="133" spans="8:11">
      <c r="H133">
        <v>8.6</v>
      </c>
      <c r="I133" t="s">
        <v>121</v>
      </c>
      <c r="J133" t="s">
        <v>122</v>
      </c>
      <c r="K133" s="78">
        <f t="shared" si="2"/>
        <v>8.599999999999999E-6</v>
      </c>
    </row>
    <row r="134" spans="8:11">
      <c r="H134">
        <v>8.6</v>
      </c>
      <c r="I134" t="s">
        <v>121</v>
      </c>
      <c r="J134" t="s">
        <v>122</v>
      </c>
      <c r="K134" s="78">
        <f t="shared" si="2"/>
        <v>8.599999999999999E-6</v>
      </c>
    </row>
    <row r="135" spans="8:11">
      <c r="H135">
        <v>8.6</v>
      </c>
      <c r="I135" t="s">
        <v>121</v>
      </c>
      <c r="J135" t="s">
        <v>122</v>
      </c>
      <c r="K135" s="78">
        <f t="shared" si="2"/>
        <v>8.599999999999999E-6</v>
      </c>
    </row>
    <row r="136" spans="8:11">
      <c r="H136">
        <v>8.6</v>
      </c>
      <c r="I136" t="s">
        <v>121</v>
      </c>
      <c r="J136" t="s">
        <v>122</v>
      </c>
      <c r="K136" s="78">
        <f t="shared" si="2"/>
        <v>8.599999999999999E-6</v>
      </c>
    </row>
    <row r="137" spans="8:11">
      <c r="H137">
        <v>8.6</v>
      </c>
      <c r="I137" t="s">
        <v>121</v>
      </c>
      <c r="J137" t="s">
        <v>122</v>
      </c>
      <c r="K137" s="78">
        <f t="shared" si="2"/>
        <v>8.599999999999999E-6</v>
      </c>
    </row>
    <row r="138" spans="8:11">
      <c r="H138">
        <v>8.6</v>
      </c>
      <c r="I138" t="s">
        <v>121</v>
      </c>
      <c r="J138" t="s">
        <v>122</v>
      </c>
      <c r="K138" s="78">
        <f t="shared" si="2"/>
        <v>8.599999999999999E-6</v>
      </c>
    </row>
    <row r="139" spans="8:11">
      <c r="H139">
        <v>8.6</v>
      </c>
      <c r="I139" t="s">
        <v>121</v>
      </c>
      <c r="J139" t="s">
        <v>122</v>
      </c>
      <c r="K139" s="78">
        <f t="shared" si="2"/>
        <v>8.599999999999999E-6</v>
      </c>
    </row>
    <row r="140" spans="8:11">
      <c r="H140">
        <v>8.6</v>
      </c>
      <c r="I140" t="s">
        <v>121</v>
      </c>
      <c r="J140" t="s">
        <v>122</v>
      </c>
      <c r="K140" s="78">
        <f t="shared" si="2"/>
        <v>8.599999999999999E-6</v>
      </c>
    </row>
    <row r="141" spans="8:11">
      <c r="H141">
        <v>8.6</v>
      </c>
      <c r="I141" t="s">
        <v>121</v>
      </c>
      <c r="J141" t="s">
        <v>122</v>
      </c>
      <c r="K141" s="78">
        <f t="shared" si="2"/>
        <v>8.599999999999999E-6</v>
      </c>
    </row>
    <row r="142" spans="8:11">
      <c r="H142">
        <v>8.6</v>
      </c>
      <c r="I142" t="s">
        <v>121</v>
      </c>
      <c r="J142" t="s">
        <v>122</v>
      </c>
      <c r="K142" s="78">
        <f t="shared" si="2"/>
        <v>8.599999999999999E-6</v>
      </c>
    </row>
    <row r="143" spans="8:11">
      <c r="H143">
        <v>8.6</v>
      </c>
      <c r="I143" t="s">
        <v>121</v>
      </c>
      <c r="J143" t="s">
        <v>122</v>
      </c>
      <c r="K143" s="78">
        <f t="shared" si="2"/>
        <v>8.599999999999999E-6</v>
      </c>
    </row>
    <row r="144" spans="8:11">
      <c r="H144">
        <v>8.6</v>
      </c>
      <c r="I144" t="s">
        <v>121</v>
      </c>
      <c r="J144" t="s">
        <v>122</v>
      </c>
      <c r="K144" s="78">
        <f t="shared" si="2"/>
        <v>8.599999999999999E-6</v>
      </c>
    </row>
    <row r="145" spans="8:11">
      <c r="H145">
        <v>8.6</v>
      </c>
      <c r="I145" t="s">
        <v>121</v>
      </c>
      <c r="J145" t="s">
        <v>122</v>
      </c>
      <c r="K145" s="78">
        <f t="shared" si="2"/>
        <v>8.599999999999999E-6</v>
      </c>
    </row>
    <row r="146" spans="8:11">
      <c r="H146">
        <v>8.6</v>
      </c>
      <c r="I146" t="s">
        <v>121</v>
      </c>
      <c r="J146" t="s">
        <v>122</v>
      </c>
      <c r="K146" s="78">
        <f t="shared" si="2"/>
        <v>8.599999999999999E-6</v>
      </c>
    </row>
    <row r="147" spans="8:11">
      <c r="H147">
        <v>8.6</v>
      </c>
      <c r="I147" t="s">
        <v>121</v>
      </c>
      <c r="J147" t="s">
        <v>122</v>
      </c>
      <c r="K147" s="78">
        <f t="shared" si="2"/>
        <v>8.599999999999999E-6</v>
      </c>
    </row>
    <row r="148" spans="8:11">
      <c r="H148">
        <v>8.6</v>
      </c>
      <c r="I148" t="s">
        <v>121</v>
      </c>
      <c r="J148" t="s">
        <v>122</v>
      </c>
      <c r="K148" s="78">
        <f t="shared" si="2"/>
        <v>8.599999999999999E-6</v>
      </c>
    </row>
    <row r="149" spans="8:11">
      <c r="H149">
        <v>8.6</v>
      </c>
      <c r="I149" t="s">
        <v>121</v>
      </c>
      <c r="J149" t="s">
        <v>122</v>
      </c>
      <c r="K149" s="78">
        <f t="shared" si="2"/>
        <v>8.599999999999999E-6</v>
      </c>
    </row>
    <row r="150" spans="8:11">
      <c r="H150">
        <v>8.6</v>
      </c>
      <c r="I150" t="s">
        <v>121</v>
      </c>
      <c r="J150" t="s">
        <v>122</v>
      </c>
      <c r="K150" s="78">
        <f t="shared" si="2"/>
        <v>8.599999999999999E-6</v>
      </c>
    </row>
    <row r="151" spans="8:11">
      <c r="H151">
        <v>8.6</v>
      </c>
      <c r="I151" t="s">
        <v>121</v>
      </c>
      <c r="J151" t="s">
        <v>122</v>
      </c>
      <c r="K151" s="78">
        <f t="shared" si="2"/>
        <v>8.599999999999999E-6</v>
      </c>
    </row>
    <row r="152" spans="8:11">
      <c r="H152">
        <v>8.6</v>
      </c>
      <c r="I152" t="s">
        <v>121</v>
      </c>
      <c r="J152" t="s">
        <v>122</v>
      </c>
      <c r="K152" s="78">
        <f t="shared" si="2"/>
        <v>8.599999999999999E-6</v>
      </c>
    </row>
    <row r="153" spans="8:11">
      <c r="H153">
        <v>8.6</v>
      </c>
      <c r="I153" t="s">
        <v>121</v>
      </c>
      <c r="J153" t="s">
        <v>122</v>
      </c>
      <c r="K153" s="78">
        <f t="shared" si="2"/>
        <v>8.599999999999999E-6</v>
      </c>
    </row>
    <row r="154" spans="8:11">
      <c r="H154">
        <v>8.6</v>
      </c>
      <c r="I154" t="s">
        <v>121</v>
      </c>
      <c r="J154" t="s">
        <v>122</v>
      </c>
      <c r="K154" s="78">
        <f t="shared" si="2"/>
        <v>8.599999999999999E-6</v>
      </c>
    </row>
    <row r="155" spans="8:11">
      <c r="H155">
        <v>8.6</v>
      </c>
      <c r="I155" t="s">
        <v>121</v>
      </c>
      <c r="J155" t="s">
        <v>122</v>
      </c>
      <c r="K155" s="78">
        <f t="shared" si="2"/>
        <v>8.599999999999999E-6</v>
      </c>
    </row>
    <row r="156" spans="8:11">
      <c r="H156">
        <v>8.4</v>
      </c>
      <c r="I156" t="s">
        <v>121</v>
      </c>
      <c r="J156" t="s">
        <v>122</v>
      </c>
      <c r="K156" s="78">
        <f t="shared" si="2"/>
        <v>8.3999999999999992E-6</v>
      </c>
    </row>
    <row r="157" spans="8:11">
      <c r="H157">
        <v>8.4</v>
      </c>
      <c r="I157" t="s">
        <v>121</v>
      </c>
      <c r="J157" t="s">
        <v>122</v>
      </c>
      <c r="K157" s="78">
        <f t="shared" si="2"/>
        <v>8.3999999999999992E-6</v>
      </c>
    </row>
    <row r="158" spans="8:11">
      <c r="H158">
        <v>8.4</v>
      </c>
      <c r="I158" t="s">
        <v>121</v>
      </c>
      <c r="J158" t="s">
        <v>122</v>
      </c>
      <c r="K158" s="78">
        <f t="shared" si="2"/>
        <v>8.3999999999999992E-6</v>
      </c>
    </row>
    <row r="159" spans="8:11">
      <c r="H159">
        <v>8.4</v>
      </c>
      <c r="I159" t="s">
        <v>121</v>
      </c>
      <c r="J159" t="s">
        <v>122</v>
      </c>
      <c r="K159" s="78">
        <f t="shared" si="2"/>
        <v>8.3999999999999992E-6</v>
      </c>
    </row>
    <row r="160" spans="8:11">
      <c r="H160">
        <v>8.4</v>
      </c>
      <c r="I160" t="s">
        <v>121</v>
      </c>
      <c r="J160" t="s">
        <v>122</v>
      </c>
      <c r="K160" s="78">
        <f t="shared" si="2"/>
        <v>8.3999999999999992E-6</v>
      </c>
    </row>
    <row r="161" spans="8:11">
      <c r="H161">
        <v>8.4</v>
      </c>
      <c r="I161" t="s">
        <v>121</v>
      </c>
      <c r="J161" t="s">
        <v>122</v>
      </c>
      <c r="K161" s="78">
        <f t="shared" si="2"/>
        <v>8.3999999999999992E-6</v>
      </c>
    </row>
    <row r="162" spans="8:11">
      <c r="H162">
        <v>8.4</v>
      </c>
      <c r="I162" t="s">
        <v>121</v>
      </c>
      <c r="J162" t="s">
        <v>122</v>
      </c>
      <c r="K162" s="78">
        <f t="shared" si="2"/>
        <v>8.3999999999999992E-6</v>
      </c>
    </row>
    <row r="163" spans="8:11">
      <c r="H163">
        <v>8.4</v>
      </c>
      <c r="I163" t="s">
        <v>121</v>
      </c>
      <c r="J163" t="s">
        <v>122</v>
      </c>
      <c r="K163" s="78">
        <f t="shared" si="2"/>
        <v>8.3999999999999992E-6</v>
      </c>
    </row>
    <row r="164" spans="8:11">
      <c r="H164">
        <v>8.4</v>
      </c>
      <c r="I164" t="s">
        <v>121</v>
      </c>
      <c r="J164" t="s">
        <v>122</v>
      </c>
      <c r="K164" s="78">
        <f t="shared" si="2"/>
        <v>8.3999999999999992E-6</v>
      </c>
    </row>
    <row r="165" spans="8:11">
      <c r="H165">
        <v>8.4</v>
      </c>
      <c r="I165" t="s">
        <v>121</v>
      </c>
      <c r="J165" t="s">
        <v>122</v>
      </c>
      <c r="K165" s="78">
        <f t="shared" si="2"/>
        <v>8.3999999999999992E-6</v>
      </c>
    </row>
    <row r="166" spans="8:11">
      <c r="H166">
        <v>8.4</v>
      </c>
      <c r="I166" t="s">
        <v>121</v>
      </c>
      <c r="J166" t="s">
        <v>122</v>
      </c>
      <c r="K166" s="78">
        <f t="shared" si="2"/>
        <v>8.3999999999999992E-6</v>
      </c>
    </row>
    <row r="167" spans="8:11">
      <c r="H167">
        <v>8.4</v>
      </c>
      <c r="I167" t="s">
        <v>121</v>
      </c>
      <c r="J167" t="s">
        <v>122</v>
      </c>
      <c r="K167" s="78">
        <f t="shared" si="2"/>
        <v>8.3999999999999992E-6</v>
      </c>
    </row>
    <row r="168" spans="8:11">
      <c r="H168">
        <v>8.4</v>
      </c>
      <c r="I168" t="s">
        <v>121</v>
      </c>
      <c r="J168" t="s">
        <v>122</v>
      </c>
      <c r="K168" s="78">
        <f t="shared" si="2"/>
        <v>8.3999999999999992E-6</v>
      </c>
    </row>
    <row r="169" spans="8:11">
      <c r="H169">
        <v>8.4</v>
      </c>
      <c r="I169" t="s">
        <v>121</v>
      </c>
      <c r="J169" t="s">
        <v>122</v>
      </c>
      <c r="K169" s="78">
        <f t="shared" si="2"/>
        <v>8.3999999999999992E-6</v>
      </c>
    </row>
    <row r="170" spans="8:11">
      <c r="H170">
        <v>8.4</v>
      </c>
      <c r="I170" t="s">
        <v>121</v>
      </c>
      <c r="J170" t="s">
        <v>122</v>
      </c>
      <c r="K170" s="78">
        <f t="shared" si="2"/>
        <v>8.3999999999999992E-6</v>
      </c>
    </row>
    <row r="171" spans="8:11">
      <c r="H171">
        <v>8.4</v>
      </c>
      <c r="I171" t="s">
        <v>121</v>
      </c>
      <c r="J171" t="s">
        <v>122</v>
      </c>
      <c r="K171" s="78">
        <f t="shared" si="2"/>
        <v>8.3999999999999992E-6</v>
      </c>
    </row>
    <row r="172" spans="8:11">
      <c r="H172">
        <v>8.4</v>
      </c>
      <c r="I172" t="s">
        <v>121</v>
      </c>
      <c r="J172" t="s">
        <v>122</v>
      </c>
      <c r="K172" s="78">
        <f t="shared" si="2"/>
        <v>8.3999999999999992E-6</v>
      </c>
    </row>
    <row r="173" spans="8:11">
      <c r="H173">
        <v>8.4</v>
      </c>
      <c r="I173" t="s">
        <v>121</v>
      </c>
      <c r="J173" t="s">
        <v>122</v>
      </c>
      <c r="K173" s="78">
        <f t="shared" si="2"/>
        <v>8.3999999999999992E-6</v>
      </c>
    </row>
    <row r="174" spans="8:11">
      <c r="H174">
        <v>8.4</v>
      </c>
      <c r="I174" t="s">
        <v>121</v>
      </c>
      <c r="J174" t="s">
        <v>122</v>
      </c>
      <c r="K174" s="78">
        <f t="shared" si="2"/>
        <v>8.3999999999999992E-6</v>
      </c>
    </row>
    <row r="175" spans="8:11">
      <c r="H175">
        <v>8.4</v>
      </c>
      <c r="I175" t="s">
        <v>121</v>
      </c>
      <c r="J175" t="s">
        <v>122</v>
      </c>
      <c r="K175" s="78">
        <f t="shared" si="2"/>
        <v>8.3999999999999992E-6</v>
      </c>
    </row>
    <row r="176" spans="8:11">
      <c r="H176">
        <v>8.4</v>
      </c>
      <c r="I176" t="s">
        <v>121</v>
      </c>
      <c r="J176" t="s">
        <v>122</v>
      </c>
      <c r="K176" s="78">
        <f t="shared" si="2"/>
        <v>8.3999999999999992E-6</v>
      </c>
    </row>
    <row r="177" spans="8:11">
      <c r="H177">
        <v>8.4</v>
      </c>
      <c r="I177" t="s">
        <v>121</v>
      </c>
      <c r="J177" t="s">
        <v>122</v>
      </c>
      <c r="K177" s="78">
        <f t="shared" si="2"/>
        <v>8.3999999999999992E-6</v>
      </c>
    </row>
    <row r="178" spans="8:11">
      <c r="H178">
        <v>8.4</v>
      </c>
      <c r="I178" t="s">
        <v>121</v>
      </c>
      <c r="J178" t="s">
        <v>122</v>
      </c>
      <c r="K178" s="78">
        <f t="shared" si="2"/>
        <v>8.3999999999999992E-6</v>
      </c>
    </row>
    <row r="179" spans="8:11">
      <c r="H179">
        <v>8.4</v>
      </c>
      <c r="I179" t="s">
        <v>121</v>
      </c>
      <c r="J179" t="s">
        <v>122</v>
      </c>
      <c r="K179" s="78">
        <f t="shared" si="2"/>
        <v>8.3999999999999992E-6</v>
      </c>
    </row>
    <row r="180" spans="8:11">
      <c r="H180">
        <v>8.4</v>
      </c>
      <c r="I180" t="s">
        <v>121</v>
      </c>
      <c r="J180" t="s">
        <v>122</v>
      </c>
      <c r="K180" s="78">
        <f t="shared" si="2"/>
        <v>8.3999999999999992E-6</v>
      </c>
    </row>
    <row r="181" spans="8:11">
      <c r="H181">
        <v>8.4</v>
      </c>
      <c r="I181" t="s">
        <v>121</v>
      </c>
      <c r="J181" t="s">
        <v>122</v>
      </c>
      <c r="K181" s="78">
        <f t="shared" si="2"/>
        <v>8.3999999999999992E-6</v>
      </c>
    </row>
    <row r="182" spans="8:11">
      <c r="H182">
        <v>8.4</v>
      </c>
      <c r="I182" t="s">
        <v>121</v>
      </c>
      <c r="J182" t="s">
        <v>122</v>
      </c>
      <c r="K182" s="78">
        <f t="shared" si="2"/>
        <v>8.3999999999999992E-6</v>
      </c>
    </row>
    <row r="183" spans="8:11">
      <c r="H183">
        <v>8.4</v>
      </c>
      <c r="I183" t="s">
        <v>121</v>
      </c>
      <c r="J183" t="s">
        <v>122</v>
      </c>
      <c r="K183" s="78">
        <f t="shared" si="2"/>
        <v>8.3999999999999992E-6</v>
      </c>
    </row>
    <row r="184" spans="8:11">
      <c r="H184">
        <v>8.4</v>
      </c>
      <c r="I184" t="s">
        <v>121</v>
      </c>
      <c r="J184" t="s">
        <v>122</v>
      </c>
      <c r="K184" s="78">
        <f t="shared" si="2"/>
        <v>8.3999999999999992E-6</v>
      </c>
    </row>
    <row r="185" spans="8:11">
      <c r="H185">
        <v>8.4</v>
      </c>
      <c r="I185" t="s">
        <v>121</v>
      </c>
      <c r="J185" t="s">
        <v>122</v>
      </c>
      <c r="K185" s="78">
        <f t="shared" si="2"/>
        <v>8.3999999999999992E-6</v>
      </c>
    </row>
    <row r="186" spans="8:11">
      <c r="H186">
        <v>8.4</v>
      </c>
      <c r="I186" t="s">
        <v>121</v>
      </c>
      <c r="J186" t="s">
        <v>122</v>
      </c>
      <c r="K186" s="78">
        <f t="shared" si="2"/>
        <v>8.3999999999999992E-6</v>
      </c>
    </row>
    <row r="187" spans="8:11">
      <c r="H187">
        <v>4.9000000000000004</v>
      </c>
      <c r="I187" t="s">
        <v>121</v>
      </c>
      <c r="J187" t="s">
        <v>122</v>
      </c>
      <c r="K187" s="78">
        <f t="shared" si="2"/>
        <v>4.9000000000000005E-6</v>
      </c>
    </row>
    <row r="188" spans="8:11">
      <c r="H188">
        <v>4.9000000000000004</v>
      </c>
      <c r="I188" t="s">
        <v>121</v>
      </c>
      <c r="J188" t="s">
        <v>122</v>
      </c>
      <c r="K188" s="78">
        <f t="shared" si="2"/>
        <v>4.9000000000000005E-6</v>
      </c>
    </row>
    <row r="189" spans="8:11">
      <c r="H189">
        <v>4.9000000000000004</v>
      </c>
      <c r="I189" t="s">
        <v>121</v>
      </c>
      <c r="J189" t="s">
        <v>122</v>
      </c>
      <c r="K189" s="78">
        <f t="shared" si="2"/>
        <v>4.9000000000000005E-6</v>
      </c>
    </row>
    <row r="190" spans="8:11">
      <c r="H190">
        <v>4.9000000000000004</v>
      </c>
      <c r="I190" t="s">
        <v>121</v>
      </c>
      <c r="J190" t="s">
        <v>122</v>
      </c>
      <c r="K190" s="78">
        <f t="shared" si="2"/>
        <v>4.9000000000000005E-6</v>
      </c>
    </row>
    <row r="191" spans="8:11">
      <c r="H191">
        <v>4.9000000000000004</v>
      </c>
      <c r="I191" t="s">
        <v>121</v>
      </c>
      <c r="J191" t="s">
        <v>122</v>
      </c>
      <c r="K191" s="78">
        <f t="shared" si="2"/>
        <v>4.9000000000000005E-6</v>
      </c>
    </row>
    <row r="192" spans="8:11">
      <c r="H192">
        <v>4.9000000000000004</v>
      </c>
      <c r="I192" t="s">
        <v>121</v>
      </c>
      <c r="J192" t="s">
        <v>122</v>
      </c>
      <c r="K192" s="78">
        <f t="shared" si="2"/>
        <v>4.9000000000000005E-6</v>
      </c>
    </row>
    <row r="193" spans="8:11">
      <c r="H193">
        <v>4.9000000000000004</v>
      </c>
      <c r="I193" t="s">
        <v>121</v>
      </c>
      <c r="J193" t="s">
        <v>122</v>
      </c>
      <c r="K193" s="78">
        <f t="shared" si="2"/>
        <v>4.9000000000000005E-6</v>
      </c>
    </row>
    <row r="194" spans="8:11">
      <c r="H194">
        <v>4.9000000000000004</v>
      </c>
      <c r="I194" t="s">
        <v>121</v>
      </c>
      <c r="J194" t="s">
        <v>122</v>
      </c>
      <c r="K194" s="78">
        <f t="shared" ref="K194:K257" si="3">H194*0.000001</f>
        <v>4.9000000000000005E-6</v>
      </c>
    </row>
    <row r="195" spans="8:11">
      <c r="H195">
        <v>4.9000000000000004</v>
      </c>
      <c r="I195" t="s">
        <v>121</v>
      </c>
      <c r="J195" t="s">
        <v>122</v>
      </c>
      <c r="K195" s="78">
        <f t="shared" si="3"/>
        <v>4.9000000000000005E-6</v>
      </c>
    </row>
    <row r="196" spans="8:11">
      <c r="H196">
        <v>4.9000000000000004</v>
      </c>
      <c r="I196" t="s">
        <v>121</v>
      </c>
      <c r="J196" t="s">
        <v>122</v>
      </c>
      <c r="K196" s="78">
        <f t="shared" si="3"/>
        <v>4.9000000000000005E-6</v>
      </c>
    </row>
    <row r="197" spans="8:11">
      <c r="H197">
        <v>4.9000000000000004</v>
      </c>
      <c r="I197" t="s">
        <v>121</v>
      </c>
      <c r="J197" t="s">
        <v>122</v>
      </c>
      <c r="K197" s="78">
        <f t="shared" si="3"/>
        <v>4.9000000000000005E-6</v>
      </c>
    </row>
    <row r="198" spans="8:11">
      <c r="H198">
        <v>4.9000000000000004</v>
      </c>
      <c r="I198" t="s">
        <v>121</v>
      </c>
      <c r="J198" t="s">
        <v>122</v>
      </c>
      <c r="K198" s="78">
        <f t="shared" si="3"/>
        <v>4.9000000000000005E-6</v>
      </c>
    </row>
    <row r="199" spans="8:11">
      <c r="H199">
        <v>4.9000000000000004</v>
      </c>
      <c r="I199" t="s">
        <v>121</v>
      </c>
      <c r="J199" t="s">
        <v>122</v>
      </c>
      <c r="K199" s="78">
        <f t="shared" si="3"/>
        <v>4.9000000000000005E-6</v>
      </c>
    </row>
    <row r="200" spans="8:11">
      <c r="H200">
        <v>4.9000000000000004</v>
      </c>
      <c r="I200" t="s">
        <v>121</v>
      </c>
      <c r="J200" t="s">
        <v>122</v>
      </c>
      <c r="K200" s="78">
        <f t="shared" si="3"/>
        <v>4.9000000000000005E-6</v>
      </c>
    </row>
    <row r="201" spans="8:11">
      <c r="H201">
        <v>4.9000000000000004</v>
      </c>
      <c r="I201" t="s">
        <v>121</v>
      </c>
      <c r="J201" t="s">
        <v>122</v>
      </c>
      <c r="K201" s="78">
        <f t="shared" si="3"/>
        <v>4.9000000000000005E-6</v>
      </c>
    </row>
    <row r="202" spans="8:11">
      <c r="H202">
        <v>4.9000000000000004</v>
      </c>
      <c r="I202" t="s">
        <v>121</v>
      </c>
      <c r="J202" t="s">
        <v>122</v>
      </c>
      <c r="K202" s="78">
        <f t="shared" si="3"/>
        <v>4.9000000000000005E-6</v>
      </c>
    </row>
    <row r="203" spans="8:11">
      <c r="H203">
        <v>4.9000000000000004</v>
      </c>
      <c r="I203" t="s">
        <v>121</v>
      </c>
      <c r="J203" t="s">
        <v>122</v>
      </c>
      <c r="K203" s="78">
        <f t="shared" si="3"/>
        <v>4.9000000000000005E-6</v>
      </c>
    </row>
    <row r="204" spans="8:11">
      <c r="H204">
        <v>4.9000000000000004</v>
      </c>
      <c r="I204" t="s">
        <v>121</v>
      </c>
      <c r="J204" t="s">
        <v>122</v>
      </c>
      <c r="K204" s="78">
        <f t="shared" si="3"/>
        <v>4.9000000000000005E-6</v>
      </c>
    </row>
    <row r="205" spans="8:11">
      <c r="H205">
        <v>4.9000000000000004</v>
      </c>
      <c r="I205" t="s">
        <v>121</v>
      </c>
      <c r="J205" t="s">
        <v>122</v>
      </c>
      <c r="K205" s="78">
        <f t="shared" si="3"/>
        <v>4.9000000000000005E-6</v>
      </c>
    </row>
    <row r="206" spans="8:11">
      <c r="H206">
        <v>4.9000000000000004</v>
      </c>
      <c r="I206" t="s">
        <v>121</v>
      </c>
      <c r="J206" t="s">
        <v>122</v>
      </c>
      <c r="K206" s="78">
        <f t="shared" si="3"/>
        <v>4.9000000000000005E-6</v>
      </c>
    </row>
    <row r="207" spans="8:11">
      <c r="H207">
        <v>4.9000000000000004</v>
      </c>
      <c r="I207" t="s">
        <v>121</v>
      </c>
      <c r="J207" t="s">
        <v>122</v>
      </c>
      <c r="K207" s="78">
        <f t="shared" si="3"/>
        <v>4.9000000000000005E-6</v>
      </c>
    </row>
    <row r="208" spans="8:11">
      <c r="H208">
        <v>4.9000000000000004</v>
      </c>
      <c r="I208" t="s">
        <v>121</v>
      </c>
      <c r="J208" t="s">
        <v>122</v>
      </c>
      <c r="K208" s="78">
        <f t="shared" si="3"/>
        <v>4.9000000000000005E-6</v>
      </c>
    </row>
    <row r="209" spans="8:11">
      <c r="H209">
        <v>4.9000000000000004</v>
      </c>
      <c r="I209" t="s">
        <v>121</v>
      </c>
      <c r="J209" t="s">
        <v>122</v>
      </c>
      <c r="K209" s="78">
        <f t="shared" si="3"/>
        <v>4.9000000000000005E-6</v>
      </c>
    </row>
    <row r="210" spans="8:11">
      <c r="H210">
        <v>4.9000000000000004</v>
      </c>
      <c r="I210" t="s">
        <v>121</v>
      </c>
      <c r="J210" t="s">
        <v>122</v>
      </c>
      <c r="K210" s="78">
        <f t="shared" si="3"/>
        <v>4.9000000000000005E-6</v>
      </c>
    </row>
    <row r="211" spans="8:11">
      <c r="H211">
        <v>4.9000000000000004</v>
      </c>
      <c r="I211" t="s">
        <v>121</v>
      </c>
      <c r="J211" t="s">
        <v>122</v>
      </c>
      <c r="K211" s="78">
        <f t="shared" si="3"/>
        <v>4.9000000000000005E-6</v>
      </c>
    </row>
    <row r="212" spans="8:11">
      <c r="H212">
        <v>4.9000000000000004</v>
      </c>
      <c r="I212" t="s">
        <v>121</v>
      </c>
      <c r="J212" t="s">
        <v>122</v>
      </c>
      <c r="K212" s="78">
        <f t="shared" si="3"/>
        <v>4.9000000000000005E-6</v>
      </c>
    </row>
    <row r="213" spans="8:11">
      <c r="H213">
        <v>4.9000000000000004</v>
      </c>
      <c r="I213" t="s">
        <v>121</v>
      </c>
      <c r="J213" t="s">
        <v>122</v>
      </c>
      <c r="K213" s="78">
        <f t="shared" si="3"/>
        <v>4.9000000000000005E-6</v>
      </c>
    </row>
    <row r="214" spans="8:11">
      <c r="H214">
        <v>4.9000000000000004</v>
      </c>
      <c r="I214" t="s">
        <v>121</v>
      </c>
      <c r="J214" t="s">
        <v>122</v>
      </c>
      <c r="K214" s="78">
        <f t="shared" si="3"/>
        <v>4.9000000000000005E-6</v>
      </c>
    </row>
    <row r="215" spans="8:11">
      <c r="H215">
        <v>4.9000000000000004</v>
      </c>
      <c r="I215" t="s">
        <v>121</v>
      </c>
      <c r="J215" t="s">
        <v>122</v>
      </c>
      <c r="K215" s="78">
        <f t="shared" si="3"/>
        <v>4.9000000000000005E-6</v>
      </c>
    </row>
    <row r="216" spans="8:11">
      <c r="H216">
        <v>4.9000000000000004</v>
      </c>
      <c r="I216" t="s">
        <v>121</v>
      </c>
      <c r="J216" t="s">
        <v>122</v>
      </c>
      <c r="K216" s="78">
        <f t="shared" si="3"/>
        <v>4.9000000000000005E-6</v>
      </c>
    </row>
    <row r="217" spans="8:11">
      <c r="H217">
        <v>4.9000000000000004</v>
      </c>
      <c r="I217" t="s">
        <v>121</v>
      </c>
      <c r="J217" t="s">
        <v>122</v>
      </c>
      <c r="K217" s="78">
        <f t="shared" si="3"/>
        <v>4.9000000000000005E-6</v>
      </c>
    </row>
    <row r="218" spans="8:11">
      <c r="H218">
        <v>11.8</v>
      </c>
      <c r="I218" t="s">
        <v>121</v>
      </c>
      <c r="J218" t="s">
        <v>122</v>
      </c>
      <c r="K218" s="78">
        <f t="shared" si="3"/>
        <v>1.1800000000000001E-5</v>
      </c>
    </row>
    <row r="219" spans="8:11">
      <c r="H219">
        <v>11.8</v>
      </c>
      <c r="I219" t="s">
        <v>121</v>
      </c>
      <c r="J219" t="s">
        <v>122</v>
      </c>
      <c r="K219" s="78">
        <f t="shared" si="3"/>
        <v>1.1800000000000001E-5</v>
      </c>
    </row>
    <row r="220" spans="8:11">
      <c r="H220">
        <v>11.8</v>
      </c>
      <c r="I220" t="s">
        <v>121</v>
      </c>
      <c r="J220" t="s">
        <v>122</v>
      </c>
      <c r="K220" s="78">
        <f t="shared" si="3"/>
        <v>1.1800000000000001E-5</v>
      </c>
    </row>
    <row r="221" spans="8:11">
      <c r="H221">
        <v>11.8</v>
      </c>
      <c r="I221" t="s">
        <v>121</v>
      </c>
      <c r="J221" t="s">
        <v>122</v>
      </c>
      <c r="K221" s="78">
        <f t="shared" si="3"/>
        <v>1.1800000000000001E-5</v>
      </c>
    </row>
    <row r="222" spans="8:11">
      <c r="H222">
        <v>11.8</v>
      </c>
      <c r="I222" t="s">
        <v>121</v>
      </c>
      <c r="J222" t="s">
        <v>122</v>
      </c>
      <c r="K222" s="78">
        <f t="shared" si="3"/>
        <v>1.1800000000000001E-5</v>
      </c>
    </row>
    <row r="223" spans="8:11">
      <c r="H223">
        <v>11.8</v>
      </c>
      <c r="I223" t="s">
        <v>121</v>
      </c>
      <c r="J223" t="s">
        <v>122</v>
      </c>
      <c r="K223" s="78">
        <f t="shared" si="3"/>
        <v>1.1800000000000001E-5</v>
      </c>
    </row>
    <row r="224" spans="8:11">
      <c r="H224">
        <v>11.8</v>
      </c>
      <c r="I224" t="s">
        <v>121</v>
      </c>
      <c r="J224" t="s">
        <v>122</v>
      </c>
      <c r="K224" s="78">
        <f t="shared" si="3"/>
        <v>1.1800000000000001E-5</v>
      </c>
    </row>
    <row r="225" spans="8:11">
      <c r="H225">
        <v>11.8</v>
      </c>
      <c r="I225" t="s">
        <v>121</v>
      </c>
      <c r="J225" t="s">
        <v>122</v>
      </c>
      <c r="K225" s="78">
        <f t="shared" si="3"/>
        <v>1.1800000000000001E-5</v>
      </c>
    </row>
    <row r="226" spans="8:11">
      <c r="H226">
        <v>11.8</v>
      </c>
      <c r="I226" t="s">
        <v>121</v>
      </c>
      <c r="J226" t="s">
        <v>122</v>
      </c>
      <c r="K226" s="78">
        <f t="shared" si="3"/>
        <v>1.1800000000000001E-5</v>
      </c>
    </row>
    <row r="227" spans="8:11">
      <c r="H227">
        <v>11.8</v>
      </c>
      <c r="I227" t="s">
        <v>121</v>
      </c>
      <c r="J227" t="s">
        <v>122</v>
      </c>
      <c r="K227" s="78">
        <f t="shared" si="3"/>
        <v>1.1800000000000001E-5</v>
      </c>
    </row>
    <row r="228" spans="8:11">
      <c r="H228">
        <v>11.8</v>
      </c>
      <c r="I228" t="s">
        <v>121</v>
      </c>
      <c r="J228" t="s">
        <v>122</v>
      </c>
      <c r="K228" s="78">
        <f t="shared" si="3"/>
        <v>1.1800000000000001E-5</v>
      </c>
    </row>
    <row r="229" spans="8:11">
      <c r="H229">
        <v>11.8</v>
      </c>
      <c r="I229" t="s">
        <v>121</v>
      </c>
      <c r="J229" t="s">
        <v>122</v>
      </c>
      <c r="K229" s="78">
        <f t="shared" si="3"/>
        <v>1.1800000000000001E-5</v>
      </c>
    </row>
    <row r="230" spans="8:11">
      <c r="H230">
        <v>11.8</v>
      </c>
      <c r="I230" t="s">
        <v>121</v>
      </c>
      <c r="J230" t="s">
        <v>122</v>
      </c>
      <c r="K230" s="78">
        <f t="shared" si="3"/>
        <v>1.1800000000000001E-5</v>
      </c>
    </row>
    <row r="231" spans="8:11">
      <c r="H231">
        <v>11.8</v>
      </c>
      <c r="I231" t="s">
        <v>121</v>
      </c>
      <c r="J231" t="s">
        <v>122</v>
      </c>
      <c r="K231" s="78">
        <f t="shared" si="3"/>
        <v>1.1800000000000001E-5</v>
      </c>
    </row>
    <row r="232" spans="8:11">
      <c r="H232">
        <v>11.8</v>
      </c>
      <c r="I232" t="s">
        <v>121</v>
      </c>
      <c r="J232" t="s">
        <v>122</v>
      </c>
      <c r="K232" s="78">
        <f t="shared" si="3"/>
        <v>1.1800000000000001E-5</v>
      </c>
    </row>
    <row r="233" spans="8:11">
      <c r="H233">
        <v>11.8</v>
      </c>
      <c r="I233" t="s">
        <v>121</v>
      </c>
      <c r="J233" t="s">
        <v>122</v>
      </c>
      <c r="K233" s="78">
        <f t="shared" si="3"/>
        <v>1.1800000000000001E-5</v>
      </c>
    </row>
    <row r="234" spans="8:11">
      <c r="H234">
        <v>11.8</v>
      </c>
      <c r="I234" t="s">
        <v>121</v>
      </c>
      <c r="J234" t="s">
        <v>122</v>
      </c>
      <c r="K234" s="78">
        <f t="shared" si="3"/>
        <v>1.1800000000000001E-5</v>
      </c>
    </row>
    <row r="235" spans="8:11">
      <c r="H235">
        <v>11.8</v>
      </c>
      <c r="I235" t="s">
        <v>121</v>
      </c>
      <c r="J235" t="s">
        <v>122</v>
      </c>
      <c r="K235" s="78">
        <f t="shared" si="3"/>
        <v>1.1800000000000001E-5</v>
      </c>
    </row>
    <row r="236" spans="8:11">
      <c r="H236">
        <v>11.8</v>
      </c>
      <c r="I236" t="s">
        <v>121</v>
      </c>
      <c r="J236" t="s">
        <v>122</v>
      </c>
      <c r="K236" s="78">
        <f t="shared" si="3"/>
        <v>1.1800000000000001E-5</v>
      </c>
    </row>
    <row r="237" spans="8:11">
      <c r="H237">
        <v>11.8</v>
      </c>
      <c r="I237" t="s">
        <v>121</v>
      </c>
      <c r="J237" t="s">
        <v>122</v>
      </c>
      <c r="K237" s="78">
        <f t="shared" si="3"/>
        <v>1.1800000000000001E-5</v>
      </c>
    </row>
    <row r="238" spans="8:11">
      <c r="H238">
        <v>11.8</v>
      </c>
      <c r="I238" t="s">
        <v>121</v>
      </c>
      <c r="J238" t="s">
        <v>122</v>
      </c>
      <c r="K238" s="78">
        <f t="shared" si="3"/>
        <v>1.1800000000000001E-5</v>
      </c>
    </row>
    <row r="239" spans="8:11">
      <c r="H239">
        <v>11.8</v>
      </c>
      <c r="I239" t="s">
        <v>121</v>
      </c>
      <c r="J239" t="s">
        <v>122</v>
      </c>
      <c r="K239" s="78">
        <f t="shared" si="3"/>
        <v>1.1800000000000001E-5</v>
      </c>
    </row>
    <row r="240" spans="8:11">
      <c r="H240">
        <v>11.8</v>
      </c>
      <c r="I240" t="s">
        <v>121</v>
      </c>
      <c r="J240" t="s">
        <v>122</v>
      </c>
      <c r="K240" s="78">
        <f t="shared" si="3"/>
        <v>1.1800000000000001E-5</v>
      </c>
    </row>
    <row r="241" spans="8:11">
      <c r="H241">
        <v>11.8</v>
      </c>
      <c r="I241" t="s">
        <v>121</v>
      </c>
      <c r="J241" t="s">
        <v>122</v>
      </c>
      <c r="K241" s="78">
        <f t="shared" si="3"/>
        <v>1.1800000000000001E-5</v>
      </c>
    </row>
    <row r="242" spans="8:11">
      <c r="H242">
        <v>11.8</v>
      </c>
      <c r="I242" t="s">
        <v>121</v>
      </c>
      <c r="J242" t="s">
        <v>122</v>
      </c>
      <c r="K242" s="78">
        <f t="shared" si="3"/>
        <v>1.1800000000000001E-5</v>
      </c>
    </row>
    <row r="243" spans="8:11">
      <c r="H243">
        <v>11.8</v>
      </c>
      <c r="I243" t="s">
        <v>121</v>
      </c>
      <c r="J243" t="s">
        <v>122</v>
      </c>
      <c r="K243" s="78">
        <f t="shared" si="3"/>
        <v>1.1800000000000001E-5</v>
      </c>
    </row>
    <row r="244" spans="8:11">
      <c r="H244">
        <v>11.8</v>
      </c>
      <c r="I244" t="s">
        <v>121</v>
      </c>
      <c r="J244" t="s">
        <v>122</v>
      </c>
      <c r="K244" s="78">
        <f t="shared" si="3"/>
        <v>1.1800000000000001E-5</v>
      </c>
    </row>
    <row r="245" spans="8:11">
      <c r="H245">
        <v>11.8</v>
      </c>
      <c r="I245" t="s">
        <v>121</v>
      </c>
      <c r="J245" t="s">
        <v>122</v>
      </c>
      <c r="K245" s="78">
        <f t="shared" si="3"/>
        <v>1.1800000000000001E-5</v>
      </c>
    </row>
    <row r="246" spans="8:11">
      <c r="H246">
        <v>11.8</v>
      </c>
      <c r="I246" t="s">
        <v>121</v>
      </c>
      <c r="J246" t="s">
        <v>122</v>
      </c>
      <c r="K246" s="78">
        <f t="shared" si="3"/>
        <v>1.1800000000000001E-5</v>
      </c>
    </row>
    <row r="247" spans="8:11">
      <c r="H247">
        <v>11.8</v>
      </c>
      <c r="I247" t="s">
        <v>121</v>
      </c>
      <c r="J247" t="s">
        <v>122</v>
      </c>
      <c r="K247" s="78">
        <f t="shared" si="3"/>
        <v>1.1800000000000001E-5</v>
      </c>
    </row>
    <row r="248" spans="8:11">
      <c r="H248">
        <v>11.8</v>
      </c>
      <c r="I248" t="s">
        <v>121</v>
      </c>
      <c r="J248" t="s">
        <v>122</v>
      </c>
      <c r="K248" s="78">
        <f t="shared" si="3"/>
        <v>1.1800000000000001E-5</v>
      </c>
    </row>
    <row r="249" spans="8:11">
      <c r="H249">
        <v>13</v>
      </c>
      <c r="I249" t="s">
        <v>121</v>
      </c>
      <c r="J249" t="s">
        <v>122</v>
      </c>
      <c r="K249" s="78">
        <f t="shared" si="3"/>
        <v>1.2999999999999999E-5</v>
      </c>
    </row>
    <row r="250" spans="8:11">
      <c r="H250">
        <v>13</v>
      </c>
      <c r="I250" t="s">
        <v>121</v>
      </c>
      <c r="J250" t="s">
        <v>122</v>
      </c>
      <c r="K250" s="78">
        <f t="shared" si="3"/>
        <v>1.2999999999999999E-5</v>
      </c>
    </row>
    <row r="251" spans="8:11">
      <c r="H251">
        <v>13</v>
      </c>
      <c r="I251" t="s">
        <v>121</v>
      </c>
      <c r="J251" t="s">
        <v>122</v>
      </c>
      <c r="K251" s="78">
        <f t="shared" si="3"/>
        <v>1.2999999999999999E-5</v>
      </c>
    </row>
    <row r="252" spans="8:11">
      <c r="H252">
        <v>13</v>
      </c>
      <c r="I252" t="s">
        <v>121</v>
      </c>
      <c r="J252" t="s">
        <v>122</v>
      </c>
      <c r="K252" s="78">
        <f t="shared" si="3"/>
        <v>1.2999999999999999E-5</v>
      </c>
    </row>
    <row r="253" spans="8:11">
      <c r="H253">
        <v>13</v>
      </c>
      <c r="I253" t="s">
        <v>121</v>
      </c>
      <c r="J253" t="s">
        <v>122</v>
      </c>
      <c r="K253" s="78">
        <f t="shared" si="3"/>
        <v>1.2999999999999999E-5</v>
      </c>
    </row>
    <row r="254" spans="8:11">
      <c r="H254">
        <v>13</v>
      </c>
      <c r="I254" t="s">
        <v>121</v>
      </c>
      <c r="J254" t="s">
        <v>122</v>
      </c>
      <c r="K254" s="78">
        <f t="shared" si="3"/>
        <v>1.2999999999999999E-5</v>
      </c>
    </row>
    <row r="255" spans="8:11">
      <c r="H255">
        <v>13</v>
      </c>
      <c r="I255" t="s">
        <v>121</v>
      </c>
      <c r="J255" t="s">
        <v>122</v>
      </c>
      <c r="K255" s="78">
        <f t="shared" si="3"/>
        <v>1.2999999999999999E-5</v>
      </c>
    </row>
    <row r="256" spans="8:11">
      <c r="H256">
        <v>13</v>
      </c>
      <c r="I256" t="s">
        <v>121</v>
      </c>
      <c r="J256" t="s">
        <v>122</v>
      </c>
      <c r="K256" s="78">
        <f t="shared" si="3"/>
        <v>1.2999999999999999E-5</v>
      </c>
    </row>
    <row r="257" spans="8:11">
      <c r="H257">
        <v>13</v>
      </c>
      <c r="I257" t="s">
        <v>121</v>
      </c>
      <c r="J257" t="s">
        <v>122</v>
      </c>
      <c r="K257" s="78">
        <f t="shared" si="3"/>
        <v>1.2999999999999999E-5</v>
      </c>
    </row>
    <row r="258" spans="8:11">
      <c r="H258">
        <v>13</v>
      </c>
      <c r="I258" t="s">
        <v>121</v>
      </c>
      <c r="J258" t="s">
        <v>122</v>
      </c>
      <c r="K258" s="78">
        <f t="shared" ref="K258:K321" si="4">H258*0.000001</f>
        <v>1.2999999999999999E-5</v>
      </c>
    </row>
    <row r="259" spans="8:11">
      <c r="H259">
        <v>13</v>
      </c>
      <c r="I259" t="s">
        <v>121</v>
      </c>
      <c r="J259" t="s">
        <v>122</v>
      </c>
      <c r="K259" s="78">
        <f t="shared" si="4"/>
        <v>1.2999999999999999E-5</v>
      </c>
    </row>
    <row r="260" spans="8:11">
      <c r="H260">
        <v>13</v>
      </c>
      <c r="I260" t="s">
        <v>121</v>
      </c>
      <c r="J260" t="s">
        <v>122</v>
      </c>
      <c r="K260" s="78">
        <f t="shared" si="4"/>
        <v>1.2999999999999999E-5</v>
      </c>
    </row>
    <row r="261" spans="8:11">
      <c r="H261">
        <v>13</v>
      </c>
      <c r="I261" t="s">
        <v>121</v>
      </c>
      <c r="J261" t="s">
        <v>122</v>
      </c>
      <c r="K261" s="78">
        <f t="shared" si="4"/>
        <v>1.2999999999999999E-5</v>
      </c>
    </row>
    <row r="262" spans="8:11">
      <c r="H262">
        <v>13</v>
      </c>
      <c r="I262" t="s">
        <v>121</v>
      </c>
      <c r="J262" t="s">
        <v>122</v>
      </c>
      <c r="K262" s="78">
        <f t="shared" si="4"/>
        <v>1.2999999999999999E-5</v>
      </c>
    </row>
    <row r="263" spans="8:11">
      <c r="H263">
        <v>13</v>
      </c>
      <c r="I263" t="s">
        <v>121</v>
      </c>
      <c r="J263" t="s">
        <v>122</v>
      </c>
      <c r="K263" s="78">
        <f t="shared" si="4"/>
        <v>1.2999999999999999E-5</v>
      </c>
    </row>
    <row r="264" spans="8:11">
      <c r="H264">
        <v>13</v>
      </c>
      <c r="I264" t="s">
        <v>121</v>
      </c>
      <c r="J264" t="s">
        <v>122</v>
      </c>
      <c r="K264" s="78">
        <f t="shared" si="4"/>
        <v>1.2999999999999999E-5</v>
      </c>
    </row>
    <row r="265" spans="8:11">
      <c r="H265">
        <v>13</v>
      </c>
      <c r="I265" t="s">
        <v>121</v>
      </c>
      <c r="J265" t="s">
        <v>122</v>
      </c>
      <c r="K265" s="78">
        <f t="shared" si="4"/>
        <v>1.2999999999999999E-5</v>
      </c>
    </row>
    <row r="266" spans="8:11">
      <c r="H266">
        <v>13</v>
      </c>
      <c r="I266" t="s">
        <v>121</v>
      </c>
      <c r="J266" t="s">
        <v>122</v>
      </c>
      <c r="K266" s="78">
        <f t="shared" si="4"/>
        <v>1.2999999999999999E-5</v>
      </c>
    </row>
    <row r="267" spans="8:11">
      <c r="H267">
        <v>13</v>
      </c>
      <c r="I267" t="s">
        <v>121</v>
      </c>
      <c r="J267" t="s">
        <v>122</v>
      </c>
      <c r="K267" s="78">
        <f t="shared" si="4"/>
        <v>1.2999999999999999E-5</v>
      </c>
    </row>
    <row r="268" spans="8:11">
      <c r="H268">
        <v>13</v>
      </c>
      <c r="I268" t="s">
        <v>121</v>
      </c>
      <c r="J268" t="s">
        <v>122</v>
      </c>
      <c r="K268" s="78">
        <f t="shared" si="4"/>
        <v>1.2999999999999999E-5</v>
      </c>
    </row>
    <row r="269" spans="8:11">
      <c r="H269">
        <v>13</v>
      </c>
      <c r="I269" t="s">
        <v>121</v>
      </c>
      <c r="J269" t="s">
        <v>122</v>
      </c>
      <c r="K269" s="78">
        <f t="shared" si="4"/>
        <v>1.2999999999999999E-5</v>
      </c>
    </row>
    <row r="270" spans="8:11">
      <c r="H270">
        <v>13</v>
      </c>
      <c r="I270" t="s">
        <v>121</v>
      </c>
      <c r="J270" t="s">
        <v>122</v>
      </c>
      <c r="K270" s="78">
        <f t="shared" si="4"/>
        <v>1.2999999999999999E-5</v>
      </c>
    </row>
    <row r="271" spans="8:11">
      <c r="H271">
        <v>13</v>
      </c>
      <c r="I271" t="s">
        <v>121</v>
      </c>
      <c r="J271" t="s">
        <v>122</v>
      </c>
      <c r="K271" s="78">
        <f t="shared" si="4"/>
        <v>1.2999999999999999E-5</v>
      </c>
    </row>
    <row r="272" spans="8:11">
      <c r="H272">
        <v>13</v>
      </c>
      <c r="I272" t="s">
        <v>121</v>
      </c>
      <c r="J272" t="s">
        <v>122</v>
      </c>
      <c r="K272" s="78">
        <f t="shared" si="4"/>
        <v>1.2999999999999999E-5</v>
      </c>
    </row>
    <row r="273" spans="8:11">
      <c r="H273">
        <v>13</v>
      </c>
      <c r="I273" t="s">
        <v>121</v>
      </c>
      <c r="J273" t="s">
        <v>122</v>
      </c>
      <c r="K273" s="78">
        <f t="shared" si="4"/>
        <v>1.2999999999999999E-5</v>
      </c>
    </row>
    <row r="274" spans="8:11">
      <c r="H274">
        <v>13</v>
      </c>
      <c r="I274" t="s">
        <v>121</v>
      </c>
      <c r="J274" t="s">
        <v>122</v>
      </c>
      <c r="K274" s="78">
        <f t="shared" si="4"/>
        <v>1.2999999999999999E-5</v>
      </c>
    </row>
    <row r="275" spans="8:11">
      <c r="H275">
        <v>13</v>
      </c>
      <c r="I275" t="s">
        <v>121</v>
      </c>
      <c r="J275" t="s">
        <v>122</v>
      </c>
      <c r="K275" s="78">
        <f t="shared" si="4"/>
        <v>1.2999999999999999E-5</v>
      </c>
    </row>
    <row r="276" spans="8:11">
      <c r="H276">
        <v>13</v>
      </c>
      <c r="I276" t="s">
        <v>121</v>
      </c>
      <c r="J276" t="s">
        <v>122</v>
      </c>
      <c r="K276" s="78">
        <f t="shared" si="4"/>
        <v>1.2999999999999999E-5</v>
      </c>
    </row>
    <row r="277" spans="8:11">
      <c r="H277">
        <v>13</v>
      </c>
      <c r="I277" t="s">
        <v>121</v>
      </c>
      <c r="J277" t="s">
        <v>122</v>
      </c>
      <c r="K277" s="78">
        <f t="shared" si="4"/>
        <v>1.2999999999999999E-5</v>
      </c>
    </row>
    <row r="278" spans="8:11">
      <c r="H278">
        <v>13</v>
      </c>
      <c r="I278" t="s">
        <v>121</v>
      </c>
      <c r="J278" t="s">
        <v>122</v>
      </c>
      <c r="K278" s="78">
        <f t="shared" si="4"/>
        <v>1.2999999999999999E-5</v>
      </c>
    </row>
    <row r="279" spans="8:11">
      <c r="H279">
        <v>13</v>
      </c>
      <c r="I279" t="s">
        <v>121</v>
      </c>
      <c r="J279" t="s">
        <v>122</v>
      </c>
      <c r="K279" s="78">
        <f t="shared" si="4"/>
        <v>1.2999999999999999E-5</v>
      </c>
    </row>
    <row r="280" spans="8:11">
      <c r="H280">
        <v>13.4</v>
      </c>
      <c r="I280" t="s">
        <v>121</v>
      </c>
      <c r="J280" t="s">
        <v>122</v>
      </c>
      <c r="K280" s="78">
        <f t="shared" si="4"/>
        <v>1.34E-5</v>
      </c>
    </row>
    <row r="281" spans="8:11">
      <c r="H281">
        <v>13.4</v>
      </c>
      <c r="I281" t="s">
        <v>121</v>
      </c>
      <c r="J281" t="s">
        <v>122</v>
      </c>
      <c r="K281" s="78">
        <f t="shared" si="4"/>
        <v>1.34E-5</v>
      </c>
    </row>
    <row r="282" spans="8:11">
      <c r="H282">
        <v>13.4</v>
      </c>
      <c r="I282" t="s">
        <v>121</v>
      </c>
      <c r="J282" t="s">
        <v>122</v>
      </c>
      <c r="K282" s="78">
        <f t="shared" si="4"/>
        <v>1.34E-5</v>
      </c>
    </row>
    <row r="283" spans="8:11">
      <c r="H283">
        <v>13.4</v>
      </c>
      <c r="I283" t="s">
        <v>121</v>
      </c>
      <c r="J283" t="s">
        <v>122</v>
      </c>
      <c r="K283" s="78">
        <f t="shared" si="4"/>
        <v>1.34E-5</v>
      </c>
    </row>
    <row r="284" spans="8:11">
      <c r="H284">
        <v>13.4</v>
      </c>
      <c r="I284" t="s">
        <v>121</v>
      </c>
      <c r="J284" t="s">
        <v>122</v>
      </c>
      <c r="K284" s="78">
        <f t="shared" si="4"/>
        <v>1.34E-5</v>
      </c>
    </row>
    <row r="285" spans="8:11">
      <c r="H285">
        <v>13.4</v>
      </c>
      <c r="I285" t="s">
        <v>121</v>
      </c>
      <c r="J285" t="s">
        <v>122</v>
      </c>
      <c r="K285" s="78">
        <f t="shared" si="4"/>
        <v>1.34E-5</v>
      </c>
    </row>
    <row r="286" spans="8:11">
      <c r="H286">
        <v>13.4</v>
      </c>
      <c r="I286" t="s">
        <v>121</v>
      </c>
      <c r="J286" t="s">
        <v>122</v>
      </c>
      <c r="K286" s="78">
        <f t="shared" si="4"/>
        <v>1.34E-5</v>
      </c>
    </row>
    <row r="287" spans="8:11">
      <c r="H287">
        <v>13.4</v>
      </c>
      <c r="I287" t="s">
        <v>121</v>
      </c>
      <c r="J287" t="s">
        <v>122</v>
      </c>
      <c r="K287" s="78">
        <f t="shared" si="4"/>
        <v>1.34E-5</v>
      </c>
    </row>
    <row r="288" spans="8:11">
      <c r="H288">
        <v>13.4</v>
      </c>
      <c r="I288" t="s">
        <v>121</v>
      </c>
      <c r="J288" t="s">
        <v>122</v>
      </c>
      <c r="K288" s="78">
        <f t="shared" si="4"/>
        <v>1.34E-5</v>
      </c>
    </row>
    <row r="289" spans="8:11">
      <c r="H289">
        <v>13.4</v>
      </c>
      <c r="I289" t="s">
        <v>121</v>
      </c>
      <c r="J289" t="s">
        <v>122</v>
      </c>
      <c r="K289" s="78">
        <f t="shared" si="4"/>
        <v>1.34E-5</v>
      </c>
    </row>
    <row r="290" spans="8:11">
      <c r="H290">
        <v>13.4</v>
      </c>
      <c r="I290" t="s">
        <v>121</v>
      </c>
      <c r="J290" t="s">
        <v>122</v>
      </c>
      <c r="K290" s="78">
        <f t="shared" si="4"/>
        <v>1.34E-5</v>
      </c>
    </row>
    <row r="291" spans="8:11">
      <c r="H291">
        <v>13.4</v>
      </c>
      <c r="I291" t="s">
        <v>121</v>
      </c>
      <c r="J291" t="s">
        <v>122</v>
      </c>
      <c r="K291" s="78">
        <f t="shared" si="4"/>
        <v>1.34E-5</v>
      </c>
    </row>
    <row r="292" spans="8:11">
      <c r="H292">
        <v>13.4</v>
      </c>
      <c r="I292" t="s">
        <v>121</v>
      </c>
      <c r="J292" t="s">
        <v>122</v>
      </c>
      <c r="K292" s="78">
        <f t="shared" si="4"/>
        <v>1.34E-5</v>
      </c>
    </row>
    <row r="293" spans="8:11">
      <c r="H293">
        <v>13.4</v>
      </c>
      <c r="I293" t="s">
        <v>121</v>
      </c>
      <c r="J293" t="s">
        <v>122</v>
      </c>
      <c r="K293" s="78">
        <f t="shared" si="4"/>
        <v>1.34E-5</v>
      </c>
    </row>
    <row r="294" spans="8:11">
      <c r="H294">
        <v>13.4</v>
      </c>
      <c r="I294" t="s">
        <v>121</v>
      </c>
      <c r="J294" t="s">
        <v>122</v>
      </c>
      <c r="K294" s="78">
        <f t="shared" si="4"/>
        <v>1.34E-5</v>
      </c>
    </row>
    <row r="295" spans="8:11">
      <c r="H295">
        <v>13.4</v>
      </c>
      <c r="I295" t="s">
        <v>121</v>
      </c>
      <c r="J295" t="s">
        <v>122</v>
      </c>
      <c r="K295" s="78">
        <f t="shared" si="4"/>
        <v>1.34E-5</v>
      </c>
    </row>
    <row r="296" spans="8:11">
      <c r="H296">
        <v>13.4</v>
      </c>
      <c r="I296" t="s">
        <v>121</v>
      </c>
      <c r="J296" t="s">
        <v>122</v>
      </c>
      <c r="K296" s="78">
        <f t="shared" si="4"/>
        <v>1.34E-5</v>
      </c>
    </row>
    <row r="297" spans="8:11">
      <c r="H297">
        <v>13.4</v>
      </c>
      <c r="I297" t="s">
        <v>121</v>
      </c>
      <c r="J297" t="s">
        <v>122</v>
      </c>
      <c r="K297" s="78">
        <f t="shared" si="4"/>
        <v>1.34E-5</v>
      </c>
    </row>
    <row r="298" spans="8:11">
      <c r="H298">
        <v>13.4</v>
      </c>
      <c r="I298" t="s">
        <v>121</v>
      </c>
      <c r="J298" t="s">
        <v>122</v>
      </c>
      <c r="K298" s="78">
        <f t="shared" si="4"/>
        <v>1.34E-5</v>
      </c>
    </row>
    <row r="299" spans="8:11">
      <c r="H299">
        <v>13.4</v>
      </c>
      <c r="I299" t="s">
        <v>121</v>
      </c>
      <c r="J299" t="s">
        <v>122</v>
      </c>
      <c r="K299" s="78">
        <f t="shared" si="4"/>
        <v>1.34E-5</v>
      </c>
    </row>
    <row r="300" spans="8:11">
      <c r="H300">
        <v>13.4</v>
      </c>
      <c r="I300" t="s">
        <v>121</v>
      </c>
      <c r="J300" t="s">
        <v>122</v>
      </c>
      <c r="K300" s="78">
        <f t="shared" si="4"/>
        <v>1.34E-5</v>
      </c>
    </row>
    <row r="301" spans="8:11">
      <c r="H301">
        <v>13.4</v>
      </c>
      <c r="I301" t="s">
        <v>121</v>
      </c>
      <c r="J301" t="s">
        <v>122</v>
      </c>
      <c r="K301" s="78">
        <f t="shared" si="4"/>
        <v>1.34E-5</v>
      </c>
    </row>
    <row r="302" spans="8:11">
      <c r="H302">
        <v>13.4</v>
      </c>
      <c r="I302" t="s">
        <v>121</v>
      </c>
      <c r="J302" t="s">
        <v>122</v>
      </c>
      <c r="K302" s="78">
        <f t="shared" si="4"/>
        <v>1.34E-5</v>
      </c>
    </row>
    <row r="303" spans="8:11">
      <c r="H303">
        <v>13.4</v>
      </c>
      <c r="I303" t="s">
        <v>121</v>
      </c>
      <c r="J303" t="s">
        <v>122</v>
      </c>
      <c r="K303" s="78">
        <f t="shared" si="4"/>
        <v>1.34E-5</v>
      </c>
    </row>
    <row r="304" spans="8:11">
      <c r="H304">
        <v>13.4</v>
      </c>
      <c r="I304" t="s">
        <v>121</v>
      </c>
      <c r="J304" t="s">
        <v>122</v>
      </c>
      <c r="K304" s="78">
        <f t="shared" si="4"/>
        <v>1.34E-5</v>
      </c>
    </row>
    <row r="305" spans="8:11">
      <c r="H305">
        <v>13.4</v>
      </c>
      <c r="I305" t="s">
        <v>121</v>
      </c>
      <c r="J305" t="s">
        <v>122</v>
      </c>
      <c r="K305" s="78">
        <f t="shared" si="4"/>
        <v>1.34E-5</v>
      </c>
    </row>
    <row r="306" spans="8:11">
      <c r="H306">
        <v>13.4</v>
      </c>
      <c r="I306" t="s">
        <v>121</v>
      </c>
      <c r="J306" t="s">
        <v>122</v>
      </c>
      <c r="K306" s="78">
        <f t="shared" si="4"/>
        <v>1.34E-5</v>
      </c>
    </row>
    <row r="307" spans="8:11">
      <c r="H307">
        <v>13.4</v>
      </c>
      <c r="I307" t="s">
        <v>121</v>
      </c>
      <c r="J307" t="s">
        <v>122</v>
      </c>
      <c r="K307" s="78">
        <f t="shared" si="4"/>
        <v>1.34E-5</v>
      </c>
    </row>
    <row r="308" spans="8:11">
      <c r="H308">
        <v>13.4</v>
      </c>
      <c r="I308" t="s">
        <v>121</v>
      </c>
      <c r="J308" t="s">
        <v>122</v>
      </c>
      <c r="K308" s="78">
        <f t="shared" si="4"/>
        <v>1.34E-5</v>
      </c>
    </row>
    <row r="309" spans="8:11">
      <c r="H309">
        <v>13.4</v>
      </c>
      <c r="I309" t="s">
        <v>121</v>
      </c>
      <c r="J309" t="s">
        <v>122</v>
      </c>
      <c r="K309" s="78">
        <f t="shared" si="4"/>
        <v>1.34E-5</v>
      </c>
    </row>
    <row r="310" spans="8:11">
      <c r="H310">
        <v>13.4</v>
      </c>
      <c r="I310" t="s">
        <v>121</v>
      </c>
      <c r="J310" t="s">
        <v>122</v>
      </c>
      <c r="K310" s="78">
        <f t="shared" si="4"/>
        <v>1.34E-5</v>
      </c>
    </row>
    <row r="311" spans="8:11">
      <c r="H311">
        <v>10.6</v>
      </c>
      <c r="I311" t="s">
        <v>121</v>
      </c>
      <c r="J311" t="s">
        <v>122</v>
      </c>
      <c r="K311" s="78">
        <f t="shared" si="4"/>
        <v>1.0599999999999998E-5</v>
      </c>
    </row>
    <row r="312" spans="8:11">
      <c r="H312">
        <v>10.6</v>
      </c>
      <c r="I312" t="s">
        <v>121</v>
      </c>
      <c r="J312" t="s">
        <v>122</v>
      </c>
      <c r="K312" s="78">
        <f t="shared" si="4"/>
        <v>1.0599999999999998E-5</v>
      </c>
    </row>
    <row r="313" spans="8:11">
      <c r="H313">
        <v>10.6</v>
      </c>
      <c r="I313" t="s">
        <v>121</v>
      </c>
      <c r="J313" t="s">
        <v>122</v>
      </c>
      <c r="K313" s="78">
        <f t="shared" si="4"/>
        <v>1.0599999999999998E-5</v>
      </c>
    </row>
    <row r="314" spans="8:11">
      <c r="H314">
        <v>10.6</v>
      </c>
      <c r="I314" t="s">
        <v>121</v>
      </c>
      <c r="J314" t="s">
        <v>122</v>
      </c>
      <c r="K314" s="78">
        <f t="shared" si="4"/>
        <v>1.0599999999999998E-5</v>
      </c>
    </row>
    <row r="315" spans="8:11">
      <c r="H315">
        <v>10.6</v>
      </c>
      <c r="I315" t="s">
        <v>121</v>
      </c>
      <c r="J315" t="s">
        <v>122</v>
      </c>
      <c r="K315" s="78">
        <f t="shared" si="4"/>
        <v>1.0599999999999998E-5</v>
      </c>
    </row>
    <row r="316" spans="8:11">
      <c r="H316">
        <v>10.6</v>
      </c>
      <c r="I316" t="s">
        <v>121</v>
      </c>
      <c r="J316" t="s">
        <v>122</v>
      </c>
      <c r="K316" s="78">
        <f t="shared" si="4"/>
        <v>1.0599999999999998E-5</v>
      </c>
    </row>
    <row r="317" spans="8:11">
      <c r="H317">
        <v>10.6</v>
      </c>
      <c r="I317" t="s">
        <v>121</v>
      </c>
      <c r="J317" t="s">
        <v>122</v>
      </c>
      <c r="K317" s="78">
        <f t="shared" si="4"/>
        <v>1.0599999999999998E-5</v>
      </c>
    </row>
    <row r="318" spans="8:11">
      <c r="H318">
        <v>10.6</v>
      </c>
      <c r="I318" t="s">
        <v>121</v>
      </c>
      <c r="J318" t="s">
        <v>122</v>
      </c>
      <c r="K318" s="78">
        <f t="shared" si="4"/>
        <v>1.0599999999999998E-5</v>
      </c>
    </row>
    <row r="319" spans="8:11">
      <c r="H319">
        <v>10.6</v>
      </c>
      <c r="I319" t="s">
        <v>121</v>
      </c>
      <c r="J319" t="s">
        <v>122</v>
      </c>
      <c r="K319" s="78">
        <f t="shared" si="4"/>
        <v>1.0599999999999998E-5</v>
      </c>
    </row>
    <row r="320" spans="8:11">
      <c r="H320">
        <v>10.6</v>
      </c>
      <c r="I320" t="s">
        <v>121</v>
      </c>
      <c r="J320" t="s">
        <v>122</v>
      </c>
      <c r="K320" s="78">
        <f t="shared" si="4"/>
        <v>1.0599999999999998E-5</v>
      </c>
    </row>
    <row r="321" spans="8:11">
      <c r="H321">
        <v>10.6</v>
      </c>
      <c r="I321" t="s">
        <v>121</v>
      </c>
      <c r="J321" t="s">
        <v>122</v>
      </c>
      <c r="K321" s="78">
        <f t="shared" si="4"/>
        <v>1.0599999999999998E-5</v>
      </c>
    </row>
    <row r="322" spans="8:11">
      <c r="H322">
        <v>10.6</v>
      </c>
      <c r="I322" t="s">
        <v>121</v>
      </c>
      <c r="J322" t="s">
        <v>122</v>
      </c>
      <c r="K322" s="78">
        <f t="shared" ref="K322:K385" si="5">H322*0.000001</f>
        <v>1.0599999999999998E-5</v>
      </c>
    </row>
    <row r="323" spans="8:11">
      <c r="H323">
        <v>10.6</v>
      </c>
      <c r="I323" t="s">
        <v>121</v>
      </c>
      <c r="J323" t="s">
        <v>122</v>
      </c>
      <c r="K323" s="78">
        <f t="shared" si="5"/>
        <v>1.0599999999999998E-5</v>
      </c>
    </row>
    <row r="324" spans="8:11">
      <c r="H324">
        <v>10.6</v>
      </c>
      <c r="I324" t="s">
        <v>121</v>
      </c>
      <c r="J324" t="s">
        <v>122</v>
      </c>
      <c r="K324" s="78">
        <f t="shared" si="5"/>
        <v>1.0599999999999998E-5</v>
      </c>
    </row>
    <row r="325" spans="8:11">
      <c r="H325">
        <v>10.6</v>
      </c>
      <c r="I325" t="s">
        <v>121</v>
      </c>
      <c r="J325" t="s">
        <v>122</v>
      </c>
      <c r="K325" s="78">
        <f t="shared" si="5"/>
        <v>1.0599999999999998E-5</v>
      </c>
    </row>
    <row r="326" spans="8:11">
      <c r="H326">
        <v>10.6</v>
      </c>
      <c r="I326" t="s">
        <v>121</v>
      </c>
      <c r="J326" t="s">
        <v>122</v>
      </c>
      <c r="K326" s="78">
        <f t="shared" si="5"/>
        <v>1.0599999999999998E-5</v>
      </c>
    </row>
    <row r="327" spans="8:11">
      <c r="H327">
        <v>10.6</v>
      </c>
      <c r="I327" t="s">
        <v>121</v>
      </c>
      <c r="J327" t="s">
        <v>122</v>
      </c>
      <c r="K327" s="78">
        <f t="shared" si="5"/>
        <v>1.0599999999999998E-5</v>
      </c>
    </row>
    <row r="328" spans="8:11">
      <c r="H328">
        <v>10.6</v>
      </c>
      <c r="I328" t="s">
        <v>121</v>
      </c>
      <c r="J328" t="s">
        <v>122</v>
      </c>
      <c r="K328" s="78">
        <f t="shared" si="5"/>
        <v>1.0599999999999998E-5</v>
      </c>
    </row>
    <row r="329" spans="8:11">
      <c r="H329">
        <v>10.6</v>
      </c>
      <c r="I329" t="s">
        <v>121</v>
      </c>
      <c r="J329" t="s">
        <v>122</v>
      </c>
      <c r="K329" s="78">
        <f t="shared" si="5"/>
        <v>1.0599999999999998E-5</v>
      </c>
    </row>
    <row r="330" spans="8:11">
      <c r="H330">
        <v>10.6</v>
      </c>
      <c r="I330" t="s">
        <v>121</v>
      </c>
      <c r="J330" t="s">
        <v>122</v>
      </c>
      <c r="K330" s="78">
        <f t="shared" si="5"/>
        <v>1.0599999999999998E-5</v>
      </c>
    </row>
    <row r="331" spans="8:11">
      <c r="H331">
        <v>10.6</v>
      </c>
      <c r="I331" t="s">
        <v>121</v>
      </c>
      <c r="J331" t="s">
        <v>122</v>
      </c>
      <c r="K331" s="78">
        <f t="shared" si="5"/>
        <v>1.0599999999999998E-5</v>
      </c>
    </row>
    <row r="332" spans="8:11">
      <c r="H332">
        <v>10.6</v>
      </c>
      <c r="I332" t="s">
        <v>121</v>
      </c>
      <c r="J332" t="s">
        <v>122</v>
      </c>
      <c r="K332" s="78">
        <f t="shared" si="5"/>
        <v>1.0599999999999998E-5</v>
      </c>
    </row>
    <row r="333" spans="8:11">
      <c r="H333">
        <v>10.6</v>
      </c>
      <c r="I333" t="s">
        <v>121</v>
      </c>
      <c r="J333" t="s">
        <v>122</v>
      </c>
      <c r="K333" s="78">
        <f t="shared" si="5"/>
        <v>1.0599999999999998E-5</v>
      </c>
    </row>
    <row r="334" spans="8:11">
      <c r="H334">
        <v>10.6</v>
      </c>
      <c r="I334" t="s">
        <v>121</v>
      </c>
      <c r="J334" t="s">
        <v>122</v>
      </c>
      <c r="K334" s="78">
        <f t="shared" si="5"/>
        <v>1.0599999999999998E-5</v>
      </c>
    </row>
    <row r="335" spans="8:11">
      <c r="H335">
        <v>10.6</v>
      </c>
      <c r="I335" t="s">
        <v>121</v>
      </c>
      <c r="J335" t="s">
        <v>122</v>
      </c>
      <c r="K335" s="78">
        <f t="shared" si="5"/>
        <v>1.0599999999999998E-5</v>
      </c>
    </row>
    <row r="336" spans="8:11">
      <c r="H336">
        <v>10.6</v>
      </c>
      <c r="I336" t="s">
        <v>121</v>
      </c>
      <c r="J336" t="s">
        <v>122</v>
      </c>
      <c r="K336" s="78">
        <f t="shared" si="5"/>
        <v>1.0599999999999998E-5</v>
      </c>
    </row>
    <row r="337" spans="8:11">
      <c r="H337">
        <v>10.6</v>
      </c>
      <c r="I337" t="s">
        <v>121</v>
      </c>
      <c r="J337" t="s">
        <v>122</v>
      </c>
      <c r="K337" s="78">
        <f t="shared" si="5"/>
        <v>1.0599999999999998E-5</v>
      </c>
    </row>
    <row r="338" spans="8:11">
      <c r="H338">
        <v>10.6</v>
      </c>
      <c r="I338" t="s">
        <v>121</v>
      </c>
      <c r="J338" t="s">
        <v>122</v>
      </c>
      <c r="K338" s="78">
        <f t="shared" si="5"/>
        <v>1.0599999999999998E-5</v>
      </c>
    </row>
    <row r="339" spans="8:11">
      <c r="H339">
        <v>10.6</v>
      </c>
      <c r="I339" t="s">
        <v>121</v>
      </c>
      <c r="J339" t="s">
        <v>122</v>
      </c>
      <c r="K339" s="78">
        <f t="shared" si="5"/>
        <v>1.0599999999999998E-5</v>
      </c>
    </row>
    <row r="340" spans="8:11">
      <c r="H340">
        <v>10.6</v>
      </c>
      <c r="I340" t="s">
        <v>121</v>
      </c>
      <c r="J340" t="s">
        <v>122</v>
      </c>
      <c r="K340" s="78">
        <f t="shared" si="5"/>
        <v>1.0599999999999998E-5</v>
      </c>
    </row>
    <row r="341" spans="8:11">
      <c r="H341">
        <v>10.6</v>
      </c>
      <c r="I341" t="s">
        <v>121</v>
      </c>
      <c r="J341" t="s">
        <v>122</v>
      </c>
      <c r="K341" s="78">
        <f t="shared" si="5"/>
        <v>1.0599999999999998E-5</v>
      </c>
    </row>
    <row r="342" spans="8:11">
      <c r="H342">
        <v>5.7</v>
      </c>
      <c r="I342" t="s">
        <v>121</v>
      </c>
      <c r="J342" t="s">
        <v>122</v>
      </c>
      <c r="K342" s="78">
        <f t="shared" si="5"/>
        <v>5.6999999999999996E-6</v>
      </c>
    </row>
    <row r="343" spans="8:11">
      <c r="H343">
        <v>5.7</v>
      </c>
      <c r="I343" t="s">
        <v>121</v>
      </c>
      <c r="J343" t="s">
        <v>122</v>
      </c>
      <c r="K343" s="78">
        <f t="shared" si="5"/>
        <v>5.6999999999999996E-6</v>
      </c>
    </row>
    <row r="344" spans="8:11">
      <c r="H344">
        <v>5.7</v>
      </c>
      <c r="I344" t="s">
        <v>121</v>
      </c>
      <c r="J344" t="s">
        <v>122</v>
      </c>
      <c r="K344" s="78">
        <f t="shared" si="5"/>
        <v>5.6999999999999996E-6</v>
      </c>
    </row>
    <row r="345" spans="8:11">
      <c r="H345">
        <v>5.7</v>
      </c>
      <c r="I345" t="s">
        <v>121</v>
      </c>
      <c r="J345" t="s">
        <v>122</v>
      </c>
      <c r="K345" s="78">
        <f t="shared" si="5"/>
        <v>5.6999999999999996E-6</v>
      </c>
    </row>
    <row r="346" spans="8:11">
      <c r="H346">
        <v>5.7</v>
      </c>
      <c r="I346" t="s">
        <v>121</v>
      </c>
      <c r="J346" t="s">
        <v>122</v>
      </c>
      <c r="K346" s="78">
        <f t="shared" si="5"/>
        <v>5.6999999999999996E-6</v>
      </c>
    </row>
    <row r="347" spans="8:11">
      <c r="H347">
        <v>5.7</v>
      </c>
      <c r="I347" t="s">
        <v>121</v>
      </c>
      <c r="J347" t="s">
        <v>122</v>
      </c>
      <c r="K347" s="78">
        <f t="shared" si="5"/>
        <v>5.6999999999999996E-6</v>
      </c>
    </row>
    <row r="348" spans="8:11">
      <c r="H348">
        <v>5.7</v>
      </c>
      <c r="I348" t="s">
        <v>121</v>
      </c>
      <c r="J348" t="s">
        <v>122</v>
      </c>
      <c r="K348" s="78">
        <f t="shared" si="5"/>
        <v>5.6999999999999996E-6</v>
      </c>
    </row>
    <row r="349" spans="8:11">
      <c r="H349">
        <v>5.7</v>
      </c>
      <c r="I349" t="s">
        <v>121</v>
      </c>
      <c r="J349" t="s">
        <v>122</v>
      </c>
      <c r="K349" s="78">
        <f t="shared" si="5"/>
        <v>5.6999999999999996E-6</v>
      </c>
    </row>
    <row r="350" spans="8:11">
      <c r="H350">
        <v>5.7</v>
      </c>
      <c r="I350" t="s">
        <v>121</v>
      </c>
      <c r="J350" t="s">
        <v>122</v>
      </c>
      <c r="K350" s="78">
        <f t="shared" si="5"/>
        <v>5.6999999999999996E-6</v>
      </c>
    </row>
    <row r="351" spans="8:11">
      <c r="H351">
        <v>5.7</v>
      </c>
      <c r="I351" t="s">
        <v>121</v>
      </c>
      <c r="J351" t="s">
        <v>122</v>
      </c>
      <c r="K351" s="78">
        <f t="shared" si="5"/>
        <v>5.6999999999999996E-6</v>
      </c>
    </row>
    <row r="352" spans="8:11">
      <c r="H352">
        <v>5.7</v>
      </c>
      <c r="I352" t="s">
        <v>121</v>
      </c>
      <c r="J352" t="s">
        <v>122</v>
      </c>
      <c r="K352" s="78">
        <f t="shared" si="5"/>
        <v>5.6999999999999996E-6</v>
      </c>
    </row>
    <row r="353" spans="8:11">
      <c r="H353">
        <v>5.7</v>
      </c>
      <c r="I353" t="s">
        <v>121</v>
      </c>
      <c r="J353" t="s">
        <v>122</v>
      </c>
      <c r="K353" s="78">
        <f t="shared" si="5"/>
        <v>5.6999999999999996E-6</v>
      </c>
    </row>
    <row r="354" spans="8:11">
      <c r="H354">
        <v>5.7</v>
      </c>
      <c r="I354" t="s">
        <v>121</v>
      </c>
      <c r="J354" t="s">
        <v>122</v>
      </c>
      <c r="K354" s="78">
        <f t="shared" si="5"/>
        <v>5.6999999999999996E-6</v>
      </c>
    </row>
    <row r="355" spans="8:11">
      <c r="H355">
        <v>5.7</v>
      </c>
      <c r="I355" t="s">
        <v>121</v>
      </c>
      <c r="J355" t="s">
        <v>122</v>
      </c>
      <c r="K355" s="78">
        <f t="shared" si="5"/>
        <v>5.6999999999999996E-6</v>
      </c>
    </row>
    <row r="356" spans="8:11">
      <c r="H356">
        <v>5.7</v>
      </c>
      <c r="I356" t="s">
        <v>121</v>
      </c>
      <c r="J356" t="s">
        <v>122</v>
      </c>
      <c r="K356" s="78">
        <f t="shared" si="5"/>
        <v>5.6999999999999996E-6</v>
      </c>
    </row>
    <row r="357" spans="8:11">
      <c r="H357">
        <v>5.7</v>
      </c>
      <c r="I357" t="s">
        <v>121</v>
      </c>
      <c r="J357" t="s">
        <v>122</v>
      </c>
      <c r="K357" s="78">
        <f t="shared" si="5"/>
        <v>5.6999999999999996E-6</v>
      </c>
    </row>
    <row r="358" spans="8:11">
      <c r="H358">
        <v>5.7</v>
      </c>
      <c r="I358" t="s">
        <v>121</v>
      </c>
      <c r="J358" t="s">
        <v>122</v>
      </c>
      <c r="K358" s="78">
        <f t="shared" si="5"/>
        <v>5.6999999999999996E-6</v>
      </c>
    </row>
    <row r="359" spans="8:11">
      <c r="H359">
        <v>5.7</v>
      </c>
      <c r="I359" t="s">
        <v>121</v>
      </c>
      <c r="J359" t="s">
        <v>122</v>
      </c>
      <c r="K359" s="78">
        <f t="shared" si="5"/>
        <v>5.6999999999999996E-6</v>
      </c>
    </row>
    <row r="360" spans="8:11">
      <c r="H360">
        <v>5.7</v>
      </c>
      <c r="I360" t="s">
        <v>121</v>
      </c>
      <c r="J360" t="s">
        <v>122</v>
      </c>
      <c r="K360" s="78">
        <f t="shared" si="5"/>
        <v>5.6999999999999996E-6</v>
      </c>
    </row>
    <row r="361" spans="8:11">
      <c r="H361">
        <v>5.7</v>
      </c>
      <c r="I361" t="s">
        <v>121</v>
      </c>
      <c r="J361" t="s">
        <v>122</v>
      </c>
      <c r="K361" s="78">
        <f t="shared" si="5"/>
        <v>5.6999999999999996E-6</v>
      </c>
    </row>
    <row r="362" spans="8:11">
      <c r="H362">
        <v>5.7</v>
      </c>
      <c r="I362" t="s">
        <v>121</v>
      </c>
      <c r="J362" t="s">
        <v>122</v>
      </c>
      <c r="K362" s="78">
        <f t="shared" si="5"/>
        <v>5.6999999999999996E-6</v>
      </c>
    </row>
    <row r="363" spans="8:11">
      <c r="H363">
        <v>5.7</v>
      </c>
      <c r="I363" t="s">
        <v>121</v>
      </c>
      <c r="J363" t="s">
        <v>122</v>
      </c>
      <c r="K363" s="78">
        <f t="shared" si="5"/>
        <v>5.6999999999999996E-6</v>
      </c>
    </row>
    <row r="364" spans="8:11">
      <c r="H364">
        <v>5.7</v>
      </c>
      <c r="I364" t="s">
        <v>121</v>
      </c>
      <c r="J364" t="s">
        <v>122</v>
      </c>
      <c r="K364" s="78">
        <f t="shared" si="5"/>
        <v>5.6999999999999996E-6</v>
      </c>
    </row>
    <row r="365" spans="8:11">
      <c r="H365">
        <v>5.7</v>
      </c>
      <c r="I365" t="s">
        <v>121</v>
      </c>
      <c r="J365" t="s">
        <v>122</v>
      </c>
      <c r="K365" s="78">
        <f t="shared" si="5"/>
        <v>5.6999999999999996E-6</v>
      </c>
    </row>
    <row r="366" spans="8:11">
      <c r="H366">
        <v>5.7</v>
      </c>
      <c r="I366" t="s">
        <v>121</v>
      </c>
      <c r="J366" t="s">
        <v>122</v>
      </c>
      <c r="K366" s="78">
        <f t="shared" si="5"/>
        <v>5.6999999999999996E-6</v>
      </c>
    </row>
    <row r="367" spans="8:11">
      <c r="H367">
        <v>5.7</v>
      </c>
      <c r="I367" t="s">
        <v>121</v>
      </c>
      <c r="J367" t="s">
        <v>122</v>
      </c>
      <c r="K367" s="78">
        <f t="shared" si="5"/>
        <v>5.6999999999999996E-6</v>
      </c>
    </row>
    <row r="368" spans="8:11">
      <c r="H368">
        <v>5.7</v>
      </c>
      <c r="I368" t="s">
        <v>121</v>
      </c>
      <c r="J368" t="s">
        <v>122</v>
      </c>
      <c r="K368" s="78">
        <f t="shared" si="5"/>
        <v>5.6999999999999996E-6</v>
      </c>
    </row>
    <row r="369" spans="8:11">
      <c r="H369">
        <v>5.7</v>
      </c>
      <c r="I369" t="s">
        <v>121</v>
      </c>
      <c r="J369" t="s">
        <v>122</v>
      </c>
      <c r="K369" s="78">
        <f t="shared" si="5"/>
        <v>5.6999999999999996E-6</v>
      </c>
    </row>
    <row r="370" spans="8:11">
      <c r="H370">
        <v>5.7</v>
      </c>
      <c r="I370" t="s">
        <v>121</v>
      </c>
      <c r="J370" t="s">
        <v>122</v>
      </c>
      <c r="K370" s="78">
        <f t="shared" si="5"/>
        <v>5.6999999999999996E-6</v>
      </c>
    </row>
    <row r="371" spans="8:11">
      <c r="H371">
        <v>5.7</v>
      </c>
      <c r="I371" t="s">
        <v>121</v>
      </c>
      <c r="J371" t="s">
        <v>122</v>
      </c>
      <c r="K371" s="78">
        <f t="shared" si="5"/>
        <v>5.6999999999999996E-6</v>
      </c>
    </row>
    <row r="372" spans="8:11">
      <c r="H372">
        <v>5.7</v>
      </c>
      <c r="I372" t="s">
        <v>121</v>
      </c>
      <c r="J372" t="s">
        <v>122</v>
      </c>
      <c r="K372" s="78">
        <f t="shared" si="5"/>
        <v>5.6999999999999996E-6</v>
      </c>
    </row>
    <row r="373" spans="8:11">
      <c r="H373">
        <v>9.4</v>
      </c>
      <c r="I373" t="s">
        <v>121</v>
      </c>
      <c r="J373" t="s">
        <v>122</v>
      </c>
      <c r="K373" s="78">
        <f t="shared" si="5"/>
        <v>9.3999999999999998E-6</v>
      </c>
    </row>
    <row r="374" spans="8:11">
      <c r="H374">
        <v>9.4</v>
      </c>
      <c r="I374" t="s">
        <v>121</v>
      </c>
      <c r="J374" t="s">
        <v>122</v>
      </c>
      <c r="K374" s="78">
        <f t="shared" si="5"/>
        <v>9.3999999999999998E-6</v>
      </c>
    </row>
    <row r="375" spans="8:11">
      <c r="H375">
        <v>9.4</v>
      </c>
      <c r="I375" t="s">
        <v>121</v>
      </c>
      <c r="J375" t="s">
        <v>122</v>
      </c>
      <c r="K375" s="78">
        <f t="shared" si="5"/>
        <v>9.3999999999999998E-6</v>
      </c>
    </row>
    <row r="376" spans="8:11">
      <c r="H376">
        <v>9.4</v>
      </c>
      <c r="I376" t="s">
        <v>121</v>
      </c>
      <c r="J376" t="s">
        <v>122</v>
      </c>
      <c r="K376" s="78">
        <f t="shared" si="5"/>
        <v>9.3999999999999998E-6</v>
      </c>
    </row>
    <row r="377" spans="8:11">
      <c r="H377">
        <v>9.4</v>
      </c>
      <c r="I377" t="s">
        <v>121</v>
      </c>
      <c r="J377" t="s">
        <v>122</v>
      </c>
      <c r="K377" s="78">
        <f t="shared" si="5"/>
        <v>9.3999999999999998E-6</v>
      </c>
    </row>
    <row r="378" spans="8:11">
      <c r="H378">
        <v>9.4</v>
      </c>
      <c r="I378" t="s">
        <v>121</v>
      </c>
      <c r="J378" t="s">
        <v>122</v>
      </c>
      <c r="K378" s="78">
        <f t="shared" si="5"/>
        <v>9.3999999999999998E-6</v>
      </c>
    </row>
    <row r="379" spans="8:11">
      <c r="H379">
        <v>9.4</v>
      </c>
      <c r="I379" t="s">
        <v>121</v>
      </c>
      <c r="J379" t="s">
        <v>122</v>
      </c>
      <c r="K379" s="78">
        <f t="shared" si="5"/>
        <v>9.3999999999999998E-6</v>
      </c>
    </row>
    <row r="380" spans="8:11">
      <c r="H380">
        <v>9.4</v>
      </c>
      <c r="I380" t="s">
        <v>121</v>
      </c>
      <c r="J380" t="s">
        <v>122</v>
      </c>
      <c r="K380" s="78">
        <f t="shared" si="5"/>
        <v>9.3999999999999998E-6</v>
      </c>
    </row>
    <row r="381" spans="8:11">
      <c r="H381">
        <v>9.4</v>
      </c>
      <c r="I381" t="s">
        <v>121</v>
      </c>
      <c r="J381" t="s">
        <v>122</v>
      </c>
      <c r="K381" s="78">
        <f t="shared" si="5"/>
        <v>9.3999999999999998E-6</v>
      </c>
    </row>
    <row r="382" spans="8:11">
      <c r="H382">
        <v>9.4</v>
      </c>
      <c r="I382" t="s">
        <v>121</v>
      </c>
      <c r="J382" t="s">
        <v>122</v>
      </c>
      <c r="K382" s="78">
        <f t="shared" si="5"/>
        <v>9.3999999999999998E-6</v>
      </c>
    </row>
    <row r="383" spans="8:11">
      <c r="H383">
        <v>9.4</v>
      </c>
      <c r="I383" t="s">
        <v>121</v>
      </c>
      <c r="J383" t="s">
        <v>122</v>
      </c>
      <c r="K383" s="78">
        <f t="shared" si="5"/>
        <v>9.3999999999999998E-6</v>
      </c>
    </row>
    <row r="384" spans="8:11">
      <c r="H384">
        <v>9.4</v>
      </c>
      <c r="I384" t="s">
        <v>121</v>
      </c>
      <c r="J384" t="s">
        <v>122</v>
      </c>
      <c r="K384" s="78">
        <f t="shared" si="5"/>
        <v>9.3999999999999998E-6</v>
      </c>
    </row>
    <row r="385" spans="8:11">
      <c r="H385">
        <v>9.4</v>
      </c>
      <c r="I385" t="s">
        <v>121</v>
      </c>
      <c r="J385" t="s">
        <v>122</v>
      </c>
      <c r="K385" s="78">
        <f t="shared" si="5"/>
        <v>9.3999999999999998E-6</v>
      </c>
    </row>
    <row r="386" spans="8:11">
      <c r="H386">
        <v>9.4</v>
      </c>
      <c r="I386" t="s">
        <v>121</v>
      </c>
      <c r="J386" t="s">
        <v>122</v>
      </c>
      <c r="K386" s="78">
        <f t="shared" ref="K386:K449" si="6">H386*0.000001</f>
        <v>9.3999999999999998E-6</v>
      </c>
    </row>
    <row r="387" spans="8:11">
      <c r="H387">
        <v>9.4</v>
      </c>
      <c r="I387" t="s">
        <v>121</v>
      </c>
      <c r="J387" t="s">
        <v>122</v>
      </c>
      <c r="K387" s="78">
        <f t="shared" si="6"/>
        <v>9.3999999999999998E-6</v>
      </c>
    </row>
    <row r="388" spans="8:11">
      <c r="H388">
        <v>9.4</v>
      </c>
      <c r="I388" t="s">
        <v>121</v>
      </c>
      <c r="J388" t="s">
        <v>122</v>
      </c>
      <c r="K388" s="78">
        <f t="shared" si="6"/>
        <v>9.3999999999999998E-6</v>
      </c>
    </row>
    <row r="389" spans="8:11">
      <c r="H389">
        <v>9.4</v>
      </c>
      <c r="I389" t="s">
        <v>121</v>
      </c>
      <c r="J389" t="s">
        <v>122</v>
      </c>
      <c r="K389" s="78">
        <f t="shared" si="6"/>
        <v>9.3999999999999998E-6</v>
      </c>
    </row>
    <row r="390" spans="8:11">
      <c r="H390">
        <v>9.4</v>
      </c>
      <c r="I390" t="s">
        <v>121</v>
      </c>
      <c r="J390" t="s">
        <v>122</v>
      </c>
      <c r="K390" s="78">
        <f t="shared" si="6"/>
        <v>9.3999999999999998E-6</v>
      </c>
    </row>
    <row r="391" spans="8:11">
      <c r="H391">
        <v>9.4</v>
      </c>
      <c r="I391" t="s">
        <v>121</v>
      </c>
      <c r="J391" t="s">
        <v>122</v>
      </c>
      <c r="K391" s="78">
        <f t="shared" si="6"/>
        <v>9.3999999999999998E-6</v>
      </c>
    </row>
    <row r="392" spans="8:11">
      <c r="H392">
        <v>9.4</v>
      </c>
      <c r="I392" t="s">
        <v>121</v>
      </c>
      <c r="J392" t="s">
        <v>122</v>
      </c>
      <c r="K392" s="78">
        <f t="shared" si="6"/>
        <v>9.3999999999999998E-6</v>
      </c>
    </row>
    <row r="393" spans="8:11">
      <c r="H393">
        <v>9.4</v>
      </c>
      <c r="I393" t="s">
        <v>121</v>
      </c>
      <c r="J393" t="s">
        <v>122</v>
      </c>
      <c r="K393" s="78">
        <f t="shared" si="6"/>
        <v>9.3999999999999998E-6</v>
      </c>
    </row>
    <row r="394" spans="8:11">
      <c r="H394">
        <v>9.4</v>
      </c>
      <c r="I394" t="s">
        <v>121</v>
      </c>
      <c r="J394" t="s">
        <v>122</v>
      </c>
      <c r="K394" s="78">
        <f t="shared" si="6"/>
        <v>9.3999999999999998E-6</v>
      </c>
    </row>
    <row r="395" spans="8:11">
      <c r="H395">
        <v>9.4</v>
      </c>
      <c r="I395" t="s">
        <v>121</v>
      </c>
      <c r="J395" t="s">
        <v>122</v>
      </c>
      <c r="K395" s="78">
        <f t="shared" si="6"/>
        <v>9.3999999999999998E-6</v>
      </c>
    </row>
    <row r="396" spans="8:11">
      <c r="H396">
        <v>9.4</v>
      </c>
      <c r="I396" t="s">
        <v>121</v>
      </c>
      <c r="J396" t="s">
        <v>122</v>
      </c>
      <c r="K396" s="78">
        <f t="shared" si="6"/>
        <v>9.3999999999999998E-6</v>
      </c>
    </row>
    <row r="397" spans="8:11">
      <c r="H397">
        <v>9.4</v>
      </c>
      <c r="I397" t="s">
        <v>121</v>
      </c>
      <c r="J397" t="s">
        <v>122</v>
      </c>
      <c r="K397" s="78">
        <f t="shared" si="6"/>
        <v>9.3999999999999998E-6</v>
      </c>
    </row>
    <row r="398" spans="8:11">
      <c r="H398">
        <v>9.4</v>
      </c>
      <c r="I398" t="s">
        <v>121</v>
      </c>
      <c r="J398" t="s">
        <v>122</v>
      </c>
      <c r="K398" s="78">
        <f t="shared" si="6"/>
        <v>9.3999999999999998E-6</v>
      </c>
    </row>
    <row r="399" spans="8:11">
      <c r="H399">
        <v>9.4</v>
      </c>
      <c r="I399" t="s">
        <v>121</v>
      </c>
      <c r="J399" t="s">
        <v>122</v>
      </c>
      <c r="K399" s="78">
        <f t="shared" si="6"/>
        <v>9.3999999999999998E-6</v>
      </c>
    </row>
    <row r="400" spans="8:11">
      <c r="H400">
        <v>9.4</v>
      </c>
      <c r="I400" t="s">
        <v>121</v>
      </c>
      <c r="J400" t="s">
        <v>122</v>
      </c>
      <c r="K400" s="78">
        <f t="shared" si="6"/>
        <v>9.3999999999999998E-6</v>
      </c>
    </row>
    <row r="401" spans="8:11">
      <c r="H401">
        <v>9.4</v>
      </c>
      <c r="I401" t="s">
        <v>121</v>
      </c>
      <c r="J401" t="s">
        <v>122</v>
      </c>
      <c r="K401" s="78">
        <f t="shared" si="6"/>
        <v>9.3999999999999998E-6</v>
      </c>
    </row>
    <row r="402" spans="8:11">
      <c r="H402">
        <v>9.4</v>
      </c>
      <c r="I402" t="s">
        <v>121</v>
      </c>
      <c r="J402" t="s">
        <v>122</v>
      </c>
      <c r="K402" s="78">
        <f t="shared" si="6"/>
        <v>9.3999999999999998E-6</v>
      </c>
    </row>
    <row r="403" spans="8:11">
      <c r="H403">
        <v>9.4</v>
      </c>
      <c r="I403" t="s">
        <v>121</v>
      </c>
      <c r="J403" t="s">
        <v>122</v>
      </c>
      <c r="K403" s="78">
        <f t="shared" si="6"/>
        <v>9.3999999999999998E-6</v>
      </c>
    </row>
    <row r="404" spans="8:11">
      <c r="H404">
        <v>22</v>
      </c>
      <c r="I404" t="s">
        <v>121</v>
      </c>
      <c r="J404" t="s">
        <v>122</v>
      </c>
      <c r="K404" s="78">
        <f t="shared" si="6"/>
        <v>2.1999999999999999E-5</v>
      </c>
    </row>
    <row r="405" spans="8:11">
      <c r="H405">
        <v>22</v>
      </c>
      <c r="I405" t="s">
        <v>121</v>
      </c>
      <c r="J405" t="s">
        <v>122</v>
      </c>
      <c r="K405" s="78">
        <f t="shared" si="6"/>
        <v>2.1999999999999999E-5</v>
      </c>
    </row>
    <row r="406" spans="8:11">
      <c r="H406">
        <v>22</v>
      </c>
      <c r="I406" t="s">
        <v>121</v>
      </c>
      <c r="J406" t="s">
        <v>122</v>
      </c>
      <c r="K406" s="78">
        <f t="shared" si="6"/>
        <v>2.1999999999999999E-5</v>
      </c>
    </row>
    <row r="407" spans="8:11">
      <c r="H407">
        <v>22</v>
      </c>
      <c r="I407" t="s">
        <v>121</v>
      </c>
      <c r="J407" t="s">
        <v>122</v>
      </c>
      <c r="K407" s="78">
        <f t="shared" si="6"/>
        <v>2.1999999999999999E-5</v>
      </c>
    </row>
    <row r="408" spans="8:11">
      <c r="H408">
        <v>22</v>
      </c>
      <c r="I408" t="s">
        <v>121</v>
      </c>
      <c r="J408" t="s">
        <v>122</v>
      </c>
      <c r="K408" s="78">
        <f t="shared" si="6"/>
        <v>2.1999999999999999E-5</v>
      </c>
    </row>
    <row r="409" spans="8:11">
      <c r="H409">
        <v>22</v>
      </c>
      <c r="I409" t="s">
        <v>121</v>
      </c>
      <c r="J409" t="s">
        <v>122</v>
      </c>
      <c r="K409" s="78">
        <f t="shared" si="6"/>
        <v>2.1999999999999999E-5</v>
      </c>
    </row>
    <row r="410" spans="8:11">
      <c r="H410">
        <v>22</v>
      </c>
      <c r="I410" t="s">
        <v>121</v>
      </c>
      <c r="J410" t="s">
        <v>122</v>
      </c>
      <c r="K410" s="78">
        <f t="shared" si="6"/>
        <v>2.1999999999999999E-5</v>
      </c>
    </row>
    <row r="411" spans="8:11">
      <c r="H411">
        <v>22</v>
      </c>
      <c r="I411" t="s">
        <v>121</v>
      </c>
      <c r="J411" t="s">
        <v>122</v>
      </c>
      <c r="K411" s="78">
        <f t="shared" si="6"/>
        <v>2.1999999999999999E-5</v>
      </c>
    </row>
    <row r="412" spans="8:11">
      <c r="H412">
        <v>22</v>
      </c>
      <c r="I412" t="s">
        <v>121</v>
      </c>
      <c r="J412" t="s">
        <v>122</v>
      </c>
      <c r="K412" s="78">
        <f t="shared" si="6"/>
        <v>2.1999999999999999E-5</v>
      </c>
    </row>
    <row r="413" spans="8:11">
      <c r="H413">
        <v>22</v>
      </c>
      <c r="I413" t="s">
        <v>121</v>
      </c>
      <c r="J413" t="s">
        <v>122</v>
      </c>
      <c r="K413" s="78">
        <f t="shared" si="6"/>
        <v>2.1999999999999999E-5</v>
      </c>
    </row>
    <row r="414" spans="8:11">
      <c r="H414">
        <v>22</v>
      </c>
      <c r="I414" t="s">
        <v>121</v>
      </c>
      <c r="J414" t="s">
        <v>122</v>
      </c>
      <c r="K414" s="78">
        <f t="shared" si="6"/>
        <v>2.1999999999999999E-5</v>
      </c>
    </row>
    <row r="415" spans="8:11">
      <c r="H415">
        <v>22</v>
      </c>
      <c r="I415" t="s">
        <v>121</v>
      </c>
      <c r="J415" t="s">
        <v>122</v>
      </c>
      <c r="K415" s="78">
        <f t="shared" si="6"/>
        <v>2.1999999999999999E-5</v>
      </c>
    </row>
    <row r="416" spans="8:11">
      <c r="H416">
        <v>22</v>
      </c>
      <c r="I416" t="s">
        <v>121</v>
      </c>
      <c r="J416" t="s">
        <v>122</v>
      </c>
      <c r="K416" s="78">
        <f t="shared" si="6"/>
        <v>2.1999999999999999E-5</v>
      </c>
    </row>
    <row r="417" spans="8:11">
      <c r="H417">
        <v>22</v>
      </c>
      <c r="I417" t="s">
        <v>121</v>
      </c>
      <c r="J417" t="s">
        <v>122</v>
      </c>
      <c r="K417" s="78">
        <f t="shared" si="6"/>
        <v>2.1999999999999999E-5</v>
      </c>
    </row>
    <row r="418" spans="8:11">
      <c r="H418">
        <v>22</v>
      </c>
      <c r="I418" t="s">
        <v>121</v>
      </c>
      <c r="J418" t="s">
        <v>122</v>
      </c>
      <c r="K418" s="78">
        <f t="shared" si="6"/>
        <v>2.1999999999999999E-5</v>
      </c>
    </row>
    <row r="419" spans="8:11">
      <c r="H419">
        <v>22</v>
      </c>
      <c r="I419" t="s">
        <v>121</v>
      </c>
      <c r="J419" t="s">
        <v>122</v>
      </c>
      <c r="K419" s="78">
        <f t="shared" si="6"/>
        <v>2.1999999999999999E-5</v>
      </c>
    </row>
    <row r="420" spans="8:11">
      <c r="H420">
        <v>22</v>
      </c>
      <c r="I420" t="s">
        <v>121</v>
      </c>
      <c r="J420" t="s">
        <v>122</v>
      </c>
      <c r="K420" s="78">
        <f t="shared" si="6"/>
        <v>2.1999999999999999E-5</v>
      </c>
    </row>
    <row r="421" spans="8:11">
      <c r="H421">
        <v>22</v>
      </c>
      <c r="I421" t="s">
        <v>121</v>
      </c>
      <c r="J421" t="s">
        <v>122</v>
      </c>
      <c r="K421" s="78">
        <f t="shared" si="6"/>
        <v>2.1999999999999999E-5</v>
      </c>
    </row>
    <row r="422" spans="8:11">
      <c r="H422">
        <v>22</v>
      </c>
      <c r="I422" t="s">
        <v>121</v>
      </c>
      <c r="J422" t="s">
        <v>122</v>
      </c>
      <c r="K422" s="78">
        <f t="shared" si="6"/>
        <v>2.1999999999999999E-5</v>
      </c>
    </row>
    <row r="423" spans="8:11">
      <c r="H423">
        <v>22</v>
      </c>
      <c r="I423" t="s">
        <v>121</v>
      </c>
      <c r="J423" t="s">
        <v>122</v>
      </c>
      <c r="K423" s="78">
        <f t="shared" si="6"/>
        <v>2.1999999999999999E-5</v>
      </c>
    </row>
    <row r="424" spans="8:11">
      <c r="H424">
        <v>22</v>
      </c>
      <c r="I424" t="s">
        <v>121</v>
      </c>
      <c r="J424" t="s">
        <v>122</v>
      </c>
      <c r="K424" s="78">
        <f t="shared" si="6"/>
        <v>2.1999999999999999E-5</v>
      </c>
    </row>
    <row r="425" spans="8:11">
      <c r="H425">
        <v>22</v>
      </c>
      <c r="I425" t="s">
        <v>121</v>
      </c>
      <c r="J425" t="s">
        <v>122</v>
      </c>
      <c r="K425" s="78">
        <f t="shared" si="6"/>
        <v>2.1999999999999999E-5</v>
      </c>
    </row>
    <row r="426" spans="8:11">
      <c r="H426">
        <v>22</v>
      </c>
      <c r="I426" t="s">
        <v>121</v>
      </c>
      <c r="J426" t="s">
        <v>122</v>
      </c>
      <c r="K426" s="78">
        <f t="shared" si="6"/>
        <v>2.1999999999999999E-5</v>
      </c>
    </row>
    <row r="427" spans="8:11">
      <c r="H427">
        <v>22</v>
      </c>
      <c r="I427" t="s">
        <v>121</v>
      </c>
      <c r="J427" t="s">
        <v>122</v>
      </c>
      <c r="K427" s="78">
        <f t="shared" si="6"/>
        <v>2.1999999999999999E-5</v>
      </c>
    </row>
    <row r="428" spans="8:11">
      <c r="H428">
        <v>22</v>
      </c>
      <c r="I428" t="s">
        <v>121</v>
      </c>
      <c r="J428" t="s">
        <v>122</v>
      </c>
      <c r="K428" s="78">
        <f t="shared" si="6"/>
        <v>2.1999999999999999E-5</v>
      </c>
    </row>
    <row r="429" spans="8:11">
      <c r="H429">
        <v>22</v>
      </c>
      <c r="I429" t="s">
        <v>121</v>
      </c>
      <c r="J429" t="s">
        <v>122</v>
      </c>
      <c r="K429" s="78">
        <f t="shared" si="6"/>
        <v>2.1999999999999999E-5</v>
      </c>
    </row>
    <row r="430" spans="8:11">
      <c r="H430">
        <v>22</v>
      </c>
      <c r="I430" t="s">
        <v>121</v>
      </c>
      <c r="J430" t="s">
        <v>122</v>
      </c>
      <c r="K430" s="78">
        <f t="shared" si="6"/>
        <v>2.1999999999999999E-5</v>
      </c>
    </row>
    <row r="431" spans="8:11">
      <c r="H431">
        <v>22</v>
      </c>
      <c r="I431" t="s">
        <v>121</v>
      </c>
      <c r="J431" t="s">
        <v>122</v>
      </c>
      <c r="K431" s="78">
        <f t="shared" si="6"/>
        <v>2.1999999999999999E-5</v>
      </c>
    </row>
    <row r="432" spans="8:11">
      <c r="H432">
        <v>22</v>
      </c>
      <c r="I432" t="s">
        <v>121</v>
      </c>
      <c r="J432" t="s">
        <v>122</v>
      </c>
      <c r="K432" s="78">
        <f t="shared" si="6"/>
        <v>2.1999999999999999E-5</v>
      </c>
    </row>
    <row r="433" spans="8:11">
      <c r="H433">
        <v>22</v>
      </c>
      <c r="I433" t="s">
        <v>121</v>
      </c>
      <c r="J433" t="s">
        <v>122</v>
      </c>
      <c r="K433" s="78">
        <f t="shared" si="6"/>
        <v>2.1999999999999999E-5</v>
      </c>
    </row>
    <row r="434" spans="8:11">
      <c r="H434">
        <v>11</v>
      </c>
      <c r="I434" t="s">
        <v>121</v>
      </c>
      <c r="J434" t="s">
        <v>122</v>
      </c>
      <c r="K434" s="78">
        <f t="shared" si="6"/>
        <v>1.1E-5</v>
      </c>
    </row>
    <row r="435" spans="8:11">
      <c r="H435">
        <v>11</v>
      </c>
      <c r="I435" t="s">
        <v>121</v>
      </c>
      <c r="J435" t="s">
        <v>122</v>
      </c>
      <c r="K435" s="78">
        <f t="shared" si="6"/>
        <v>1.1E-5</v>
      </c>
    </row>
    <row r="436" spans="8:11">
      <c r="H436">
        <v>11</v>
      </c>
      <c r="I436" t="s">
        <v>121</v>
      </c>
      <c r="J436" t="s">
        <v>122</v>
      </c>
      <c r="K436" s="78">
        <f t="shared" si="6"/>
        <v>1.1E-5</v>
      </c>
    </row>
    <row r="437" spans="8:11">
      <c r="H437">
        <v>11</v>
      </c>
      <c r="I437" t="s">
        <v>121</v>
      </c>
      <c r="J437" t="s">
        <v>122</v>
      </c>
      <c r="K437" s="78">
        <f t="shared" si="6"/>
        <v>1.1E-5</v>
      </c>
    </row>
    <row r="438" spans="8:11">
      <c r="H438">
        <v>11</v>
      </c>
      <c r="I438" t="s">
        <v>121</v>
      </c>
      <c r="J438" t="s">
        <v>122</v>
      </c>
      <c r="K438" s="78">
        <f t="shared" si="6"/>
        <v>1.1E-5</v>
      </c>
    </row>
    <row r="439" spans="8:11">
      <c r="H439">
        <v>11</v>
      </c>
      <c r="I439" t="s">
        <v>121</v>
      </c>
      <c r="J439" t="s">
        <v>122</v>
      </c>
      <c r="K439" s="78">
        <f t="shared" si="6"/>
        <v>1.1E-5</v>
      </c>
    </row>
    <row r="440" spans="8:11">
      <c r="H440">
        <v>11</v>
      </c>
      <c r="I440" t="s">
        <v>121</v>
      </c>
      <c r="J440" t="s">
        <v>122</v>
      </c>
      <c r="K440" s="78">
        <f t="shared" si="6"/>
        <v>1.1E-5</v>
      </c>
    </row>
    <row r="441" spans="8:11">
      <c r="H441">
        <v>11</v>
      </c>
      <c r="I441" t="s">
        <v>121</v>
      </c>
      <c r="J441" t="s">
        <v>122</v>
      </c>
      <c r="K441" s="78">
        <f t="shared" si="6"/>
        <v>1.1E-5</v>
      </c>
    </row>
    <row r="442" spans="8:11">
      <c r="H442">
        <v>11</v>
      </c>
      <c r="I442" t="s">
        <v>121</v>
      </c>
      <c r="J442" t="s">
        <v>122</v>
      </c>
      <c r="K442" s="78">
        <f t="shared" si="6"/>
        <v>1.1E-5</v>
      </c>
    </row>
    <row r="443" spans="8:11">
      <c r="H443">
        <v>11</v>
      </c>
      <c r="I443" t="s">
        <v>121</v>
      </c>
      <c r="J443" t="s">
        <v>122</v>
      </c>
      <c r="K443" s="78">
        <f t="shared" si="6"/>
        <v>1.1E-5</v>
      </c>
    </row>
    <row r="444" spans="8:11">
      <c r="H444">
        <v>11</v>
      </c>
      <c r="I444" t="s">
        <v>121</v>
      </c>
      <c r="J444" t="s">
        <v>122</v>
      </c>
      <c r="K444" s="78">
        <f t="shared" si="6"/>
        <v>1.1E-5</v>
      </c>
    </row>
    <row r="445" spans="8:11">
      <c r="H445">
        <v>11</v>
      </c>
      <c r="I445" t="s">
        <v>121</v>
      </c>
      <c r="J445" t="s">
        <v>122</v>
      </c>
      <c r="K445" s="78">
        <f t="shared" si="6"/>
        <v>1.1E-5</v>
      </c>
    </row>
    <row r="446" spans="8:11">
      <c r="H446">
        <v>11</v>
      </c>
      <c r="I446" t="s">
        <v>121</v>
      </c>
      <c r="J446" t="s">
        <v>122</v>
      </c>
      <c r="K446" s="78">
        <f t="shared" si="6"/>
        <v>1.1E-5</v>
      </c>
    </row>
    <row r="447" spans="8:11">
      <c r="H447">
        <v>11</v>
      </c>
      <c r="I447" t="s">
        <v>121</v>
      </c>
      <c r="J447" t="s">
        <v>122</v>
      </c>
      <c r="K447" s="78">
        <f t="shared" si="6"/>
        <v>1.1E-5</v>
      </c>
    </row>
    <row r="448" spans="8:11">
      <c r="H448">
        <v>11</v>
      </c>
      <c r="I448" t="s">
        <v>121</v>
      </c>
      <c r="J448" t="s">
        <v>122</v>
      </c>
      <c r="K448" s="78">
        <f t="shared" si="6"/>
        <v>1.1E-5</v>
      </c>
    </row>
    <row r="449" spans="8:11">
      <c r="H449">
        <v>11</v>
      </c>
      <c r="I449" t="s">
        <v>121</v>
      </c>
      <c r="J449" t="s">
        <v>122</v>
      </c>
      <c r="K449" s="78">
        <f t="shared" si="6"/>
        <v>1.1E-5</v>
      </c>
    </row>
    <row r="450" spans="8:11">
      <c r="H450">
        <v>11</v>
      </c>
      <c r="I450" t="s">
        <v>121</v>
      </c>
      <c r="J450" t="s">
        <v>122</v>
      </c>
      <c r="K450" s="78">
        <f t="shared" ref="K450:K513" si="7">H450*0.000001</f>
        <v>1.1E-5</v>
      </c>
    </row>
    <row r="451" spans="8:11">
      <c r="H451">
        <v>11</v>
      </c>
      <c r="I451" t="s">
        <v>121</v>
      </c>
      <c r="J451" t="s">
        <v>122</v>
      </c>
      <c r="K451" s="78">
        <f t="shared" si="7"/>
        <v>1.1E-5</v>
      </c>
    </row>
    <row r="452" spans="8:11">
      <c r="H452">
        <v>11</v>
      </c>
      <c r="I452" t="s">
        <v>121</v>
      </c>
      <c r="J452" t="s">
        <v>122</v>
      </c>
      <c r="K452" s="78">
        <f t="shared" si="7"/>
        <v>1.1E-5</v>
      </c>
    </row>
    <row r="453" spans="8:11">
      <c r="H453">
        <v>11</v>
      </c>
      <c r="I453" t="s">
        <v>121</v>
      </c>
      <c r="J453" t="s">
        <v>122</v>
      </c>
      <c r="K453" s="78">
        <f t="shared" si="7"/>
        <v>1.1E-5</v>
      </c>
    </row>
    <row r="454" spans="8:11">
      <c r="H454">
        <v>11</v>
      </c>
      <c r="I454" t="s">
        <v>121</v>
      </c>
      <c r="J454" t="s">
        <v>122</v>
      </c>
      <c r="K454" s="78">
        <f t="shared" si="7"/>
        <v>1.1E-5</v>
      </c>
    </row>
    <row r="455" spans="8:11">
      <c r="H455">
        <v>11</v>
      </c>
      <c r="I455" t="s">
        <v>121</v>
      </c>
      <c r="J455" t="s">
        <v>122</v>
      </c>
      <c r="K455" s="78">
        <f t="shared" si="7"/>
        <v>1.1E-5</v>
      </c>
    </row>
    <row r="456" spans="8:11">
      <c r="H456">
        <v>11</v>
      </c>
      <c r="I456" t="s">
        <v>121</v>
      </c>
      <c r="J456" t="s">
        <v>122</v>
      </c>
      <c r="K456" s="78">
        <f t="shared" si="7"/>
        <v>1.1E-5</v>
      </c>
    </row>
    <row r="457" spans="8:11">
      <c r="H457">
        <v>11</v>
      </c>
      <c r="I457" t="s">
        <v>121</v>
      </c>
      <c r="J457" t="s">
        <v>122</v>
      </c>
      <c r="K457" s="78">
        <f t="shared" si="7"/>
        <v>1.1E-5</v>
      </c>
    </row>
    <row r="458" spans="8:11">
      <c r="H458">
        <v>11</v>
      </c>
      <c r="I458" t="s">
        <v>121</v>
      </c>
      <c r="J458" t="s">
        <v>122</v>
      </c>
      <c r="K458" s="78">
        <f t="shared" si="7"/>
        <v>1.1E-5</v>
      </c>
    </row>
    <row r="459" spans="8:11">
      <c r="H459">
        <v>11</v>
      </c>
      <c r="I459" t="s">
        <v>121</v>
      </c>
      <c r="J459" t="s">
        <v>122</v>
      </c>
      <c r="K459" s="78">
        <f t="shared" si="7"/>
        <v>1.1E-5</v>
      </c>
    </row>
    <row r="460" spans="8:11">
      <c r="H460">
        <v>11</v>
      </c>
      <c r="I460" t="s">
        <v>121</v>
      </c>
      <c r="J460" t="s">
        <v>122</v>
      </c>
      <c r="K460" s="78">
        <f t="shared" si="7"/>
        <v>1.1E-5</v>
      </c>
    </row>
    <row r="461" spans="8:11">
      <c r="H461">
        <v>11</v>
      </c>
      <c r="I461" t="s">
        <v>121</v>
      </c>
      <c r="J461" t="s">
        <v>122</v>
      </c>
      <c r="K461" s="78">
        <f t="shared" si="7"/>
        <v>1.1E-5</v>
      </c>
    </row>
    <row r="462" spans="8:11">
      <c r="H462">
        <v>11</v>
      </c>
      <c r="I462" t="s">
        <v>121</v>
      </c>
      <c r="J462" t="s">
        <v>122</v>
      </c>
      <c r="K462" s="78">
        <f t="shared" si="7"/>
        <v>1.1E-5</v>
      </c>
    </row>
    <row r="463" spans="8:11">
      <c r="H463">
        <v>11</v>
      </c>
      <c r="I463" t="s">
        <v>121</v>
      </c>
      <c r="J463" t="s">
        <v>122</v>
      </c>
      <c r="K463" s="78">
        <f t="shared" si="7"/>
        <v>1.1E-5</v>
      </c>
    </row>
    <row r="464" spans="8:11">
      <c r="H464">
        <v>11</v>
      </c>
      <c r="I464" t="s">
        <v>121</v>
      </c>
      <c r="J464" t="s">
        <v>122</v>
      </c>
      <c r="K464" s="78">
        <f t="shared" si="7"/>
        <v>1.1E-5</v>
      </c>
    </row>
    <row r="465" spans="8:11">
      <c r="H465">
        <v>28.9</v>
      </c>
      <c r="I465" t="s">
        <v>121</v>
      </c>
      <c r="J465" t="s">
        <v>122</v>
      </c>
      <c r="K465" s="78">
        <f t="shared" si="7"/>
        <v>2.8899999999999998E-5</v>
      </c>
    </row>
    <row r="466" spans="8:11">
      <c r="H466">
        <v>28.9</v>
      </c>
      <c r="I466" t="s">
        <v>121</v>
      </c>
      <c r="J466" t="s">
        <v>122</v>
      </c>
      <c r="K466" s="78">
        <f t="shared" si="7"/>
        <v>2.8899999999999998E-5</v>
      </c>
    </row>
    <row r="467" spans="8:11">
      <c r="H467">
        <v>28.9</v>
      </c>
      <c r="I467" t="s">
        <v>121</v>
      </c>
      <c r="J467" t="s">
        <v>122</v>
      </c>
      <c r="K467" s="78">
        <f t="shared" si="7"/>
        <v>2.8899999999999998E-5</v>
      </c>
    </row>
    <row r="468" spans="8:11">
      <c r="H468">
        <v>28.9</v>
      </c>
      <c r="I468" t="s">
        <v>121</v>
      </c>
      <c r="J468" t="s">
        <v>122</v>
      </c>
      <c r="K468" s="78">
        <f t="shared" si="7"/>
        <v>2.8899999999999998E-5</v>
      </c>
    </row>
    <row r="469" spans="8:11">
      <c r="H469">
        <v>28.9</v>
      </c>
      <c r="I469" t="s">
        <v>121</v>
      </c>
      <c r="J469" t="s">
        <v>122</v>
      </c>
      <c r="K469" s="78">
        <f t="shared" si="7"/>
        <v>2.8899999999999998E-5</v>
      </c>
    </row>
    <row r="470" spans="8:11">
      <c r="H470">
        <v>28.9</v>
      </c>
      <c r="I470" t="s">
        <v>121</v>
      </c>
      <c r="J470" t="s">
        <v>122</v>
      </c>
      <c r="K470" s="78">
        <f t="shared" si="7"/>
        <v>2.8899999999999998E-5</v>
      </c>
    </row>
    <row r="471" spans="8:11">
      <c r="H471">
        <v>28.9</v>
      </c>
      <c r="I471" t="s">
        <v>121</v>
      </c>
      <c r="J471" t="s">
        <v>122</v>
      </c>
      <c r="K471" s="78">
        <f t="shared" si="7"/>
        <v>2.8899999999999998E-5</v>
      </c>
    </row>
    <row r="472" spans="8:11">
      <c r="H472">
        <v>28.9</v>
      </c>
      <c r="I472" t="s">
        <v>121</v>
      </c>
      <c r="J472" t="s">
        <v>122</v>
      </c>
      <c r="K472" s="78">
        <f t="shared" si="7"/>
        <v>2.8899999999999998E-5</v>
      </c>
    </row>
    <row r="473" spans="8:11">
      <c r="H473">
        <v>28.9</v>
      </c>
      <c r="I473" t="s">
        <v>121</v>
      </c>
      <c r="J473" t="s">
        <v>122</v>
      </c>
      <c r="K473" s="78">
        <f t="shared" si="7"/>
        <v>2.8899999999999998E-5</v>
      </c>
    </row>
    <row r="474" spans="8:11">
      <c r="H474">
        <v>28.9</v>
      </c>
      <c r="I474" t="s">
        <v>121</v>
      </c>
      <c r="J474" t="s">
        <v>122</v>
      </c>
      <c r="K474" s="78">
        <f t="shared" si="7"/>
        <v>2.8899999999999998E-5</v>
      </c>
    </row>
    <row r="475" spans="8:11">
      <c r="H475">
        <v>28.9</v>
      </c>
      <c r="I475" t="s">
        <v>121</v>
      </c>
      <c r="J475" t="s">
        <v>122</v>
      </c>
      <c r="K475" s="78">
        <f t="shared" si="7"/>
        <v>2.8899999999999998E-5</v>
      </c>
    </row>
    <row r="476" spans="8:11">
      <c r="H476">
        <v>28.9</v>
      </c>
      <c r="I476" t="s">
        <v>121</v>
      </c>
      <c r="J476" t="s">
        <v>122</v>
      </c>
      <c r="K476" s="78">
        <f t="shared" si="7"/>
        <v>2.8899999999999998E-5</v>
      </c>
    </row>
    <row r="477" spans="8:11">
      <c r="H477">
        <v>28.9</v>
      </c>
      <c r="I477" t="s">
        <v>121</v>
      </c>
      <c r="J477" t="s">
        <v>122</v>
      </c>
      <c r="K477" s="78">
        <f t="shared" si="7"/>
        <v>2.8899999999999998E-5</v>
      </c>
    </row>
    <row r="478" spans="8:11">
      <c r="H478">
        <v>28.9</v>
      </c>
      <c r="I478" t="s">
        <v>121</v>
      </c>
      <c r="J478" t="s">
        <v>122</v>
      </c>
      <c r="K478" s="78">
        <f t="shared" si="7"/>
        <v>2.8899999999999998E-5</v>
      </c>
    </row>
    <row r="479" spans="8:11">
      <c r="H479">
        <v>28.9</v>
      </c>
      <c r="I479" t="s">
        <v>121</v>
      </c>
      <c r="J479" t="s">
        <v>122</v>
      </c>
      <c r="K479" s="78">
        <f t="shared" si="7"/>
        <v>2.8899999999999998E-5</v>
      </c>
    </row>
    <row r="480" spans="8:11">
      <c r="H480">
        <v>28.9</v>
      </c>
      <c r="I480" t="s">
        <v>121</v>
      </c>
      <c r="J480" t="s">
        <v>122</v>
      </c>
      <c r="K480" s="78">
        <f t="shared" si="7"/>
        <v>2.8899999999999998E-5</v>
      </c>
    </row>
    <row r="481" spans="8:11">
      <c r="H481">
        <v>28.9</v>
      </c>
      <c r="I481" t="s">
        <v>121</v>
      </c>
      <c r="J481" t="s">
        <v>122</v>
      </c>
      <c r="K481" s="78">
        <f t="shared" si="7"/>
        <v>2.8899999999999998E-5</v>
      </c>
    </row>
    <row r="482" spans="8:11">
      <c r="H482">
        <v>28.9</v>
      </c>
      <c r="I482" t="s">
        <v>121</v>
      </c>
      <c r="J482" t="s">
        <v>122</v>
      </c>
      <c r="K482" s="78">
        <f t="shared" si="7"/>
        <v>2.8899999999999998E-5</v>
      </c>
    </row>
    <row r="483" spans="8:11">
      <c r="H483">
        <v>28.9</v>
      </c>
      <c r="I483" t="s">
        <v>121</v>
      </c>
      <c r="J483" t="s">
        <v>122</v>
      </c>
      <c r="K483" s="78">
        <f t="shared" si="7"/>
        <v>2.8899999999999998E-5</v>
      </c>
    </row>
    <row r="484" spans="8:11">
      <c r="H484">
        <v>28.9</v>
      </c>
      <c r="I484" t="s">
        <v>121</v>
      </c>
      <c r="J484" t="s">
        <v>122</v>
      </c>
      <c r="K484" s="78">
        <f t="shared" si="7"/>
        <v>2.8899999999999998E-5</v>
      </c>
    </row>
    <row r="485" spans="8:11">
      <c r="H485">
        <v>28.9</v>
      </c>
      <c r="I485" t="s">
        <v>121</v>
      </c>
      <c r="J485" t="s">
        <v>122</v>
      </c>
      <c r="K485" s="78">
        <f t="shared" si="7"/>
        <v>2.8899999999999998E-5</v>
      </c>
    </row>
    <row r="486" spans="8:11">
      <c r="H486">
        <v>28.9</v>
      </c>
      <c r="I486" t="s">
        <v>121</v>
      </c>
      <c r="J486" t="s">
        <v>122</v>
      </c>
      <c r="K486" s="78">
        <f t="shared" si="7"/>
        <v>2.8899999999999998E-5</v>
      </c>
    </row>
    <row r="487" spans="8:11">
      <c r="H487">
        <v>28.9</v>
      </c>
      <c r="I487" t="s">
        <v>121</v>
      </c>
      <c r="J487" t="s">
        <v>122</v>
      </c>
      <c r="K487" s="78">
        <f t="shared" si="7"/>
        <v>2.8899999999999998E-5</v>
      </c>
    </row>
    <row r="488" spans="8:11">
      <c r="H488">
        <v>28.9</v>
      </c>
      <c r="I488" t="s">
        <v>121</v>
      </c>
      <c r="J488" t="s">
        <v>122</v>
      </c>
      <c r="K488" s="78">
        <f t="shared" si="7"/>
        <v>2.8899999999999998E-5</v>
      </c>
    </row>
    <row r="489" spans="8:11">
      <c r="H489">
        <v>28.9</v>
      </c>
      <c r="I489" t="s">
        <v>121</v>
      </c>
      <c r="J489" t="s">
        <v>122</v>
      </c>
      <c r="K489" s="78">
        <f t="shared" si="7"/>
        <v>2.8899999999999998E-5</v>
      </c>
    </row>
    <row r="490" spans="8:11">
      <c r="H490">
        <v>28.9</v>
      </c>
      <c r="I490" t="s">
        <v>121</v>
      </c>
      <c r="J490" t="s">
        <v>122</v>
      </c>
      <c r="K490" s="78">
        <f t="shared" si="7"/>
        <v>2.8899999999999998E-5</v>
      </c>
    </row>
    <row r="491" spans="8:11">
      <c r="H491">
        <v>28.9</v>
      </c>
      <c r="I491" t="s">
        <v>121</v>
      </c>
      <c r="J491" t="s">
        <v>122</v>
      </c>
      <c r="K491" s="78">
        <f t="shared" si="7"/>
        <v>2.8899999999999998E-5</v>
      </c>
    </row>
    <row r="492" spans="8:11">
      <c r="H492">
        <v>28.9</v>
      </c>
      <c r="I492" t="s">
        <v>121</v>
      </c>
      <c r="J492" t="s">
        <v>122</v>
      </c>
      <c r="K492" s="78">
        <f t="shared" si="7"/>
        <v>2.8899999999999998E-5</v>
      </c>
    </row>
    <row r="493" spans="8:11">
      <c r="H493">
        <v>28.9</v>
      </c>
      <c r="I493" t="s">
        <v>121</v>
      </c>
      <c r="J493" t="s">
        <v>122</v>
      </c>
      <c r="K493" s="78">
        <f t="shared" si="7"/>
        <v>2.8899999999999998E-5</v>
      </c>
    </row>
    <row r="494" spans="8:11">
      <c r="H494">
        <v>28.9</v>
      </c>
      <c r="I494" t="s">
        <v>121</v>
      </c>
      <c r="J494" t="s">
        <v>122</v>
      </c>
      <c r="K494" s="78">
        <f t="shared" si="7"/>
        <v>2.8899999999999998E-5</v>
      </c>
    </row>
    <row r="495" spans="8:11">
      <c r="H495">
        <v>28.9</v>
      </c>
      <c r="I495" t="s">
        <v>121</v>
      </c>
      <c r="J495" t="s">
        <v>122</v>
      </c>
      <c r="K495" s="78">
        <f t="shared" si="7"/>
        <v>2.8899999999999998E-5</v>
      </c>
    </row>
    <row r="496" spans="8:11">
      <c r="H496">
        <v>13.4</v>
      </c>
      <c r="I496" t="s">
        <v>121</v>
      </c>
      <c r="J496" t="s">
        <v>122</v>
      </c>
      <c r="K496" s="78">
        <f t="shared" si="7"/>
        <v>1.34E-5</v>
      </c>
    </row>
    <row r="497" spans="8:11">
      <c r="H497">
        <v>13.4</v>
      </c>
      <c r="I497" t="s">
        <v>121</v>
      </c>
      <c r="J497" t="s">
        <v>122</v>
      </c>
      <c r="K497" s="78">
        <f t="shared" si="7"/>
        <v>1.34E-5</v>
      </c>
    </row>
    <row r="498" spans="8:11">
      <c r="H498">
        <v>13.4</v>
      </c>
      <c r="I498" t="s">
        <v>121</v>
      </c>
      <c r="J498" t="s">
        <v>122</v>
      </c>
      <c r="K498" s="78">
        <f t="shared" si="7"/>
        <v>1.34E-5</v>
      </c>
    </row>
    <row r="499" spans="8:11">
      <c r="H499">
        <v>13.4</v>
      </c>
      <c r="I499" t="s">
        <v>121</v>
      </c>
      <c r="J499" t="s">
        <v>122</v>
      </c>
      <c r="K499" s="78">
        <f t="shared" si="7"/>
        <v>1.34E-5</v>
      </c>
    </row>
    <row r="500" spans="8:11">
      <c r="H500">
        <v>13.4</v>
      </c>
      <c r="I500" t="s">
        <v>121</v>
      </c>
      <c r="J500" t="s">
        <v>122</v>
      </c>
      <c r="K500" s="78">
        <f t="shared" si="7"/>
        <v>1.34E-5</v>
      </c>
    </row>
    <row r="501" spans="8:11">
      <c r="H501">
        <v>13.4</v>
      </c>
      <c r="I501" t="s">
        <v>121</v>
      </c>
      <c r="J501" t="s">
        <v>122</v>
      </c>
      <c r="K501" s="78">
        <f t="shared" si="7"/>
        <v>1.34E-5</v>
      </c>
    </row>
    <row r="502" spans="8:11">
      <c r="H502">
        <v>13.4</v>
      </c>
      <c r="I502" t="s">
        <v>121</v>
      </c>
      <c r="J502" t="s">
        <v>122</v>
      </c>
      <c r="K502" s="78">
        <f t="shared" si="7"/>
        <v>1.34E-5</v>
      </c>
    </row>
    <row r="503" spans="8:11">
      <c r="H503">
        <v>13.4</v>
      </c>
      <c r="I503" t="s">
        <v>121</v>
      </c>
      <c r="J503" t="s">
        <v>122</v>
      </c>
      <c r="K503" s="78">
        <f t="shared" si="7"/>
        <v>1.34E-5</v>
      </c>
    </row>
    <row r="504" spans="8:11">
      <c r="H504">
        <v>13.4</v>
      </c>
      <c r="I504" t="s">
        <v>121</v>
      </c>
      <c r="J504" t="s">
        <v>122</v>
      </c>
      <c r="K504" s="78">
        <f t="shared" si="7"/>
        <v>1.34E-5</v>
      </c>
    </row>
    <row r="505" spans="8:11">
      <c r="H505">
        <v>13.4</v>
      </c>
      <c r="I505" t="s">
        <v>121</v>
      </c>
      <c r="J505" t="s">
        <v>122</v>
      </c>
      <c r="K505" s="78">
        <f t="shared" si="7"/>
        <v>1.34E-5</v>
      </c>
    </row>
    <row r="506" spans="8:11">
      <c r="H506">
        <v>13.4</v>
      </c>
      <c r="I506" t="s">
        <v>121</v>
      </c>
      <c r="J506" t="s">
        <v>122</v>
      </c>
      <c r="K506" s="78">
        <f t="shared" si="7"/>
        <v>1.34E-5</v>
      </c>
    </row>
    <row r="507" spans="8:11">
      <c r="H507">
        <v>13.4</v>
      </c>
      <c r="I507" t="s">
        <v>121</v>
      </c>
      <c r="J507" t="s">
        <v>122</v>
      </c>
      <c r="K507" s="78">
        <f t="shared" si="7"/>
        <v>1.34E-5</v>
      </c>
    </row>
    <row r="508" spans="8:11">
      <c r="H508">
        <v>13.4</v>
      </c>
      <c r="I508" t="s">
        <v>121</v>
      </c>
      <c r="J508" t="s">
        <v>122</v>
      </c>
      <c r="K508" s="78">
        <f t="shared" si="7"/>
        <v>1.34E-5</v>
      </c>
    </row>
    <row r="509" spans="8:11">
      <c r="H509">
        <v>13.4</v>
      </c>
      <c r="I509" t="s">
        <v>121</v>
      </c>
      <c r="J509" t="s">
        <v>122</v>
      </c>
      <c r="K509" s="78">
        <f t="shared" si="7"/>
        <v>1.34E-5</v>
      </c>
    </row>
    <row r="510" spans="8:11">
      <c r="H510">
        <v>13.4</v>
      </c>
      <c r="I510" t="s">
        <v>121</v>
      </c>
      <c r="J510" t="s">
        <v>122</v>
      </c>
      <c r="K510" s="78">
        <f t="shared" si="7"/>
        <v>1.34E-5</v>
      </c>
    </row>
    <row r="511" spans="8:11">
      <c r="H511">
        <v>13.4</v>
      </c>
      <c r="I511" t="s">
        <v>121</v>
      </c>
      <c r="J511" t="s">
        <v>122</v>
      </c>
      <c r="K511" s="78">
        <f t="shared" si="7"/>
        <v>1.34E-5</v>
      </c>
    </row>
    <row r="512" spans="8:11">
      <c r="H512">
        <v>13.4</v>
      </c>
      <c r="I512" t="s">
        <v>121</v>
      </c>
      <c r="J512" t="s">
        <v>122</v>
      </c>
      <c r="K512" s="78">
        <f t="shared" si="7"/>
        <v>1.34E-5</v>
      </c>
    </row>
    <row r="513" spans="8:11">
      <c r="H513">
        <v>13.4</v>
      </c>
      <c r="I513" t="s">
        <v>121</v>
      </c>
      <c r="J513" t="s">
        <v>122</v>
      </c>
      <c r="K513" s="78">
        <f t="shared" si="7"/>
        <v>1.34E-5</v>
      </c>
    </row>
    <row r="514" spans="8:11">
      <c r="H514">
        <v>13.4</v>
      </c>
      <c r="I514" t="s">
        <v>121</v>
      </c>
      <c r="J514" t="s">
        <v>122</v>
      </c>
      <c r="K514" s="78">
        <f t="shared" ref="K514:K577" si="8">H514*0.000001</f>
        <v>1.34E-5</v>
      </c>
    </row>
    <row r="515" spans="8:11">
      <c r="H515">
        <v>13.4</v>
      </c>
      <c r="I515" t="s">
        <v>121</v>
      </c>
      <c r="J515" t="s">
        <v>122</v>
      </c>
      <c r="K515" s="78">
        <f t="shared" si="8"/>
        <v>1.34E-5</v>
      </c>
    </row>
    <row r="516" spans="8:11">
      <c r="H516">
        <v>13.4</v>
      </c>
      <c r="I516" t="s">
        <v>121</v>
      </c>
      <c r="J516" t="s">
        <v>122</v>
      </c>
      <c r="K516" s="78">
        <f t="shared" si="8"/>
        <v>1.34E-5</v>
      </c>
    </row>
    <row r="517" spans="8:11">
      <c r="H517">
        <v>13.4</v>
      </c>
      <c r="I517" t="s">
        <v>121</v>
      </c>
      <c r="J517" t="s">
        <v>122</v>
      </c>
      <c r="K517" s="78">
        <f t="shared" si="8"/>
        <v>1.34E-5</v>
      </c>
    </row>
    <row r="518" spans="8:11">
      <c r="H518">
        <v>13.4</v>
      </c>
      <c r="I518" t="s">
        <v>121</v>
      </c>
      <c r="J518" t="s">
        <v>122</v>
      </c>
      <c r="K518" s="78">
        <f t="shared" si="8"/>
        <v>1.34E-5</v>
      </c>
    </row>
    <row r="519" spans="8:11">
      <c r="H519">
        <v>13.4</v>
      </c>
      <c r="I519" t="s">
        <v>121</v>
      </c>
      <c r="J519" t="s">
        <v>122</v>
      </c>
      <c r="K519" s="78">
        <f t="shared" si="8"/>
        <v>1.34E-5</v>
      </c>
    </row>
    <row r="520" spans="8:11">
      <c r="H520">
        <v>13.4</v>
      </c>
      <c r="I520" t="s">
        <v>121</v>
      </c>
      <c r="J520" t="s">
        <v>122</v>
      </c>
      <c r="K520" s="78">
        <f t="shared" si="8"/>
        <v>1.34E-5</v>
      </c>
    </row>
    <row r="521" spans="8:11">
      <c r="H521">
        <v>13.4</v>
      </c>
      <c r="I521" t="s">
        <v>121</v>
      </c>
      <c r="J521" t="s">
        <v>122</v>
      </c>
      <c r="K521" s="78">
        <f t="shared" si="8"/>
        <v>1.34E-5</v>
      </c>
    </row>
    <row r="522" spans="8:11">
      <c r="H522">
        <v>13.4</v>
      </c>
      <c r="I522" t="s">
        <v>121</v>
      </c>
      <c r="J522" t="s">
        <v>122</v>
      </c>
      <c r="K522" s="78">
        <f t="shared" si="8"/>
        <v>1.34E-5</v>
      </c>
    </row>
    <row r="523" spans="8:11">
      <c r="H523">
        <v>7.3</v>
      </c>
      <c r="I523" t="s">
        <v>121</v>
      </c>
      <c r="J523" t="s">
        <v>122</v>
      </c>
      <c r="K523" s="78">
        <f t="shared" si="8"/>
        <v>7.2999999999999996E-6</v>
      </c>
    </row>
    <row r="524" spans="8:11">
      <c r="H524">
        <v>7.3</v>
      </c>
      <c r="I524" t="s">
        <v>121</v>
      </c>
      <c r="J524" t="s">
        <v>122</v>
      </c>
      <c r="K524" s="78">
        <f t="shared" si="8"/>
        <v>7.2999999999999996E-6</v>
      </c>
    </row>
    <row r="525" spans="8:11">
      <c r="H525">
        <v>7.3</v>
      </c>
      <c r="I525" t="s">
        <v>121</v>
      </c>
      <c r="J525" t="s">
        <v>122</v>
      </c>
      <c r="K525" s="78">
        <f t="shared" si="8"/>
        <v>7.2999999999999996E-6</v>
      </c>
    </row>
    <row r="526" spans="8:11">
      <c r="H526">
        <v>7.3</v>
      </c>
      <c r="I526" t="s">
        <v>121</v>
      </c>
      <c r="J526" t="s">
        <v>122</v>
      </c>
      <c r="K526" s="78">
        <f t="shared" si="8"/>
        <v>7.2999999999999996E-6</v>
      </c>
    </row>
    <row r="527" spans="8:11">
      <c r="H527">
        <v>7.3</v>
      </c>
      <c r="I527" t="s">
        <v>121</v>
      </c>
      <c r="J527" t="s">
        <v>122</v>
      </c>
      <c r="K527" s="78">
        <f t="shared" si="8"/>
        <v>7.2999999999999996E-6</v>
      </c>
    </row>
    <row r="528" spans="8:11">
      <c r="H528">
        <v>7.3</v>
      </c>
      <c r="I528" t="s">
        <v>121</v>
      </c>
      <c r="J528" t="s">
        <v>122</v>
      </c>
      <c r="K528" s="78">
        <f t="shared" si="8"/>
        <v>7.2999999999999996E-6</v>
      </c>
    </row>
    <row r="529" spans="8:11">
      <c r="H529">
        <v>7.3</v>
      </c>
      <c r="I529" t="s">
        <v>121</v>
      </c>
      <c r="J529" t="s">
        <v>122</v>
      </c>
      <c r="K529" s="78">
        <f t="shared" si="8"/>
        <v>7.2999999999999996E-6</v>
      </c>
    </row>
    <row r="530" spans="8:11">
      <c r="H530">
        <v>7.3</v>
      </c>
      <c r="I530" t="s">
        <v>121</v>
      </c>
      <c r="J530" t="s">
        <v>122</v>
      </c>
      <c r="K530" s="78">
        <f t="shared" si="8"/>
        <v>7.2999999999999996E-6</v>
      </c>
    </row>
    <row r="531" spans="8:11">
      <c r="H531">
        <v>7.3</v>
      </c>
      <c r="I531" t="s">
        <v>121</v>
      </c>
      <c r="J531" t="s">
        <v>122</v>
      </c>
      <c r="K531" s="78">
        <f t="shared" si="8"/>
        <v>7.2999999999999996E-6</v>
      </c>
    </row>
    <row r="532" spans="8:11">
      <c r="H532">
        <v>7.3</v>
      </c>
      <c r="I532" t="s">
        <v>121</v>
      </c>
      <c r="J532" t="s">
        <v>122</v>
      </c>
      <c r="K532" s="78">
        <f t="shared" si="8"/>
        <v>7.2999999999999996E-6</v>
      </c>
    </row>
    <row r="533" spans="8:11">
      <c r="H533">
        <v>7.3</v>
      </c>
      <c r="I533" t="s">
        <v>121</v>
      </c>
      <c r="J533" t="s">
        <v>122</v>
      </c>
      <c r="K533" s="78">
        <f t="shared" si="8"/>
        <v>7.2999999999999996E-6</v>
      </c>
    </row>
    <row r="534" spans="8:11">
      <c r="H534">
        <v>7.3</v>
      </c>
      <c r="I534" t="s">
        <v>121</v>
      </c>
      <c r="J534" t="s">
        <v>122</v>
      </c>
      <c r="K534" s="78">
        <f t="shared" si="8"/>
        <v>7.2999999999999996E-6</v>
      </c>
    </row>
    <row r="535" spans="8:11">
      <c r="H535">
        <v>7.3</v>
      </c>
      <c r="I535" t="s">
        <v>121</v>
      </c>
      <c r="J535" t="s">
        <v>122</v>
      </c>
      <c r="K535" s="78">
        <f t="shared" si="8"/>
        <v>7.2999999999999996E-6</v>
      </c>
    </row>
    <row r="536" spans="8:11">
      <c r="H536">
        <v>7.3</v>
      </c>
      <c r="I536" t="s">
        <v>121</v>
      </c>
      <c r="J536" t="s">
        <v>122</v>
      </c>
      <c r="K536" s="78">
        <f t="shared" si="8"/>
        <v>7.2999999999999996E-6</v>
      </c>
    </row>
    <row r="537" spans="8:11">
      <c r="H537">
        <v>7.3</v>
      </c>
      <c r="I537" t="s">
        <v>121</v>
      </c>
      <c r="J537" t="s">
        <v>122</v>
      </c>
      <c r="K537" s="78">
        <f t="shared" si="8"/>
        <v>7.2999999999999996E-6</v>
      </c>
    </row>
    <row r="538" spans="8:11">
      <c r="H538">
        <v>7.3</v>
      </c>
      <c r="I538" t="s">
        <v>121</v>
      </c>
      <c r="J538" t="s">
        <v>122</v>
      </c>
      <c r="K538" s="78">
        <f t="shared" si="8"/>
        <v>7.2999999999999996E-6</v>
      </c>
    </row>
    <row r="539" spans="8:11">
      <c r="H539">
        <v>7.3</v>
      </c>
      <c r="I539" t="s">
        <v>121</v>
      </c>
      <c r="J539" t="s">
        <v>122</v>
      </c>
      <c r="K539" s="78">
        <f t="shared" si="8"/>
        <v>7.2999999999999996E-6</v>
      </c>
    </row>
    <row r="540" spans="8:11">
      <c r="H540">
        <v>7.3</v>
      </c>
      <c r="I540" t="s">
        <v>121</v>
      </c>
      <c r="J540" t="s">
        <v>122</v>
      </c>
      <c r="K540" s="78">
        <f t="shared" si="8"/>
        <v>7.2999999999999996E-6</v>
      </c>
    </row>
    <row r="541" spans="8:11">
      <c r="H541">
        <v>7.3</v>
      </c>
      <c r="I541" t="s">
        <v>121</v>
      </c>
      <c r="J541" t="s">
        <v>122</v>
      </c>
      <c r="K541" s="78">
        <f t="shared" si="8"/>
        <v>7.2999999999999996E-6</v>
      </c>
    </row>
    <row r="542" spans="8:11">
      <c r="H542">
        <v>7.3</v>
      </c>
      <c r="I542" t="s">
        <v>121</v>
      </c>
      <c r="J542" t="s">
        <v>122</v>
      </c>
      <c r="K542" s="78">
        <f t="shared" si="8"/>
        <v>7.2999999999999996E-6</v>
      </c>
    </row>
    <row r="543" spans="8:11">
      <c r="H543">
        <v>7.3</v>
      </c>
      <c r="I543" t="s">
        <v>121</v>
      </c>
      <c r="J543" t="s">
        <v>122</v>
      </c>
      <c r="K543" s="78">
        <f t="shared" si="8"/>
        <v>7.2999999999999996E-6</v>
      </c>
    </row>
    <row r="544" spans="8:11">
      <c r="H544">
        <v>7.3</v>
      </c>
      <c r="I544" t="s">
        <v>121</v>
      </c>
      <c r="J544" t="s">
        <v>122</v>
      </c>
      <c r="K544" s="78">
        <f t="shared" si="8"/>
        <v>7.2999999999999996E-6</v>
      </c>
    </row>
    <row r="545" spans="8:11">
      <c r="H545">
        <v>7.3</v>
      </c>
      <c r="I545" t="s">
        <v>121</v>
      </c>
      <c r="J545" t="s">
        <v>122</v>
      </c>
      <c r="K545" s="78">
        <f t="shared" si="8"/>
        <v>7.2999999999999996E-6</v>
      </c>
    </row>
    <row r="546" spans="8:11">
      <c r="H546">
        <v>7.3</v>
      </c>
      <c r="I546" t="s">
        <v>121</v>
      </c>
      <c r="J546" t="s">
        <v>122</v>
      </c>
      <c r="K546" s="78">
        <f t="shared" si="8"/>
        <v>7.2999999999999996E-6</v>
      </c>
    </row>
    <row r="547" spans="8:11">
      <c r="H547">
        <v>7.3</v>
      </c>
      <c r="I547" t="s">
        <v>121</v>
      </c>
      <c r="J547" t="s">
        <v>122</v>
      </c>
      <c r="K547" s="78">
        <f t="shared" si="8"/>
        <v>7.2999999999999996E-6</v>
      </c>
    </row>
    <row r="548" spans="8:11">
      <c r="H548">
        <v>7.3</v>
      </c>
      <c r="I548" t="s">
        <v>121</v>
      </c>
      <c r="J548" t="s">
        <v>122</v>
      </c>
      <c r="K548" s="78">
        <f t="shared" si="8"/>
        <v>7.2999999999999996E-6</v>
      </c>
    </row>
    <row r="549" spans="8:11">
      <c r="H549">
        <v>7.3</v>
      </c>
      <c r="I549" t="s">
        <v>121</v>
      </c>
      <c r="J549" t="s">
        <v>122</v>
      </c>
      <c r="K549" s="78">
        <f t="shared" si="8"/>
        <v>7.2999999999999996E-6</v>
      </c>
    </row>
    <row r="550" spans="8:11">
      <c r="H550">
        <v>7.3</v>
      </c>
      <c r="I550" t="s">
        <v>121</v>
      </c>
      <c r="J550" t="s">
        <v>122</v>
      </c>
      <c r="K550" s="78">
        <f t="shared" si="8"/>
        <v>7.2999999999999996E-6</v>
      </c>
    </row>
    <row r="551" spans="8:11">
      <c r="H551">
        <v>7.3</v>
      </c>
      <c r="I551" t="s">
        <v>121</v>
      </c>
      <c r="J551" t="s">
        <v>122</v>
      </c>
      <c r="K551" s="78">
        <f t="shared" si="8"/>
        <v>7.2999999999999996E-6</v>
      </c>
    </row>
    <row r="552" spans="8:11">
      <c r="H552">
        <v>7.3</v>
      </c>
      <c r="I552" t="s">
        <v>121</v>
      </c>
      <c r="J552" t="s">
        <v>122</v>
      </c>
      <c r="K552" s="78">
        <f t="shared" si="8"/>
        <v>7.2999999999999996E-6</v>
      </c>
    </row>
    <row r="553" spans="8:11">
      <c r="H553">
        <v>7.3</v>
      </c>
      <c r="I553" t="s">
        <v>121</v>
      </c>
      <c r="J553" t="s">
        <v>122</v>
      </c>
      <c r="K553" s="78">
        <f t="shared" si="8"/>
        <v>7.2999999999999996E-6</v>
      </c>
    </row>
    <row r="554" spans="8:11">
      <c r="H554">
        <v>4.8</v>
      </c>
      <c r="I554" t="s">
        <v>121</v>
      </c>
      <c r="J554" t="s">
        <v>122</v>
      </c>
      <c r="K554" s="78">
        <f t="shared" si="8"/>
        <v>4.7999999999999998E-6</v>
      </c>
    </row>
    <row r="555" spans="8:11">
      <c r="H555">
        <v>4.8</v>
      </c>
      <c r="I555" t="s">
        <v>121</v>
      </c>
      <c r="J555" t="s">
        <v>122</v>
      </c>
      <c r="K555" s="78">
        <f t="shared" si="8"/>
        <v>4.7999999999999998E-6</v>
      </c>
    </row>
    <row r="556" spans="8:11">
      <c r="H556">
        <v>4.8</v>
      </c>
      <c r="I556" t="s">
        <v>121</v>
      </c>
      <c r="J556" t="s">
        <v>122</v>
      </c>
      <c r="K556" s="78">
        <f t="shared" si="8"/>
        <v>4.7999999999999998E-6</v>
      </c>
    </row>
    <row r="557" spans="8:11">
      <c r="H557">
        <v>4.8</v>
      </c>
      <c r="I557" t="s">
        <v>121</v>
      </c>
      <c r="J557" t="s">
        <v>122</v>
      </c>
      <c r="K557" s="78">
        <f t="shared" si="8"/>
        <v>4.7999999999999998E-6</v>
      </c>
    </row>
    <row r="558" spans="8:11">
      <c r="H558">
        <v>4.8</v>
      </c>
      <c r="I558" t="s">
        <v>121</v>
      </c>
      <c r="J558" t="s">
        <v>122</v>
      </c>
      <c r="K558" s="78">
        <f t="shared" si="8"/>
        <v>4.7999999999999998E-6</v>
      </c>
    </row>
    <row r="559" spans="8:11">
      <c r="H559">
        <v>4.8</v>
      </c>
      <c r="I559" t="s">
        <v>121</v>
      </c>
      <c r="J559" t="s">
        <v>122</v>
      </c>
      <c r="K559" s="78">
        <f t="shared" si="8"/>
        <v>4.7999999999999998E-6</v>
      </c>
    </row>
    <row r="560" spans="8:11">
      <c r="H560">
        <v>4.8</v>
      </c>
      <c r="I560" t="s">
        <v>121</v>
      </c>
      <c r="J560" t="s">
        <v>122</v>
      </c>
      <c r="K560" s="78">
        <f t="shared" si="8"/>
        <v>4.7999999999999998E-6</v>
      </c>
    </row>
    <row r="561" spans="8:11">
      <c r="H561">
        <v>4.8</v>
      </c>
      <c r="I561" t="s">
        <v>121</v>
      </c>
      <c r="J561" t="s">
        <v>122</v>
      </c>
      <c r="K561" s="78">
        <f t="shared" si="8"/>
        <v>4.7999999999999998E-6</v>
      </c>
    </row>
    <row r="562" spans="8:11">
      <c r="H562">
        <v>4.8</v>
      </c>
      <c r="I562" t="s">
        <v>121</v>
      </c>
      <c r="J562" t="s">
        <v>122</v>
      </c>
      <c r="K562" s="78">
        <f t="shared" si="8"/>
        <v>4.7999999999999998E-6</v>
      </c>
    </row>
    <row r="563" spans="8:11">
      <c r="H563">
        <v>4.8</v>
      </c>
      <c r="I563" t="s">
        <v>121</v>
      </c>
      <c r="J563" t="s">
        <v>122</v>
      </c>
      <c r="K563" s="78">
        <f t="shared" si="8"/>
        <v>4.7999999999999998E-6</v>
      </c>
    </row>
    <row r="564" spans="8:11">
      <c r="H564">
        <v>4.8</v>
      </c>
      <c r="I564" t="s">
        <v>121</v>
      </c>
      <c r="J564" t="s">
        <v>122</v>
      </c>
      <c r="K564" s="78">
        <f t="shared" si="8"/>
        <v>4.7999999999999998E-6</v>
      </c>
    </row>
    <row r="565" spans="8:11">
      <c r="H565">
        <v>4.8</v>
      </c>
      <c r="I565" t="s">
        <v>121</v>
      </c>
      <c r="J565" t="s">
        <v>122</v>
      </c>
      <c r="K565" s="78">
        <f t="shared" si="8"/>
        <v>4.7999999999999998E-6</v>
      </c>
    </row>
    <row r="566" spans="8:11">
      <c r="H566">
        <v>4.8</v>
      </c>
      <c r="I566" t="s">
        <v>121</v>
      </c>
      <c r="J566" t="s">
        <v>122</v>
      </c>
      <c r="K566" s="78">
        <f t="shared" si="8"/>
        <v>4.7999999999999998E-6</v>
      </c>
    </row>
    <row r="567" spans="8:11">
      <c r="H567">
        <v>4.8</v>
      </c>
      <c r="I567" t="s">
        <v>121</v>
      </c>
      <c r="J567" t="s">
        <v>122</v>
      </c>
      <c r="K567" s="78">
        <f t="shared" si="8"/>
        <v>4.7999999999999998E-6</v>
      </c>
    </row>
    <row r="568" spans="8:11">
      <c r="H568">
        <v>4.8</v>
      </c>
      <c r="I568" t="s">
        <v>121</v>
      </c>
      <c r="J568" t="s">
        <v>122</v>
      </c>
      <c r="K568" s="78">
        <f t="shared" si="8"/>
        <v>4.7999999999999998E-6</v>
      </c>
    </row>
    <row r="569" spans="8:11">
      <c r="H569">
        <v>4.8</v>
      </c>
      <c r="I569" t="s">
        <v>121</v>
      </c>
      <c r="J569" t="s">
        <v>122</v>
      </c>
      <c r="K569" s="78">
        <f t="shared" si="8"/>
        <v>4.7999999999999998E-6</v>
      </c>
    </row>
    <row r="570" spans="8:11">
      <c r="H570">
        <v>4.8</v>
      </c>
      <c r="I570" t="s">
        <v>121</v>
      </c>
      <c r="J570" t="s">
        <v>122</v>
      </c>
      <c r="K570" s="78">
        <f t="shared" si="8"/>
        <v>4.7999999999999998E-6</v>
      </c>
    </row>
    <row r="571" spans="8:11">
      <c r="H571">
        <v>4.8</v>
      </c>
      <c r="I571" t="s">
        <v>121</v>
      </c>
      <c r="J571" t="s">
        <v>122</v>
      </c>
      <c r="K571" s="78">
        <f t="shared" si="8"/>
        <v>4.7999999999999998E-6</v>
      </c>
    </row>
    <row r="572" spans="8:11">
      <c r="H572">
        <v>4.8</v>
      </c>
      <c r="I572" t="s">
        <v>121</v>
      </c>
      <c r="J572" t="s">
        <v>122</v>
      </c>
      <c r="K572" s="78">
        <f t="shared" si="8"/>
        <v>4.7999999999999998E-6</v>
      </c>
    </row>
    <row r="573" spans="8:11">
      <c r="H573">
        <v>4.8</v>
      </c>
      <c r="I573" t="s">
        <v>121</v>
      </c>
      <c r="J573" t="s">
        <v>122</v>
      </c>
      <c r="K573" s="78">
        <f t="shared" si="8"/>
        <v>4.7999999999999998E-6</v>
      </c>
    </row>
    <row r="574" spans="8:11">
      <c r="H574">
        <v>4.8</v>
      </c>
      <c r="I574" t="s">
        <v>121</v>
      </c>
      <c r="J574" t="s">
        <v>122</v>
      </c>
      <c r="K574" s="78">
        <f t="shared" si="8"/>
        <v>4.7999999999999998E-6</v>
      </c>
    </row>
    <row r="575" spans="8:11">
      <c r="H575">
        <v>4.8</v>
      </c>
      <c r="I575" t="s">
        <v>121</v>
      </c>
      <c r="J575" t="s">
        <v>122</v>
      </c>
      <c r="K575" s="78">
        <f t="shared" si="8"/>
        <v>4.7999999999999998E-6</v>
      </c>
    </row>
    <row r="576" spans="8:11">
      <c r="H576">
        <v>4.8</v>
      </c>
      <c r="I576" t="s">
        <v>121</v>
      </c>
      <c r="J576" t="s">
        <v>122</v>
      </c>
      <c r="K576" s="78">
        <f t="shared" si="8"/>
        <v>4.7999999999999998E-6</v>
      </c>
    </row>
    <row r="577" spans="8:11">
      <c r="H577">
        <v>4.8</v>
      </c>
      <c r="I577" t="s">
        <v>121</v>
      </c>
      <c r="J577" t="s">
        <v>122</v>
      </c>
      <c r="K577" s="78">
        <f t="shared" si="8"/>
        <v>4.7999999999999998E-6</v>
      </c>
    </row>
    <row r="578" spans="8:11">
      <c r="H578">
        <v>4.8</v>
      </c>
      <c r="I578" t="s">
        <v>121</v>
      </c>
      <c r="J578" t="s">
        <v>122</v>
      </c>
      <c r="K578" s="78">
        <f t="shared" ref="K578:K641" si="9">H578*0.000001</f>
        <v>4.7999999999999998E-6</v>
      </c>
    </row>
    <row r="579" spans="8:11">
      <c r="H579">
        <v>4.8</v>
      </c>
      <c r="I579" t="s">
        <v>121</v>
      </c>
      <c r="J579" t="s">
        <v>122</v>
      </c>
      <c r="K579" s="78">
        <f t="shared" si="9"/>
        <v>4.7999999999999998E-6</v>
      </c>
    </row>
    <row r="580" spans="8:11">
      <c r="H580">
        <v>4.8</v>
      </c>
      <c r="I580" t="s">
        <v>121</v>
      </c>
      <c r="J580" t="s">
        <v>122</v>
      </c>
      <c r="K580" s="78">
        <f t="shared" si="9"/>
        <v>4.7999999999999998E-6</v>
      </c>
    </row>
    <row r="581" spans="8:11">
      <c r="H581">
        <v>4.8</v>
      </c>
      <c r="I581" t="s">
        <v>121</v>
      </c>
      <c r="J581" t="s">
        <v>122</v>
      </c>
      <c r="K581" s="78">
        <f t="shared" si="9"/>
        <v>4.7999999999999998E-6</v>
      </c>
    </row>
    <row r="582" spans="8:11">
      <c r="H582">
        <v>4.8</v>
      </c>
      <c r="I582" t="s">
        <v>121</v>
      </c>
      <c r="J582" t="s">
        <v>122</v>
      </c>
      <c r="K582" s="78">
        <f t="shared" si="9"/>
        <v>4.7999999999999998E-6</v>
      </c>
    </row>
    <row r="583" spans="8:11">
      <c r="H583">
        <v>4.8</v>
      </c>
      <c r="I583" t="s">
        <v>121</v>
      </c>
      <c r="J583" t="s">
        <v>122</v>
      </c>
      <c r="K583" s="78">
        <f t="shared" si="9"/>
        <v>4.7999999999999998E-6</v>
      </c>
    </row>
    <row r="584" spans="8:11">
      <c r="H584">
        <v>4.8</v>
      </c>
      <c r="I584" t="s">
        <v>121</v>
      </c>
      <c r="J584" t="s">
        <v>122</v>
      </c>
      <c r="K584" s="78">
        <f t="shared" si="9"/>
        <v>4.7999999999999998E-6</v>
      </c>
    </row>
    <row r="585" spans="8:11">
      <c r="H585">
        <v>6.3</v>
      </c>
      <c r="I585" t="s">
        <v>121</v>
      </c>
      <c r="J585" t="s">
        <v>122</v>
      </c>
      <c r="K585" s="78">
        <f t="shared" si="9"/>
        <v>6.2999999999999998E-6</v>
      </c>
    </row>
    <row r="586" spans="8:11">
      <c r="H586">
        <v>6.3</v>
      </c>
      <c r="I586" t="s">
        <v>121</v>
      </c>
      <c r="J586" t="s">
        <v>122</v>
      </c>
      <c r="K586" s="78">
        <f t="shared" si="9"/>
        <v>6.2999999999999998E-6</v>
      </c>
    </row>
    <row r="587" spans="8:11">
      <c r="H587">
        <v>6.3</v>
      </c>
      <c r="I587" t="s">
        <v>121</v>
      </c>
      <c r="J587" t="s">
        <v>122</v>
      </c>
      <c r="K587" s="78">
        <f t="shared" si="9"/>
        <v>6.2999999999999998E-6</v>
      </c>
    </row>
    <row r="588" spans="8:11">
      <c r="H588">
        <v>6.3</v>
      </c>
      <c r="I588" t="s">
        <v>121</v>
      </c>
      <c r="J588" t="s">
        <v>122</v>
      </c>
      <c r="K588" s="78">
        <f t="shared" si="9"/>
        <v>6.2999999999999998E-6</v>
      </c>
    </row>
    <row r="589" spans="8:11">
      <c r="H589">
        <v>6.3</v>
      </c>
      <c r="I589" t="s">
        <v>121</v>
      </c>
      <c r="J589" t="s">
        <v>122</v>
      </c>
      <c r="K589" s="78">
        <f t="shared" si="9"/>
        <v>6.2999999999999998E-6</v>
      </c>
    </row>
    <row r="590" spans="8:11">
      <c r="H590">
        <v>6.3</v>
      </c>
      <c r="I590" t="s">
        <v>121</v>
      </c>
      <c r="J590" t="s">
        <v>122</v>
      </c>
      <c r="K590" s="78">
        <f t="shared" si="9"/>
        <v>6.2999999999999998E-6</v>
      </c>
    </row>
    <row r="591" spans="8:11">
      <c r="H591">
        <v>6.3</v>
      </c>
      <c r="I591" t="s">
        <v>121</v>
      </c>
      <c r="J591" t="s">
        <v>122</v>
      </c>
      <c r="K591" s="78">
        <f t="shared" si="9"/>
        <v>6.2999999999999998E-6</v>
      </c>
    </row>
    <row r="592" spans="8:11">
      <c r="H592">
        <v>6.3</v>
      </c>
      <c r="I592" t="s">
        <v>121</v>
      </c>
      <c r="J592" t="s">
        <v>122</v>
      </c>
      <c r="K592" s="78">
        <f t="shared" si="9"/>
        <v>6.2999999999999998E-6</v>
      </c>
    </row>
    <row r="593" spans="8:11">
      <c r="H593">
        <v>6.3</v>
      </c>
      <c r="I593" t="s">
        <v>121</v>
      </c>
      <c r="J593" t="s">
        <v>122</v>
      </c>
      <c r="K593" s="78">
        <f t="shared" si="9"/>
        <v>6.2999999999999998E-6</v>
      </c>
    </row>
    <row r="594" spans="8:11">
      <c r="H594">
        <v>6.3</v>
      </c>
      <c r="I594" t="s">
        <v>121</v>
      </c>
      <c r="J594" t="s">
        <v>122</v>
      </c>
      <c r="K594" s="78">
        <f t="shared" si="9"/>
        <v>6.2999999999999998E-6</v>
      </c>
    </row>
    <row r="595" spans="8:11">
      <c r="H595">
        <v>6.3</v>
      </c>
      <c r="I595" t="s">
        <v>121</v>
      </c>
      <c r="J595" t="s">
        <v>122</v>
      </c>
      <c r="K595" s="78">
        <f t="shared" si="9"/>
        <v>6.2999999999999998E-6</v>
      </c>
    </row>
    <row r="596" spans="8:11">
      <c r="H596">
        <v>6.3</v>
      </c>
      <c r="I596" t="s">
        <v>121</v>
      </c>
      <c r="J596" t="s">
        <v>122</v>
      </c>
      <c r="K596" s="78">
        <f t="shared" si="9"/>
        <v>6.2999999999999998E-6</v>
      </c>
    </row>
    <row r="597" spans="8:11">
      <c r="H597">
        <v>6.3</v>
      </c>
      <c r="I597" t="s">
        <v>121</v>
      </c>
      <c r="J597" t="s">
        <v>122</v>
      </c>
      <c r="K597" s="78">
        <f t="shared" si="9"/>
        <v>6.2999999999999998E-6</v>
      </c>
    </row>
    <row r="598" spans="8:11">
      <c r="H598">
        <v>6.3</v>
      </c>
      <c r="I598" t="s">
        <v>121</v>
      </c>
      <c r="J598" t="s">
        <v>122</v>
      </c>
      <c r="K598" s="78">
        <f t="shared" si="9"/>
        <v>6.2999999999999998E-6</v>
      </c>
    </row>
    <row r="599" spans="8:11">
      <c r="H599">
        <v>6.3</v>
      </c>
      <c r="I599" t="s">
        <v>121</v>
      </c>
      <c r="J599" t="s">
        <v>122</v>
      </c>
      <c r="K599" s="78">
        <f t="shared" si="9"/>
        <v>6.2999999999999998E-6</v>
      </c>
    </row>
    <row r="600" spans="8:11">
      <c r="H600">
        <v>6.3</v>
      </c>
      <c r="I600" t="s">
        <v>121</v>
      </c>
      <c r="J600" t="s">
        <v>122</v>
      </c>
      <c r="K600" s="78">
        <f t="shared" si="9"/>
        <v>6.2999999999999998E-6</v>
      </c>
    </row>
    <row r="601" spans="8:11">
      <c r="H601">
        <v>6.3</v>
      </c>
      <c r="I601" t="s">
        <v>121</v>
      </c>
      <c r="J601" t="s">
        <v>122</v>
      </c>
      <c r="K601" s="78">
        <f t="shared" si="9"/>
        <v>6.2999999999999998E-6</v>
      </c>
    </row>
    <row r="602" spans="8:11">
      <c r="H602">
        <v>6.3</v>
      </c>
      <c r="I602" t="s">
        <v>121</v>
      </c>
      <c r="J602" t="s">
        <v>122</v>
      </c>
      <c r="K602" s="78">
        <f t="shared" si="9"/>
        <v>6.2999999999999998E-6</v>
      </c>
    </row>
    <row r="603" spans="8:11">
      <c r="H603">
        <v>6.3</v>
      </c>
      <c r="I603" t="s">
        <v>121</v>
      </c>
      <c r="J603" t="s">
        <v>122</v>
      </c>
      <c r="K603" s="78">
        <f t="shared" si="9"/>
        <v>6.2999999999999998E-6</v>
      </c>
    </row>
    <row r="604" spans="8:11">
      <c r="H604">
        <v>6.3</v>
      </c>
      <c r="I604" t="s">
        <v>121</v>
      </c>
      <c r="J604" t="s">
        <v>122</v>
      </c>
      <c r="K604" s="78">
        <f t="shared" si="9"/>
        <v>6.2999999999999998E-6</v>
      </c>
    </row>
    <row r="605" spans="8:11">
      <c r="H605">
        <v>6.3</v>
      </c>
      <c r="I605" t="s">
        <v>121</v>
      </c>
      <c r="J605" t="s">
        <v>122</v>
      </c>
      <c r="K605" s="78">
        <f t="shared" si="9"/>
        <v>6.2999999999999998E-6</v>
      </c>
    </row>
    <row r="606" spans="8:11">
      <c r="H606">
        <v>6.3</v>
      </c>
      <c r="I606" t="s">
        <v>121</v>
      </c>
      <c r="J606" t="s">
        <v>122</v>
      </c>
      <c r="K606" s="78">
        <f t="shared" si="9"/>
        <v>6.2999999999999998E-6</v>
      </c>
    </row>
    <row r="607" spans="8:11">
      <c r="H607">
        <v>6.3</v>
      </c>
      <c r="I607" t="s">
        <v>121</v>
      </c>
      <c r="J607" t="s">
        <v>122</v>
      </c>
      <c r="K607" s="78">
        <f t="shared" si="9"/>
        <v>6.2999999999999998E-6</v>
      </c>
    </row>
    <row r="608" spans="8:11">
      <c r="H608">
        <v>6.3</v>
      </c>
      <c r="I608" t="s">
        <v>121</v>
      </c>
      <c r="J608" t="s">
        <v>122</v>
      </c>
      <c r="K608" s="78">
        <f t="shared" si="9"/>
        <v>6.2999999999999998E-6</v>
      </c>
    </row>
    <row r="609" spans="8:11">
      <c r="H609">
        <v>6.3</v>
      </c>
      <c r="I609" t="s">
        <v>121</v>
      </c>
      <c r="J609" t="s">
        <v>122</v>
      </c>
      <c r="K609" s="78">
        <f t="shared" si="9"/>
        <v>6.2999999999999998E-6</v>
      </c>
    </row>
    <row r="610" spans="8:11">
      <c r="H610">
        <v>6.3</v>
      </c>
      <c r="I610" t="s">
        <v>121</v>
      </c>
      <c r="J610" t="s">
        <v>122</v>
      </c>
      <c r="K610" s="78">
        <f t="shared" si="9"/>
        <v>6.2999999999999998E-6</v>
      </c>
    </row>
    <row r="611" spans="8:11">
      <c r="H611">
        <v>6.3</v>
      </c>
      <c r="I611" t="s">
        <v>121</v>
      </c>
      <c r="J611" t="s">
        <v>122</v>
      </c>
      <c r="K611" s="78">
        <f t="shared" si="9"/>
        <v>6.2999999999999998E-6</v>
      </c>
    </row>
    <row r="612" spans="8:11">
      <c r="H612">
        <v>6.3</v>
      </c>
      <c r="I612" t="s">
        <v>121</v>
      </c>
      <c r="J612" t="s">
        <v>122</v>
      </c>
      <c r="K612" s="78">
        <f t="shared" si="9"/>
        <v>6.2999999999999998E-6</v>
      </c>
    </row>
    <row r="613" spans="8:11">
      <c r="H613">
        <v>6.3</v>
      </c>
      <c r="I613" t="s">
        <v>121</v>
      </c>
      <c r="J613" t="s">
        <v>122</v>
      </c>
      <c r="K613" s="78">
        <f t="shared" si="9"/>
        <v>6.2999999999999998E-6</v>
      </c>
    </row>
    <row r="614" spans="8:11">
      <c r="H614">
        <v>6.3</v>
      </c>
      <c r="I614" t="s">
        <v>121</v>
      </c>
      <c r="J614" t="s">
        <v>122</v>
      </c>
      <c r="K614" s="78">
        <f t="shared" si="9"/>
        <v>6.2999999999999998E-6</v>
      </c>
    </row>
    <row r="615" spans="8:11">
      <c r="H615">
        <v>6.3</v>
      </c>
      <c r="I615" t="s">
        <v>121</v>
      </c>
      <c r="J615" t="s">
        <v>122</v>
      </c>
      <c r="K615" s="78">
        <f t="shared" si="9"/>
        <v>6.2999999999999998E-6</v>
      </c>
    </row>
    <row r="616" spans="8:11">
      <c r="H616">
        <v>4.5</v>
      </c>
      <c r="I616" t="s">
        <v>121</v>
      </c>
      <c r="J616" t="s">
        <v>122</v>
      </c>
      <c r="K616" s="78">
        <f t="shared" si="9"/>
        <v>4.5000000000000001E-6</v>
      </c>
    </row>
    <row r="617" spans="8:11">
      <c r="H617">
        <v>4.5</v>
      </c>
      <c r="I617" t="s">
        <v>121</v>
      </c>
      <c r="J617" t="s">
        <v>122</v>
      </c>
      <c r="K617" s="78">
        <f t="shared" si="9"/>
        <v>4.5000000000000001E-6</v>
      </c>
    </row>
    <row r="618" spans="8:11">
      <c r="H618">
        <v>4.5</v>
      </c>
      <c r="I618" t="s">
        <v>121</v>
      </c>
      <c r="J618" t="s">
        <v>122</v>
      </c>
      <c r="K618" s="78">
        <f t="shared" si="9"/>
        <v>4.5000000000000001E-6</v>
      </c>
    </row>
    <row r="619" spans="8:11">
      <c r="H619">
        <v>4.5</v>
      </c>
      <c r="I619" t="s">
        <v>121</v>
      </c>
      <c r="J619" t="s">
        <v>122</v>
      </c>
      <c r="K619" s="78">
        <f t="shared" si="9"/>
        <v>4.5000000000000001E-6</v>
      </c>
    </row>
    <row r="620" spans="8:11">
      <c r="H620">
        <v>4.5</v>
      </c>
      <c r="I620" t="s">
        <v>121</v>
      </c>
      <c r="J620" t="s">
        <v>122</v>
      </c>
      <c r="K620" s="78">
        <f t="shared" si="9"/>
        <v>4.5000000000000001E-6</v>
      </c>
    </row>
    <row r="621" spans="8:11">
      <c r="H621">
        <v>4.5</v>
      </c>
      <c r="I621" t="s">
        <v>121</v>
      </c>
      <c r="J621" t="s">
        <v>122</v>
      </c>
      <c r="K621" s="78">
        <f t="shared" si="9"/>
        <v>4.5000000000000001E-6</v>
      </c>
    </row>
    <row r="622" spans="8:11">
      <c r="H622">
        <v>4.5</v>
      </c>
      <c r="I622" t="s">
        <v>121</v>
      </c>
      <c r="J622" t="s">
        <v>122</v>
      </c>
      <c r="K622" s="78">
        <f t="shared" si="9"/>
        <v>4.5000000000000001E-6</v>
      </c>
    </row>
    <row r="623" spans="8:11">
      <c r="H623">
        <v>4.5</v>
      </c>
      <c r="I623" t="s">
        <v>121</v>
      </c>
      <c r="J623" t="s">
        <v>122</v>
      </c>
      <c r="K623" s="78">
        <f t="shared" si="9"/>
        <v>4.5000000000000001E-6</v>
      </c>
    </row>
    <row r="624" spans="8:11">
      <c r="H624">
        <v>4.5</v>
      </c>
      <c r="I624" t="s">
        <v>121</v>
      </c>
      <c r="J624" t="s">
        <v>122</v>
      </c>
      <c r="K624" s="78">
        <f t="shared" si="9"/>
        <v>4.5000000000000001E-6</v>
      </c>
    </row>
    <row r="625" spans="8:11">
      <c r="H625">
        <v>4.5</v>
      </c>
      <c r="I625" t="s">
        <v>121</v>
      </c>
      <c r="J625" t="s">
        <v>122</v>
      </c>
      <c r="K625" s="78">
        <f t="shared" si="9"/>
        <v>4.5000000000000001E-6</v>
      </c>
    </row>
    <row r="626" spans="8:11">
      <c r="H626">
        <v>4.5</v>
      </c>
      <c r="I626" t="s">
        <v>121</v>
      </c>
      <c r="J626" t="s">
        <v>122</v>
      </c>
      <c r="K626" s="78">
        <f t="shared" si="9"/>
        <v>4.5000000000000001E-6</v>
      </c>
    </row>
    <row r="627" spans="8:11">
      <c r="H627">
        <v>4.5</v>
      </c>
      <c r="I627" t="s">
        <v>121</v>
      </c>
      <c r="J627" t="s">
        <v>122</v>
      </c>
      <c r="K627" s="78">
        <f t="shared" si="9"/>
        <v>4.5000000000000001E-6</v>
      </c>
    </row>
    <row r="628" spans="8:11">
      <c r="H628">
        <v>4.5</v>
      </c>
      <c r="I628" t="s">
        <v>121</v>
      </c>
      <c r="J628" t="s">
        <v>122</v>
      </c>
      <c r="K628" s="78">
        <f t="shared" si="9"/>
        <v>4.5000000000000001E-6</v>
      </c>
    </row>
    <row r="629" spans="8:11">
      <c r="H629">
        <v>4.5</v>
      </c>
      <c r="I629" t="s">
        <v>121</v>
      </c>
      <c r="J629" t="s">
        <v>122</v>
      </c>
      <c r="K629" s="78">
        <f t="shared" si="9"/>
        <v>4.5000000000000001E-6</v>
      </c>
    </row>
    <row r="630" spans="8:11">
      <c r="H630">
        <v>4.5</v>
      </c>
      <c r="I630" t="s">
        <v>121</v>
      </c>
      <c r="J630" t="s">
        <v>122</v>
      </c>
      <c r="K630" s="78">
        <f t="shared" si="9"/>
        <v>4.5000000000000001E-6</v>
      </c>
    </row>
    <row r="631" spans="8:11">
      <c r="H631">
        <v>4.5</v>
      </c>
      <c r="I631" t="s">
        <v>121</v>
      </c>
      <c r="J631" t="s">
        <v>122</v>
      </c>
      <c r="K631" s="78">
        <f t="shared" si="9"/>
        <v>4.5000000000000001E-6</v>
      </c>
    </row>
    <row r="632" spans="8:11">
      <c r="H632">
        <v>4.5</v>
      </c>
      <c r="I632" t="s">
        <v>121</v>
      </c>
      <c r="J632" t="s">
        <v>122</v>
      </c>
      <c r="K632" s="78">
        <f t="shared" si="9"/>
        <v>4.5000000000000001E-6</v>
      </c>
    </row>
    <row r="633" spans="8:11">
      <c r="H633">
        <v>4.5</v>
      </c>
      <c r="I633" t="s">
        <v>121</v>
      </c>
      <c r="J633" t="s">
        <v>122</v>
      </c>
      <c r="K633" s="78">
        <f t="shared" si="9"/>
        <v>4.5000000000000001E-6</v>
      </c>
    </row>
    <row r="634" spans="8:11">
      <c r="H634">
        <v>4.5</v>
      </c>
      <c r="I634" t="s">
        <v>121</v>
      </c>
      <c r="J634" t="s">
        <v>122</v>
      </c>
      <c r="K634" s="78">
        <f t="shared" si="9"/>
        <v>4.5000000000000001E-6</v>
      </c>
    </row>
    <row r="635" spans="8:11">
      <c r="H635">
        <v>4.5</v>
      </c>
      <c r="I635" t="s">
        <v>121</v>
      </c>
      <c r="J635" t="s">
        <v>122</v>
      </c>
      <c r="K635" s="78">
        <f t="shared" si="9"/>
        <v>4.5000000000000001E-6</v>
      </c>
    </row>
    <row r="636" spans="8:11">
      <c r="H636">
        <v>4.5</v>
      </c>
      <c r="I636" t="s">
        <v>121</v>
      </c>
      <c r="J636" t="s">
        <v>122</v>
      </c>
      <c r="K636" s="78">
        <f t="shared" si="9"/>
        <v>4.5000000000000001E-6</v>
      </c>
    </row>
    <row r="637" spans="8:11">
      <c r="H637">
        <v>4.5</v>
      </c>
      <c r="I637" t="s">
        <v>121</v>
      </c>
      <c r="J637" t="s">
        <v>122</v>
      </c>
      <c r="K637" s="78">
        <f t="shared" si="9"/>
        <v>4.5000000000000001E-6</v>
      </c>
    </row>
    <row r="638" spans="8:11">
      <c r="H638">
        <v>4.5</v>
      </c>
      <c r="I638" t="s">
        <v>121</v>
      </c>
      <c r="J638" t="s">
        <v>122</v>
      </c>
      <c r="K638" s="78">
        <f t="shared" si="9"/>
        <v>4.5000000000000001E-6</v>
      </c>
    </row>
    <row r="639" spans="8:11">
      <c r="H639">
        <v>4.5</v>
      </c>
      <c r="I639" t="s">
        <v>121</v>
      </c>
      <c r="J639" t="s">
        <v>122</v>
      </c>
      <c r="K639" s="78">
        <f t="shared" si="9"/>
        <v>4.5000000000000001E-6</v>
      </c>
    </row>
    <row r="640" spans="8:11">
      <c r="H640">
        <v>4.5</v>
      </c>
      <c r="I640" t="s">
        <v>121</v>
      </c>
      <c r="J640" t="s">
        <v>122</v>
      </c>
      <c r="K640" s="78">
        <f t="shared" si="9"/>
        <v>4.5000000000000001E-6</v>
      </c>
    </row>
    <row r="641" spans="8:11">
      <c r="H641">
        <v>4.5</v>
      </c>
      <c r="I641" t="s">
        <v>121</v>
      </c>
      <c r="J641" t="s">
        <v>122</v>
      </c>
      <c r="K641" s="78">
        <f t="shared" si="9"/>
        <v>4.5000000000000001E-6</v>
      </c>
    </row>
    <row r="642" spans="8:11">
      <c r="H642">
        <v>4.5</v>
      </c>
      <c r="I642" t="s">
        <v>121</v>
      </c>
      <c r="J642" t="s">
        <v>122</v>
      </c>
      <c r="K642" s="78">
        <f t="shared" ref="K642:K693" si="10">H642*0.000001</f>
        <v>4.5000000000000001E-6</v>
      </c>
    </row>
    <row r="643" spans="8:11">
      <c r="H643">
        <v>4.5</v>
      </c>
      <c r="I643" t="s">
        <v>121</v>
      </c>
      <c r="J643" t="s">
        <v>122</v>
      </c>
      <c r="K643" s="78">
        <f t="shared" si="10"/>
        <v>4.5000000000000001E-6</v>
      </c>
    </row>
    <row r="644" spans="8:11">
      <c r="H644">
        <v>4.5</v>
      </c>
      <c r="I644" t="s">
        <v>121</v>
      </c>
      <c r="J644" t="s">
        <v>122</v>
      </c>
      <c r="K644" s="78">
        <f t="shared" si="10"/>
        <v>4.5000000000000001E-6</v>
      </c>
    </row>
    <row r="645" spans="8:11">
      <c r="H645">
        <v>4.5</v>
      </c>
      <c r="I645" t="s">
        <v>121</v>
      </c>
      <c r="J645" t="s">
        <v>122</v>
      </c>
      <c r="K645" s="78">
        <f t="shared" si="10"/>
        <v>4.5000000000000001E-6</v>
      </c>
    </row>
    <row r="646" spans="8:11">
      <c r="H646">
        <v>4.5</v>
      </c>
      <c r="I646" t="s">
        <v>121</v>
      </c>
      <c r="J646" t="s">
        <v>122</v>
      </c>
      <c r="K646" s="78">
        <f t="shared" si="10"/>
        <v>4.5000000000000001E-6</v>
      </c>
    </row>
    <row r="647" spans="8:11">
      <c r="H647">
        <v>6.2</v>
      </c>
      <c r="I647" t="s">
        <v>121</v>
      </c>
      <c r="J647" t="s">
        <v>122</v>
      </c>
      <c r="K647" s="78">
        <f t="shared" si="10"/>
        <v>6.1999999999999999E-6</v>
      </c>
    </row>
    <row r="648" spans="8:11">
      <c r="H648">
        <v>6.2</v>
      </c>
      <c r="I648" t="s">
        <v>121</v>
      </c>
      <c r="J648" t="s">
        <v>122</v>
      </c>
      <c r="K648" s="78">
        <f t="shared" si="10"/>
        <v>6.1999999999999999E-6</v>
      </c>
    </row>
    <row r="649" spans="8:11">
      <c r="H649">
        <v>6.2</v>
      </c>
      <c r="I649" t="s">
        <v>121</v>
      </c>
      <c r="J649" t="s">
        <v>122</v>
      </c>
      <c r="K649" s="78">
        <f t="shared" si="10"/>
        <v>6.1999999999999999E-6</v>
      </c>
    </row>
    <row r="650" spans="8:11">
      <c r="H650">
        <v>6.2</v>
      </c>
      <c r="I650" t="s">
        <v>121</v>
      </c>
      <c r="J650" t="s">
        <v>122</v>
      </c>
      <c r="K650" s="78">
        <f t="shared" si="10"/>
        <v>6.1999999999999999E-6</v>
      </c>
    </row>
    <row r="651" spans="8:11">
      <c r="H651">
        <v>6.2</v>
      </c>
      <c r="I651" t="s">
        <v>121</v>
      </c>
      <c r="J651" t="s">
        <v>122</v>
      </c>
      <c r="K651" s="78">
        <f t="shared" si="10"/>
        <v>6.1999999999999999E-6</v>
      </c>
    </row>
    <row r="652" spans="8:11">
      <c r="H652">
        <v>6.2</v>
      </c>
      <c r="I652" t="s">
        <v>121</v>
      </c>
      <c r="J652" t="s">
        <v>122</v>
      </c>
      <c r="K652" s="78">
        <f t="shared" si="10"/>
        <v>6.1999999999999999E-6</v>
      </c>
    </row>
    <row r="653" spans="8:11">
      <c r="H653">
        <v>6.2</v>
      </c>
      <c r="I653" t="s">
        <v>121</v>
      </c>
      <c r="J653" t="s">
        <v>122</v>
      </c>
      <c r="K653" s="78">
        <f t="shared" si="10"/>
        <v>6.1999999999999999E-6</v>
      </c>
    </row>
    <row r="654" spans="8:11">
      <c r="H654">
        <v>6.2</v>
      </c>
      <c r="I654" t="s">
        <v>121</v>
      </c>
      <c r="J654" t="s">
        <v>122</v>
      </c>
      <c r="K654" s="78">
        <f t="shared" si="10"/>
        <v>6.1999999999999999E-6</v>
      </c>
    </row>
    <row r="655" spans="8:11">
      <c r="H655">
        <v>6.2</v>
      </c>
      <c r="I655" t="s">
        <v>121</v>
      </c>
      <c r="J655" t="s">
        <v>122</v>
      </c>
      <c r="K655" s="78">
        <f t="shared" si="10"/>
        <v>6.1999999999999999E-6</v>
      </c>
    </row>
    <row r="656" spans="8:11">
      <c r="H656">
        <v>6.2</v>
      </c>
      <c r="I656" t="s">
        <v>121</v>
      </c>
      <c r="J656" t="s">
        <v>122</v>
      </c>
      <c r="K656" s="78">
        <f t="shared" si="10"/>
        <v>6.1999999999999999E-6</v>
      </c>
    </row>
    <row r="657" spans="8:11">
      <c r="H657">
        <v>6.2</v>
      </c>
      <c r="I657" t="s">
        <v>121</v>
      </c>
      <c r="J657" t="s">
        <v>122</v>
      </c>
      <c r="K657" s="78">
        <f t="shared" si="10"/>
        <v>6.1999999999999999E-6</v>
      </c>
    </row>
    <row r="658" spans="8:11">
      <c r="H658">
        <v>6.2</v>
      </c>
      <c r="I658" t="s">
        <v>121</v>
      </c>
      <c r="J658" t="s">
        <v>122</v>
      </c>
      <c r="K658" s="78">
        <f t="shared" si="10"/>
        <v>6.1999999999999999E-6</v>
      </c>
    </row>
    <row r="659" spans="8:11">
      <c r="H659">
        <v>6.2</v>
      </c>
      <c r="I659" t="s">
        <v>121</v>
      </c>
      <c r="J659" t="s">
        <v>122</v>
      </c>
      <c r="K659" s="78">
        <f t="shared" si="10"/>
        <v>6.1999999999999999E-6</v>
      </c>
    </row>
    <row r="660" spans="8:11">
      <c r="H660">
        <v>6.2</v>
      </c>
      <c r="I660" t="s">
        <v>121</v>
      </c>
      <c r="J660" t="s">
        <v>122</v>
      </c>
      <c r="K660" s="78">
        <f t="shared" si="10"/>
        <v>6.1999999999999999E-6</v>
      </c>
    </row>
    <row r="661" spans="8:11">
      <c r="H661">
        <v>6.2</v>
      </c>
      <c r="I661" t="s">
        <v>121</v>
      </c>
      <c r="J661" t="s">
        <v>122</v>
      </c>
      <c r="K661" s="78">
        <f t="shared" si="10"/>
        <v>6.1999999999999999E-6</v>
      </c>
    </row>
    <row r="662" spans="8:11">
      <c r="H662">
        <v>6.2</v>
      </c>
      <c r="I662" t="s">
        <v>121</v>
      </c>
      <c r="J662" t="s">
        <v>122</v>
      </c>
      <c r="K662" s="78">
        <f t="shared" si="10"/>
        <v>6.1999999999999999E-6</v>
      </c>
    </row>
    <row r="663" spans="8:11">
      <c r="H663">
        <v>2.6</v>
      </c>
      <c r="I663" t="s">
        <v>121</v>
      </c>
      <c r="J663" t="s">
        <v>122</v>
      </c>
      <c r="K663" s="78">
        <f t="shared" si="10"/>
        <v>2.6000000000000001E-6</v>
      </c>
    </row>
    <row r="664" spans="8:11">
      <c r="H664">
        <v>2.6</v>
      </c>
      <c r="I664" t="s">
        <v>121</v>
      </c>
      <c r="J664" t="s">
        <v>122</v>
      </c>
      <c r="K664" s="78">
        <f t="shared" si="10"/>
        <v>2.6000000000000001E-6</v>
      </c>
    </row>
    <row r="665" spans="8:11">
      <c r="H665">
        <v>2.6</v>
      </c>
      <c r="I665" t="s">
        <v>121</v>
      </c>
      <c r="J665" t="s">
        <v>122</v>
      </c>
      <c r="K665" s="78">
        <f t="shared" si="10"/>
        <v>2.6000000000000001E-6</v>
      </c>
    </row>
    <row r="666" spans="8:11">
      <c r="H666">
        <v>2.6</v>
      </c>
      <c r="I666" t="s">
        <v>121</v>
      </c>
      <c r="J666" t="s">
        <v>122</v>
      </c>
      <c r="K666" s="78">
        <f t="shared" si="10"/>
        <v>2.6000000000000001E-6</v>
      </c>
    </row>
    <row r="667" spans="8:11">
      <c r="H667">
        <v>2.6</v>
      </c>
      <c r="I667" t="s">
        <v>121</v>
      </c>
      <c r="J667" t="s">
        <v>122</v>
      </c>
      <c r="K667" s="78">
        <f t="shared" si="10"/>
        <v>2.6000000000000001E-6</v>
      </c>
    </row>
    <row r="668" spans="8:11">
      <c r="H668">
        <v>2.6</v>
      </c>
      <c r="I668" t="s">
        <v>121</v>
      </c>
      <c r="J668" t="s">
        <v>122</v>
      </c>
      <c r="K668" s="78">
        <f t="shared" si="10"/>
        <v>2.6000000000000001E-6</v>
      </c>
    </row>
    <row r="669" spans="8:11">
      <c r="H669">
        <v>2.6</v>
      </c>
      <c r="I669" t="s">
        <v>121</v>
      </c>
      <c r="J669" t="s">
        <v>122</v>
      </c>
      <c r="K669" s="78">
        <f t="shared" si="10"/>
        <v>2.6000000000000001E-6</v>
      </c>
    </row>
    <row r="670" spans="8:11">
      <c r="H670">
        <v>2.6</v>
      </c>
      <c r="I670" t="s">
        <v>121</v>
      </c>
      <c r="J670" t="s">
        <v>122</v>
      </c>
      <c r="K670" s="78">
        <f t="shared" si="10"/>
        <v>2.6000000000000001E-6</v>
      </c>
    </row>
    <row r="671" spans="8:11">
      <c r="H671">
        <v>2.6</v>
      </c>
      <c r="I671" t="s">
        <v>121</v>
      </c>
      <c r="J671" t="s">
        <v>122</v>
      </c>
      <c r="K671" s="78">
        <f t="shared" si="10"/>
        <v>2.6000000000000001E-6</v>
      </c>
    </row>
    <row r="672" spans="8:11">
      <c r="H672">
        <v>2.6</v>
      </c>
      <c r="I672" t="s">
        <v>121</v>
      </c>
      <c r="J672" t="s">
        <v>122</v>
      </c>
      <c r="K672" s="78">
        <f t="shared" si="10"/>
        <v>2.6000000000000001E-6</v>
      </c>
    </row>
    <row r="673" spans="8:11">
      <c r="H673">
        <v>2.6</v>
      </c>
      <c r="I673" t="s">
        <v>121</v>
      </c>
      <c r="J673" t="s">
        <v>122</v>
      </c>
      <c r="K673" s="78">
        <f t="shared" si="10"/>
        <v>2.6000000000000001E-6</v>
      </c>
    </row>
    <row r="674" spans="8:11">
      <c r="H674">
        <v>2.6</v>
      </c>
      <c r="I674" t="s">
        <v>121</v>
      </c>
      <c r="J674" t="s">
        <v>122</v>
      </c>
      <c r="K674" s="78">
        <f t="shared" si="10"/>
        <v>2.6000000000000001E-6</v>
      </c>
    </row>
    <row r="675" spans="8:11">
      <c r="H675">
        <v>2.6</v>
      </c>
      <c r="I675" t="s">
        <v>121</v>
      </c>
      <c r="J675" t="s">
        <v>122</v>
      </c>
      <c r="K675" s="78">
        <f t="shared" si="10"/>
        <v>2.6000000000000001E-6</v>
      </c>
    </row>
    <row r="676" spans="8:11">
      <c r="H676">
        <v>2.6</v>
      </c>
      <c r="I676" t="s">
        <v>121</v>
      </c>
      <c r="J676" t="s">
        <v>122</v>
      </c>
      <c r="K676" s="78">
        <f t="shared" si="10"/>
        <v>2.6000000000000001E-6</v>
      </c>
    </row>
    <row r="677" spans="8:11">
      <c r="H677">
        <v>2.6</v>
      </c>
      <c r="I677" t="s">
        <v>121</v>
      </c>
      <c r="J677" t="s">
        <v>122</v>
      </c>
      <c r="K677" s="78">
        <f t="shared" si="10"/>
        <v>2.6000000000000001E-6</v>
      </c>
    </row>
    <row r="678" spans="8:11">
      <c r="H678">
        <v>2.6</v>
      </c>
      <c r="I678" t="s">
        <v>121</v>
      </c>
      <c r="J678" t="s">
        <v>122</v>
      </c>
      <c r="K678" s="78">
        <f t="shared" si="10"/>
        <v>2.6000000000000001E-6</v>
      </c>
    </row>
    <row r="679" spans="8:11">
      <c r="H679">
        <v>2.6</v>
      </c>
      <c r="I679" t="s">
        <v>121</v>
      </c>
      <c r="J679" t="s">
        <v>122</v>
      </c>
      <c r="K679" s="78">
        <f t="shared" si="10"/>
        <v>2.6000000000000001E-6</v>
      </c>
    </row>
    <row r="680" spans="8:11">
      <c r="H680">
        <v>2.6</v>
      </c>
      <c r="I680" t="s">
        <v>121</v>
      </c>
      <c r="J680" t="s">
        <v>122</v>
      </c>
      <c r="K680" s="78">
        <f t="shared" si="10"/>
        <v>2.6000000000000001E-6</v>
      </c>
    </row>
    <row r="681" spans="8:11">
      <c r="H681">
        <v>2.6</v>
      </c>
      <c r="I681" t="s">
        <v>121</v>
      </c>
      <c r="J681" t="s">
        <v>122</v>
      </c>
      <c r="K681" s="78">
        <f t="shared" si="10"/>
        <v>2.6000000000000001E-6</v>
      </c>
    </row>
    <row r="682" spans="8:11">
      <c r="H682">
        <v>2.6</v>
      </c>
      <c r="I682" t="s">
        <v>121</v>
      </c>
      <c r="J682" t="s">
        <v>122</v>
      </c>
      <c r="K682" s="78">
        <f t="shared" si="10"/>
        <v>2.6000000000000001E-6</v>
      </c>
    </row>
    <row r="683" spans="8:11">
      <c r="H683">
        <v>2.6</v>
      </c>
      <c r="I683" t="s">
        <v>121</v>
      </c>
      <c r="J683" t="s">
        <v>122</v>
      </c>
      <c r="K683" s="78">
        <f t="shared" si="10"/>
        <v>2.6000000000000001E-6</v>
      </c>
    </row>
    <row r="684" spans="8:11">
      <c r="H684">
        <v>2.6</v>
      </c>
      <c r="I684" t="s">
        <v>121</v>
      </c>
      <c r="J684" t="s">
        <v>122</v>
      </c>
      <c r="K684" s="78">
        <f t="shared" si="10"/>
        <v>2.6000000000000001E-6</v>
      </c>
    </row>
    <row r="685" spans="8:11">
      <c r="H685">
        <v>2.6</v>
      </c>
      <c r="I685" t="s">
        <v>121</v>
      </c>
      <c r="J685" t="s">
        <v>122</v>
      </c>
      <c r="K685" s="78">
        <f t="shared" si="10"/>
        <v>2.6000000000000001E-6</v>
      </c>
    </row>
    <row r="686" spans="8:11">
      <c r="H686">
        <v>2.6</v>
      </c>
      <c r="I686" t="s">
        <v>121</v>
      </c>
      <c r="J686" t="s">
        <v>122</v>
      </c>
      <c r="K686" s="78">
        <f t="shared" si="10"/>
        <v>2.6000000000000001E-6</v>
      </c>
    </row>
    <row r="687" spans="8:11">
      <c r="H687">
        <v>2.6</v>
      </c>
      <c r="I687" t="s">
        <v>121</v>
      </c>
      <c r="J687" t="s">
        <v>122</v>
      </c>
      <c r="K687" s="78">
        <f t="shared" si="10"/>
        <v>2.6000000000000001E-6</v>
      </c>
    </row>
    <row r="688" spans="8:11">
      <c r="H688">
        <v>2.6</v>
      </c>
      <c r="I688" t="s">
        <v>121</v>
      </c>
      <c r="J688" t="s">
        <v>122</v>
      </c>
      <c r="K688" s="78">
        <f t="shared" si="10"/>
        <v>2.6000000000000001E-6</v>
      </c>
    </row>
    <row r="689" spans="8:11">
      <c r="H689">
        <v>2.6</v>
      </c>
      <c r="I689" t="s">
        <v>121</v>
      </c>
      <c r="J689" t="s">
        <v>122</v>
      </c>
      <c r="K689" s="78">
        <f t="shared" si="10"/>
        <v>2.6000000000000001E-6</v>
      </c>
    </row>
    <row r="690" spans="8:11">
      <c r="H690">
        <v>2.6</v>
      </c>
      <c r="I690" t="s">
        <v>121</v>
      </c>
      <c r="J690" t="s">
        <v>122</v>
      </c>
      <c r="K690" s="78">
        <f t="shared" si="10"/>
        <v>2.6000000000000001E-6</v>
      </c>
    </row>
    <row r="691" spans="8:11">
      <c r="H691">
        <v>2.6</v>
      </c>
      <c r="I691" t="s">
        <v>121</v>
      </c>
      <c r="J691" t="s">
        <v>122</v>
      </c>
      <c r="K691" s="78">
        <f t="shared" si="10"/>
        <v>2.6000000000000001E-6</v>
      </c>
    </row>
    <row r="692" spans="8:11">
      <c r="H692">
        <v>2.6</v>
      </c>
      <c r="I692" t="s">
        <v>121</v>
      </c>
      <c r="J692" t="s">
        <v>122</v>
      </c>
      <c r="K692" s="78">
        <f t="shared" si="10"/>
        <v>2.6000000000000001E-6</v>
      </c>
    </row>
    <row r="693" spans="8:11">
      <c r="H693">
        <v>2.6</v>
      </c>
      <c r="I693" t="s">
        <v>121</v>
      </c>
      <c r="J693" t="s">
        <v>122</v>
      </c>
      <c r="K693" s="78">
        <f t="shared" si="10"/>
        <v>2.6000000000000001E-6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4772ADE3FF27B458EB7FDBA6AD85B89" ma:contentTypeVersion="11" ma:contentTypeDescription="Create a new document." ma:contentTypeScope="" ma:versionID="b24ed306548410fbbf0ff9a644c40c1a">
  <xsd:schema xmlns:xsd="http://www.w3.org/2001/XMLSchema" xmlns:xs="http://www.w3.org/2001/XMLSchema" xmlns:p="http://schemas.microsoft.com/office/2006/metadata/properties" xmlns:ns2="bdd6f2e9-3d5b-42c8-81df-b5152141a3af" xmlns:ns3="e7f1deb3-39d2-43a3-b406-f73d826d8403" targetNamespace="http://schemas.microsoft.com/office/2006/metadata/properties" ma:root="true" ma:fieldsID="2b80999e58f30757215ca6dc0756013e" ns2:_="" ns3:_="">
    <xsd:import namespace="bdd6f2e9-3d5b-42c8-81df-b5152141a3af"/>
    <xsd:import namespace="e7f1deb3-39d2-43a3-b406-f73d826d840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d6f2e9-3d5b-42c8-81df-b5152141a3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56963a87-7139-4f63-9b27-46f0e2e1870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f1deb3-39d2-43a3-b406-f73d826d8403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72d37c89-6b54-45b7-a59a-d1bae722f563}" ma:internalName="TaxCatchAll" ma:showField="CatchAllData" ma:web="e7f1deb3-39d2-43a3-b406-f73d826d840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7f1deb3-39d2-43a3-b406-f73d826d8403" xsi:nil="true"/>
    <lcf76f155ced4ddcb4097134ff3c332f xmlns="bdd6f2e9-3d5b-42c8-81df-b5152141a3a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9858FE9-804B-4BEE-9720-278C218FE680}"/>
</file>

<file path=customXml/itemProps2.xml><?xml version="1.0" encoding="utf-8"?>
<ds:datastoreItem xmlns:ds="http://schemas.openxmlformats.org/officeDocument/2006/customXml" ds:itemID="{04547B21-4C8E-4881-9F8E-70FAC78A453E}"/>
</file>

<file path=customXml/itemProps3.xml><?xml version="1.0" encoding="utf-8"?>
<ds:datastoreItem xmlns:ds="http://schemas.openxmlformats.org/officeDocument/2006/customXml" ds:itemID="{361433BA-CFC8-43D9-BE05-4945B20752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Yang, Haijian</dc:creator>
  <cp:keywords/>
  <dc:description/>
  <cp:lastModifiedBy>Yang, Haijian</cp:lastModifiedBy>
  <cp:revision/>
  <dcterms:created xsi:type="dcterms:W3CDTF">2025-03-09T18:36:36Z</dcterms:created>
  <dcterms:modified xsi:type="dcterms:W3CDTF">2026-04-28T22:28:11Z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0x010100C4772ADE3FF27B458EB7FDBA6AD85B89</vt:lpwstr>
  </property>
  <property fmtid="{D5CDD505-2E9C-101B-9397-08002B2CF9AE}" pid="3" name="MediaServiceImageTags">
    <vt:lpwstr/>
  </property>
</Properties>
</file>